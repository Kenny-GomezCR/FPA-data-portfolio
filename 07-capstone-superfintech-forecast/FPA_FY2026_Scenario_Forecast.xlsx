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6829EB7-7924-4E07-AC1F-8355242BB8EC}" xr6:coauthVersionLast="47" xr6:coauthVersionMax="47" xr10:uidLastSave="{00000000-0000-0000-0000-000000000000}"/>
  <bookViews>
    <workbookView xWindow="-64110" yWindow="-110" windowWidth="25820" windowHeight="13900" tabRatio="853" xr2:uid="{00000000-000D-0000-FFFF-FFFF00000000}"/>
  </bookViews>
  <sheets>
    <sheet name="2025 actual v budget" sheetId="1" r:id="rId1"/>
    <sheet name="Assumption-Base" sheetId="2" r:id="rId2"/>
    <sheet name="Assumption-Best" sheetId="3" r:id="rId3"/>
    <sheet name="Assumption-Worst" sheetId="4" r:id="rId4"/>
    <sheet name="Variance" sheetId="5" r:id="rId5"/>
    <sheet name="Forecast 26-Base" sheetId="6" r:id="rId6"/>
    <sheet name="Forecast 26-Best" sheetId="7" r:id="rId7"/>
    <sheet name="Forecast 26-Worst" sheetId="8" r:id="rId8"/>
    <sheet name="Scenario Comparison" sheetId="9" r:id="rId9"/>
    <sheet name="Summary-Product" sheetId="10" r:id="rId10"/>
    <sheet name="Summary-Country" sheetId="11" r:id="rId11"/>
    <sheet name="Documentation" sheetId="12" r:id="rId12"/>
  </sheets>
  <definedNames>
    <definedName name="_xlnm.Print_Titles" localSheetId="0">'2025 actual v budget'!$1:$2</definedName>
    <definedName name="_xlnm.Print_Titles" localSheetId="5">'Forecast 26-Base'!$1:$2</definedName>
    <definedName name="_xlnm.Print_Titles" localSheetId="6">'Forecast 26-Best'!$1:$2</definedName>
    <definedName name="_xlnm.Print_Titles" localSheetId="7">'Forecast 26-Worst'!$1:$2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9" l="1"/>
  <c r="I5" i="9"/>
  <c r="I6" i="9"/>
  <c r="J4" i="9"/>
  <c r="D12" i="5"/>
  <c r="C12" i="5"/>
  <c r="B33" i="11" l="1"/>
  <c r="B32" i="11"/>
  <c r="B31" i="11"/>
  <c r="B30" i="11"/>
  <c r="B29" i="11"/>
  <c r="B28" i="11"/>
  <c r="B22" i="11"/>
  <c r="B21" i="11"/>
  <c r="B20" i="11"/>
  <c r="B19" i="11"/>
  <c r="B18" i="11"/>
  <c r="B17" i="11"/>
  <c r="B23" i="11" s="1"/>
  <c r="B11" i="11"/>
  <c r="B10" i="11"/>
  <c r="B9" i="11"/>
  <c r="B8" i="11"/>
  <c r="B7" i="11"/>
  <c r="B6" i="11"/>
  <c r="B12" i="11" s="1"/>
  <c r="B31" i="10"/>
  <c r="B30" i="10"/>
  <c r="B29" i="10"/>
  <c r="B28" i="10"/>
  <c r="B27" i="10"/>
  <c r="B26" i="10"/>
  <c r="B20" i="10"/>
  <c r="B19" i="10"/>
  <c r="B18" i="10"/>
  <c r="B17" i="10"/>
  <c r="B16" i="10"/>
  <c r="B21" i="10" s="1"/>
  <c r="B10" i="10"/>
  <c r="B9" i="10"/>
  <c r="B8" i="10"/>
  <c r="B7" i="10"/>
  <c r="B6" i="10"/>
  <c r="N362" i="8"/>
  <c r="D362" i="8"/>
  <c r="C362" i="8"/>
  <c r="I362" i="8" s="1"/>
  <c r="B362" i="8"/>
  <c r="A362" i="8"/>
  <c r="D361" i="8"/>
  <c r="C361" i="8"/>
  <c r="B361" i="8"/>
  <c r="A361" i="8"/>
  <c r="D360" i="8"/>
  <c r="C360" i="8"/>
  <c r="I360" i="8" s="1"/>
  <c r="B360" i="8"/>
  <c r="A360" i="8"/>
  <c r="D359" i="8"/>
  <c r="C359" i="8"/>
  <c r="B359" i="8"/>
  <c r="A359" i="8"/>
  <c r="N358" i="8"/>
  <c r="D358" i="8"/>
  <c r="C358" i="8"/>
  <c r="B358" i="8"/>
  <c r="A358" i="8"/>
  <c r="D357" i="8"/>
  <c r="C357" i="8"/>
  <c r="B357" i="8"/>
  <c r="A357" i="8"/>
  <c r="D356" i="8"/>
  <c r="C356" i="8"/>
  <c r="B356" i="8"/>
  <c r="A356" i="8"/>
  <c r="N355" i="8"/>
  <c r="D355" i="8"/>
  <c r="C355" i="8"/>
  <c r="I355" i="8" s="1"/>
  <c r="B355" i="8"/>
  <c r="A355" i="8"/>
  <c r="D354" i="8"/>
  <c r="C354" i="8"/>
  <c r="B354" i="8"/>
  <c r="A354" i="8"/>
  <c r="D353" i="8"/>
  <c r="C353" i="8"/>
  <c r="B353" i="8"/>
  <c r="A353" i="8"/>
  <c r="I352" i="8"/>
  <c r="D352" i="8"/>
  <c r="C352" i="8"/>
  <c r="B352" i="8"/>
  <c r="A352" i="8"/>
  <c r="D351" i="8"/>
  <c r="C351" i="8"/>
  <c r="B351" i="8"/>
  <c r="A351" i="8"/>
  <c r="D350" i="8"/>
  <c r="C350" i="8"/>
  <c r="B350" i="8"/>
  <c r="A350" i="8"/>
  <c r="N349" i="8"/>
  <c r="D349" i="8"/>
  <c r="C349" i="8"/>
  <c r="B349" i="8"/>
  <c r="A349" i="8"/>
  <c r="D348" i="8"/>
  <c r="C348" i="8"/>
  <c r="N348" i="8" s="1"/>
  <c r="B348" i="8"/>
  <c r="A348" i="8"/>
  <c r="D347" i="8"/>
  <c r="C347" i="8"/>
  <c r="N347" i="8" s="1"/>
  <c r="B347" i="8"/>
  <c r="A347" i="8"/>
  <c r="N346" i="8"/>
  <c r="D346" i="8"/>
  <c r="C346" i="8"/>
  <c r="I346" i="8" s="1"/>
  <c r="B346" i="8"/>
  <c r="A346" i="8"/>
  <c r="D345" i="8"/>
  <c r="C345" i="8"/>
  <c r="B345" i="8"/>
  <c r="A345" i="8"/>
  <c r="D344" i="8"/>
  <c r="C344" i="8"/>
  <c r="B344" i="8"/>
  <c r="A344" i="8"/>
  <c r="D343" i="8"/>
  <c r="C343" i="8"/>
  <c r="B343" i="8"/>
  <c r="A343" i="8"/>
  <c r="D342" i="8"/>
  <c r="C342" i="8"/>
  <c r="B342" i="8"/>
  <c r="A342" i="8"/>
  <c r="N341" i="8"/>
  <c r="D341" i="8"/>
  <c r="C341" i="8"/>
  <c r="B341" i="8"/>
  <c r="A341" i="8"/>
  <c r="D340" i="8"/>
  <c r="C340" i="8"/>
  <c r="N340" i="8" s="1"/>
  <c r="B340" i="8"/>
  <c r="A340" i="8"/>
  <c r="D339" i="8"/>
  <c r="C339" i="8"/>
  <c r="B339" i="8"/>
  <c r="A339" i="8"/>
  <c r="N338" i="8"/>
  <c r="D338" i="8"/>
  <c r="C338" i="8"/>
  <c r="I338" i="8" s="1"/>
  <c r="B338" i="8"/>
  <c r="A338" i="8"/>
  <c r="D337" i="8"/>
  <c r="C337" i="8"/>
  <c r="I337" i="8" s="1"/>
  <c r="B337" i="8"/>
  <c r="A337" i="8"/>
  <c r="D336" i="8"/>
  <c r="C336" i="8"/>
  <c r="B336" i="8"/>
  <c r="A336" i="8"/>
  <c r="D335" i="8"/>
  <c r="C335" i="8"/>
  <c r="B335" i="8"/>
  <c r="A335" i="8"/>
  <c r="D334" i="8"/>
  <c r="C334" i="8"/>
  <c r="B334" i="8"/>
  <c r="A334" i="8"/>
  <c r="N333" i="8"/>
  <c r="D333" i="8"/>
  <c r="C333" i="8"/>
  <c r="B333" i="8"/>
  <c r="A333" i="8"/>
  <c r="I332" i="8"/>
  <c r="D332" i="8"/>
  <c r="C332" i="8"/>
  <c r="N332" i="8" s="1"/>
  <c r="B332" i="8"/>
  <c r="A332" i="8"/>
  <c r="D331" i="8"/>
  <c r="C331" i="8"/>
  <c r="B331" i="8"/>
  <c r="A331" i="8"/>
  <c r="N330" i="8"/>
  <c r="D330" i="8"/>
  <c r="C330" i="8"/>
  <c r="I330" i="8" s="1"/>
  <c r="B330" i="8"/>
  <c r="A330" i="8"/>
  <c r="D329" i="8"/>
  <c r="C329" i="8"/>
  <c r="I329" i="8" s="1"/>
  <c r="B329" i="8"/>
  <c r="A329" i="8"/>
  <c r="D328" i="8"/>
  <c r="C328" i="8"/>
  <c r="B328" i="8"/>
  <c r="A328" i="8"/>
  <c r="D327" i="8"/>
  <c r="C327" i="8"/>
  <c r="B327" i="8"/>
  <c r="A327" i="8"/>
  <c r="N326" i="8"/>
  <c r="D326" i="8"/>
  <c r="C326" i="8"/>
  <c r="B326" i="8"/>
  <c r="A326" i="8"/>
  <c r="D325" i="8"/>
  <c r="C325" i="8"/>
  <c r="B325" i="8"/>
  <c r="A325" i="8"/>
  <c r="I324" i="8"/>
  <c r="D324" i="8"/>
  <c r="C324" i="8"/>
  <c r="B324" i="8"/>
  <c r="N324" i="8" s="1"/>
  <c r="A324" i="8"/>
  <c r="N323" i="8"/>
  <c r="I323" i="8"/>
  <c r="D323" i="8"/>
  <c r="C323" i="8"/>
  <c r="B323" i="8"/>
  <c r="A323" i="8"/>
  <c r="N322" i="8"/>
  <c r="D322" i="8"/>
  <c r="C322" i="8"/>
  <c r="B322" i="8"/>
  <c r="I322" i="8" s="1"/>
  <c r="A322" i="8"/>
  <c r="D321" i="8"/>
  <c r="C321" i="8"/>
  <c r="B321" i="8"/>
  <c r="A321" i="8"/>
  <c r="D320" i="8"/>
  <c r="C320" i="8"/>
  <c r="B320" i="8"/>
  <c r="A320" i="8"/>
  <c r="D319" i="8"/>
  <c r="C319" i="8"/>
  <c r="B319" i="8"/>
  <c r="A319" i="8"/>
  <c r="N318" i="8"/>
  <c r="D318" i="8"/>
  <c r="C318" i="8"/>
  <c r="B318" i="8"/>
  <c r="A318" i="8"/>
  <c r="D317" i="8"/>
  <c r="C317" i="8"/>
  <c r="B317" i="8"/>
  <c r="A317" i="8"/>
  <c r="I316" i="8"/>
  <c r="D316" i="8"/>
  <c r="C316" i="8"/>
  <c r="B316" i="8"/>
  <c r="N316" i="8" s="1"/>
  <c r="A316" i="8"/>
  <c r="D315" i="8"/>
  <c r="C315" i="8"/>
  <c r="B315" i="8"/>
  <c r="A315" i="8"/>
  <c r="D314" i="8"/>
  <c r="C314" i="8"/>
  <c r="B314" i="8"/>
  <c r="A314" i="8"/>
  <c r="I313" i="8"/>
  <c r="D313" i="8"/>
  <c r="C313" i="8"/>
  <c r="B313" i="8"/>
  <c r="A313" i="8"/>
  <c r="D312" i="8"/>
  <c r="C312" i="8"/>
  <c r="B312" i="8"/>
  <c r="A312" i="8"/>
  <c r="D311" i="8"/>
  <c r="C311" i="8"/>
  <c r="B311" i="8"/>
  <c r="A311" i="8"/>
  <c r="N310" i="8"/>
  <c r="D310" i="8"/>
  <c r="C310" i="8"/>
  <c r="B310" i="8"/>
  <c r="A310" i="8"/>
  <c r="D309" i="8"/>
  <c r="C309" i="8"/>
  <c r="B309" i="8"/>
  <c r="A309" i="8"/>
  <c r="D308" i="8"/>
  <c r="C308" i="8"/>
  <c r="B308" i="8"/>
  <c r="A308" i="8"/>
  <c r="N307" i="8"/>
  <c r="I307" i="8"/>
  <c r="D307" i="8"/>
  <c r="C307" i="8"/>
  <c r="B307" i="8"/>
  <c r="A307" i="8"/>
  <c r="D306" i="8"/>
  <c r="C306" i="8"/>
  <c r="B306" i="8"/>
  <c r="A306" i="8"/>
  <c r="I305" i="8"/>
  <c r="D305" i="8"/>
  <c r="C305" i="8"/>
  <c r="B305" i="8"/>
  <c r="A305" i="8"/>
  <c r="D304" i="8"/>
  <c r="C304" i="8"/>
  <c r="B304" i="8"/>
  <c r="A304" i="8"/>
  <c r="D303" i="8"/>
  <c r="C303" i="8"/>
  <c r="B303" i="8"/>
  <c r="A303" i="8"/>
  <c r="N302" i="8"/>
  <c r="D302" i="8"/>
  <c r="C302" i="8"/>
  <c r="B302" i="8"/>
  <c r="A302" i="8"/>
  <c r="N301" i="8"/>
  <c r="D301" i="8"/>
  <c r="C301" i="8"/>
  <c r="B301" i="8"/>
  <c r="A301" i="8"/>
  <c r="D300" i="8"/>
  <c r="C300" i="8"/>
  <c r="B300" i="8"/>
  <c r="A300" i="8"/>
  <c r="N299" i="8"/>
  <c r="I299" i="8"/>
  <c r="D299" i="8"/>
  <c r="C299" i="8"/>
  <c r="B299" i="8"/>
  <c r="A299" i="8"/>
  <c r="D298" i="8"/>
  <c r="C298" i="8"/>
  <c r="N298" i="8" s="1"/>
  <c r="B298" i="8"/>
  <c r="I298" i="8" s="1"/>
  <c r="A298" i="8"/>
  <c r="D297" i="8"/>
  <c r="C297" i="8"/>
  <c r="B297" i="8"/>
  <c r="A297" i="8"/>
  <c r="D296" i="8"/>
  <c r="C296" i="8"/>
  <c r="I296" i="8" s="1"/>
  <c r="B296" i="8"/>
  <c r="A296" i="8"/>
  <c r="D295" i="8"/>
  <c r="C295" i="8"/>
  <c r="B295" i="8"/>
  <c r="A295" i="8"/>
  <c r="N294" i="8"/>
  <c r="I294" i="8"/>
  <c r="D294" i="8"/>
  <c r="C294" i="8"/>
  <c r="B294" i="8"/>
  <c r="A294" i="8"/>
  <c r="N293" i="8"/>
  <c r="K293" i="8"/>
  <c r="I293" i="8"/>
  <c r="G293" i="8"/>
  <c r="D293" i="8"/>
  <c r="C293" i="8"/>
  <c r="B293" i="8"/>
  <c r="A293" i="8"/>
  <c r="D292" i="8"/>
  <c r="C292" i="8"/>
  <c r="G292" i="8" s="1"/>
  <c r="B292" i="8"/>
  <c r="A292" i="8"/>
  <c r="N291" i="8"/>
  <c r="K291" i="8"/>
  <c r="I291" i="8"/>
  <c r="D291" i="8"/>
  <c r="C291" i="8"/>
  <c r="G291" i="8" s="1"/>
  <c r="B291" i="8"/>
  <c r="A291" i="8"/>
  <c r="D290" i="8"/>
  <c r="C290" i="8"/>
  <c r="B290" i="8"/>
  <c r="A290" i="8"/>
  <c r="D289" i="8"/>
  <c r="C289" i="8"/>
  <c r="B289" i="8"/>
  <c r="A289" i="8"/>
  <c r="N288" i="8"/>
  <c r="K288" i="8"/>
  <c r="I288" i="8"/>
  <c r="G288" i="8"/>
  <c r="D288" i="8"/>
  <c r="C288" i="8"/>
  <c r="B288" i="8"/>
  <c r="A288" i="8"/>
  <c r="N287" i="8"/>
  <c r="K287" i="8"/>
  <c r="I287" i="8"/>
  <c r="G287" i="8"/>
  <c r="D287" i="8"/>
  <c r="C287" i="8"/>
  <c r="B287" i="8"/>
  <c r="A287" i="8"/>
  <c r="D286" i="8"/>
  <c r="C286" i="8"/>
  <c r="N286" i="8" s="1"/>
  <c r="B286" i="8"/>
  <c r="A286" i="8"/>
  <c r="K285" i="8"/>
  <c r="G285" i="8"/>
  <c r="D285" i="8"/>
  <c r="C285" i="8"/>
  <c r="B285" i="8"/>
  <c r="A285" i="8"/>
  <c r="D284" i="8"/>
  <c r="C284" i="8"/>
  <c r="B284" i="8"/>
  <c r="A284" i="8"/>
  <c r="D283" i="8"/>
  <c r="C283" i="8"/>
  <c r="B283" i="8"/>
  <c r="A283" i="8"/>
  <c r="N282" i="8"/>
  <c r="K282" i="8"/>
  <c r="I282" i="8"/>
  <c r="D282" i="8"/>
  <c r="C282" i="8"/>
  <c r="G282" i="8" s="1"/>
  <c r="B282" i="8"/>
  <c r="A282" i="8"/>
  <c r="N281" i="8"/>
  <c r="K281" i="8"/>
  <c r="I281" i="8"/>
  <c r="G281" i="8"/>
  <c r="D281" i="8"/>
  <c r="C281" i="8"/>
  <c r="B281" i="8"/>
  <c r="A281" i="8"/>
  <c r="D280" i="8"/>
  <c r="C280" i="8"/>
  <c r="B280" i="8"/>
  <c r="A280" i="8"/>
  <c r="G279" i="8"/>
  <c r="D279" i="8"/>
  <c r="C279" i="8"/>
  <c r="B279" i="8"/>
  <c r="A279" i="8"/>
  <c r="N278" i="8"/>
  <c r="K278" i="8"/>
  <c r="G278" i="8"/>
  <c r="D278" i="8"/>
  <c r="C278" i="8"/>
  <c r="I278" i="8" s="1"/>
  <c r="B278" i="8"/>
  <c r="A278" i="8"/>
  <c r="N277" i="8"/>
  <c r="K277" i="8"/>
  <c r="I277" i="8"/>
  <c r="G277" i="8"/>
  <c r="D277" i="8"/>
  <c r="C277" i="8"/>
  <c r="B277" i="8"/>
  <c r="A277" i="8"/>
  <c r="N276" i="8"/>
  <c r="K276" i="8"/>
  <c r="D276" i="8"/>
  <c r="C276" i="8"/>
  <c r="I276" i="8" s="1"/>
  <c r="B276" i="8"/>
  <c r="A276" i="8"/>
  <c r="G275" i="8"/>
  <c r="D275" i="8"/>
  <c r="C275" i="8"/>
  <c r="B275" i="8"/>
  <c r="A275" i="8"/>
  <c r="I274" i="8"/>
  <c r="D274" i="8"/>
  <c r="C274" i="8"/>
  <c r="B274" i="8"/>
  <c r="A274" i="8"/>
  <c r="N273" i="8"/>
  <c r="I273" i="8"/>
  <c r="D273" i="8"/>
  <c r="C273" i="8"/>
  <c r="B273" i="8"/>
  <c r="A273" i="8"/>
  <c r="N272" i="8"/>
  <c r="K272" i="8"/>
  <c r="I272" i="8"/>
  <c r="G272" i="8"/>
  <c r="D272" i="8"/>
  <c r="C272" i="8"/>
  <c r="B272" i="8"/>
  <c r="A272" i="8"/>
  <c r="N271" i="8"/>
  <c r="K271" i="8"/>
  <c r="I271" i="8"/>
  <c r="G271" i="8"/>
  <c r="D271" i="8"/>
  <c r="C271" i="8"/>
  <c r="B271" i="8"/>
  <c r="A271" i="8"/>
  <c r="D270" i="8"/>
  <c r="C270" i="8"/>
  <c r="N270" i="8" s="1"/>
  <c r="B270" i="8"/>
  <c r="A270" i="8"/>
  <c r="D269" i="8"/>
  <c r="C269" i="8"/>
  <c r="B269" i="8"/>
  <c r="A269" i="8"/>
  <c r="N268" i="8"/>
  <c r="K268" i="8"/>
  <c r="D268" i="8"/>
  <c r="C268" i="8"/>
  <c r="B268" i="8"/>
  <c r="A268" i="8"/>
  <c r="N267" i="8"/>
  <c r="K267" i="8"/>
  <c r="I267" i="8"/>
  <c r="D267" i="8"/>
  <c r="C267" i="8"/>
  <c r="B267" i="8"/>
  <c r="A267" i="8"/>
  <c r="N266" i="8"/>
  <c r="K266" i="8"/>
  <c r="I266" i="8"/>
  <c r="G266" i="8"/>
  <c r="D266" i="8"/>
  <c r="C266" i="8"/>
  <c r="B266" i="8"/>
  <c r="A266" i="8"/>
  <c r="N265" i="8"/>
  <c r="K265" i="8"/>
  <c r="I265" i="8"/>
  <c r="G265" i="8"/>
  <c r="D265" i="8"/>
  <c r="C265" i="8"/>
  <c r="B265" i="8"/>
  <c r="A265" i="8"/>
  <c r="N264" i="8"/>
  <c r="K264" i="8"/>
  <c r="I264" i="8"/>
  <c r="G264" i="8"/>
  <c r="D264" i="8"/>
  <c r="C264" i="8"/>
  <c r="B264" i="8"/>
  <c r="A264" i="8"/>
  <c r="N263" i="8"/>
  <c r="K263" i="8"/>
  <c r="I263" i="8"/>
  <c r="G263" i="8"/>
  <c r="D263" i="8"/>
  <c r="C263" i="8"/>
  <c r="B263" i="8"/>
  <c r="A263" i="8"/>
  <c r="N262" i="8"/>
  <c r="K262" i="8"/>
  <c r="I262" i="8"/>
  <c r="G262" i="8"/>
  <c r="D262" i="8"/>
  <c r="C262" i="8"/>
  <c r="B262" i="8"/>
  <c r="A262" i="8"/>
  <c r="N261" i="8"/>
  <c r="K261" i="8"/>
  <c r="I261" i="8"/>
  <c r="G261" i="8"/>
  <c r="D261" i="8"/>
  <c r="C261" i="8"/>
  <c r="B261" i="8"/>
  <c r="A261" i="8"/>
  <c r="N260" i="8"/>
  <c r="K260" i="8"/>
  <c r="I260" i="8"/>
  <c r="G260" i="8"/>
  <c r="D260" i="8"/>
  <c r="C260" i="8"/>
  <c r="B260" i="8"/>
  <c r="A260" i="8"/>
  <c r="N259" i="8"/>
  <c r="K259" i="8"/>
  <c r="I259" i="8"/>
  <c r="G259" i="8"/>
  <c r="D259" i="8"/>
  <c r="C259" i="8"/>
  <c r="B259" i="8"/>
  <c r="A259" i="8"/>
  <c r="N258" i="8"/>
  <c r="K258" i="8"/>
  <c r="I258" i="8"/>
  <c r="G258" i="8"/>
  <c r="D258" i="8"/>
  <c r="C258" i="8"/>
  <c r="B258" i="8"/>
  <c r="A258" i="8"/>
  <c r="N257" i="8"/>
  <c r="K257" i="8"/>
  <c r="I257" i="8"/>
  <c r="G257" i="8"/>
  <c r="D257" i="8"/>
  <c r="C257" i="8"/>
  <c r="B257" i="8"/>
  <c r="A257" i="8"/>
  <c r="N256" i="8"/>
  <c r="K256" i="8"/>
  <c r="I256" i="8"/>
  <c r="G256" i="8"/>
  <c r="D256" i="8"/>
  <c r="C256" i="8"/>
  <c r="B256" i="8"/>
  <c r="A256" i="8"/>
  <c r="N255" i="8"/>
  <c r="K255" i="8"/>
  <c r="I255" i="8"/>
  <c r="G255" i="8"/>
  <c r="D255" i="8"/>
  <c r="C255" i="8"/>
  <c r="B255" i="8"/>
  <c r="A255" i="8"/>
  <c r="N254" i="8"/>
  <c r="K254" i="8"/>
  <c r="I254" i="8"/>
  <c r="G254" i="8"/>
  <c r="D254" i="8"/>
  <c r="C254" i="8"/>
  <c r="B254" i="8"/>
  <c r="A254" i="8"/>
  <c r="N253" i="8"/>
  <c r="K253" i="8"/>
  <c r="I253" i="8"/>
  <c r="G253" i="8"/>
  <c r="D253" i="8"/>
  <c r="C253" i="8"/>
  <c r="B253" i="8"/>
  <c r="A253" i="8"/>
  <c r="N252" i="8"/>
  <c r="K252" i="8"/>
  <c r="I252" i="8"/>
  <c r="G252" i="8"/>
  <c r="D252" i="8"/>
  <c r="C252" i="8"/>
  <c r="B252" i="8"/>
  <c r="A252" i="8"/>
  <c r="N251" i="8"/>
  <c r="K251" i="8"/>
  <c r="I251" i="8"/>
  <c r="G251" i="8"/>
  <c r="D251" i="8"/>
  <c r="C251" i="8"/>
  <c r="B251" i="8"/>
  <c r="A251" i="8"/>
  <c r="N250" i="8"/>
  <c r="K250" i="8"/>
  <c r="I250" i="8"/>
  <c r="G250" i="8"/>
  <c r="D250" i="8"/>
  <c r="C250" i="8"/>
  <c r="B250" i="8"/>
  <c r="A250" i="8"/>
  <c r="N249" i="8"/>
  <c r="K249" i="8"/>
  <c r="I249" i="8"/>
  <c r="G249" i="8"/>
  <c r="D249" i="8"/>
  <c r="C249" i="8"/>
  <c r="B249" i="8"/>
  <c r="A249" i="8"/>
  <c r="K248" i="8"/>
  <c r="G248" i="8"/>
  <c r="D248" i="8"/>
  <c r="C248" i="8"/>
  <c r="B248" i="8"/>
  <c r="I248" i="8" s="1"/>
  <c r="A248" i="8"/>
  <c r="D247" i="8"/>
  <c r="C247" i="8"/>
  <c r="B247" i="8"/>
  <c r="A247" i="8"/>
  <c r="K246" i="8"/>
  <c r="I246" i="8"/>
  <c r="G246" i="8"/>
  <c r="D246" i="8"/>
  <c r="C246" i="8"/>
  <c r="B246" i="8"/>
  <c r="A246" i="8"/>
  <c r="D245" i="8"/>
  <c r="C245" i="8"/>
  <c r="B245" i="8"/>
  <c r="A245" i="8"/>
  <c r="I244" i="8"/>
  <c r="G244" i="8"/>
  <c r="D244" i="8"/>
  <c r="C244" i="8"/>
  <c r="B244" i="8"/>
  <c r="A244" i="8"/>
  <c r="N243" i="8"/>
  <c r="D243" i="8"/>
  <c r="C243" i="8"/>
  <c r="B243" i="8"/>
  <c r="A243" i="8"/>
  <c r="N242" i="8"/>
  <c r="D242" i="8"/>
  <c r="C242" i="8"/>
  <c r="B242" i="8"/>
  <c r="A242" i="8"/>
  <c r="N241" i="8"/>
  <c r="G241" i="8"/>
  <c r="D241" i="8"/>
  <c r="C241" i="8"/>
  <c r="B241" i="8"/>
  <c r="A241" i="8"/>
  <c r="N240" i="8"/>
  <c r="D240" i="8"/>
  <c r="C240" i="8"/>
  <c r="B240" i="8"/>
  <c r="A240" i="8"/>
  <c r="N239" i="8"/>
  <c r="K239" i="8"/>
  <c r="D239" i="8"/>
  <c r="C239" i="8"/>
  <c r="B239" i="8"/>
  <c r="A239" i="8"/>
  <c r="I238" i="8"/>
  <c r="D238" i="8"/>
  <c r="C238" i="8"/>
  <c r="B238" i="8"/>
  <c r="N238" i="8" s="1"/>
  <c r="A238" i="8"/>
  <c r="N237" i="8"/>
  <c r="D237" i="8"/>
  <c r="C237" i="8"/>
  <c r="B237" i="8"/>
  <c r="A237" i="8"/>
  <c r="K236" i="8"/>
  <c r="I236" i="8"/>
  <c r="G236" i="8"/>
  <c r="D236" i="8"/>
  <c r="C236" i="8"/>
  <c r="B236" i="8"/>
  <c r="N236" i="8" s="1"/>
  <c r="A236" i="8"/>
  <c r="N235" i="8"/>
  <c r="K235" i="8"/>
  <c r="I235" i="8"/>
  <c r="G235" i="8"/>
  <c r="D235" i="8"/>
  <c r="C235" i="8"/>
  <c r="B235" i="8"/>
  <c r="A235" i="8"/>
  <c r="K234" i="8"/>
  <c r="I234" i="8"/>
  <c r="G234" i="8"/>
  <c r="D234" i="8"/>
  <c r="C234" i="8"/>
  <c r="B234" i="8"/>
  <c r="N234" i="8" s="1"/>
  <c r="A234" i="8"/>
  <c r="N233" i="8"/>
  <c r="K233" i="8"/>
  <c r="I233" i="8"/>
  <c r="G233" i="8"/>
  <c r="D233" i="8"/>
  <c r="C233" i="8"/>
  <c r="B233" i="8"/>
  <c r="A233" i="8"/>
  <c r="N232" i="8"/>
  <c r="D232" i="8"/>
  <c r="C232" i="8"/>
  <c r="B232" i="8"/>
  <c r="A232" i="8"/>
  <c r="N231" i="8"/>
  <c r="I231" i="8"/>
  <c r="G231" i="8"/>
  <c r="D231" i="8"/>
  <c r="C231" i="8"/>
  <c r="B231" i="8"/>
  <c r="A231" i="8"/>
  <c r="K230" i="8"/>
  <c r="I230" i="8"/>
  <c r="D230" i="8"/>
  <c r="C230" i="8"/>
  <c r="B230" i="8"/>
  <c r="A230" i="8"/>
  <c r="N229" i="8"/>
  <c r="K229" i="8"/>
  <c r="G229" i="8"/>
  <c r="D229" i="8"/>
  <c r="C229" i="8"/>
  <c r="B229" i="8"/>
  <c r="I229" i="8" s="1"/>
  <c r="A229" i="8"/>
  <c r="N228" i="8"/>
  <c r="D228" i="8"/>
  <c r="C228" i="8"/>
  <c r="B228" i="8"/>
  <c r="A228" i="8"/>
  <c r="K227" i="8"/>
  <c r="D227" i="8"/>
  <c r="C227" i="8"/>
  <c r="B227" i="8"/>
  <c r="A227" i="8"/>
  <c r="N226" i="8"/>
  <c r="G226" i="8"/>
  <c r="D226" i="8"/>
  <c r="C226" i="8"/>
  <c r="B226" i="8"/>
  <c r="A226" i="8"/>
  <c r="D225" i="8"/>
  <c r="C225" i="8"/>
  <c r="B225" i="8"/>
  <c r="A225" i="8"/>
  <c r="D224" i="8"/>
  <c r="C224" i="8"/>
  <c r="B224" i="8"/>
  <c r="A224" i="8"/>
  <c r="D223" i="8"/>
  <c r="C223" i="8"/>
  <c r="B223" i="8"/>
  <c r="A223" i="8"/>
  <c r="D222" i="8"/>
  <c r="C222" i="8"/>
  <c r="B222" i="8"/>
  <c r="A222" i="8"/>
  <c r="D221" i="8"/>
  <c r="C221" i="8"/>
  <c r="B221" i="8"/>
  <c r="A221" i="8"/>
  <c r="N220" i="8"/>
  <c r="K220" i="8"/>
  <c r="D220" i="8"/>
  <c r="C220" i="8"/>
  <c r="B220" i="8"/>
  <c r="I220" i="8" s="1"/>
  <c r="A220" i="8"/>
  <c r="N219" i="8"/>
  <c r="G219" i="8"/>
  <c r="D219" i="8"/>
  <c r="C219" i="8"/>
  <c r="B219" i="8"/>
  <c r="K219" i="8" s="1"/>
  <c r="A219" i="8"/>
  <c r="N218" i="8"/>
  <c r="G218" i="8"/>
  <c r="D218" i="8"/>
  <c r="C218" i="8"/>
  <c r="B218" i="8"/>
  <c r="K218" i="8" s="1"/>
  <c r="A218" i="8"/>
  <c r="N217" i="8"/>
  <c r="D217" i="8"/>
  <c r="C217" i="8"/>
  <c r="B217" i="8"/>
  <c r="A217" i="8"/>
  <c r="D216" i="8"/>
  <c r="C216" i="8"/>
  <c r="B216" i="8"/>
  <c r="A216" i="8"/>
  <c r="N215" i="8"/>
  <c r="D215" i="8"/>
  <c r="C215" i="8"/>
  <c r="K215" i="8" s="1"/>
  <c r="B215" i="8"/>
  <c r="A215" i="8"/>
  <c r="D214" i="8"/>
  <c r="C214" i="8"/>
  <c r="B214" i="8"/>
  <c r="A214" i="8"/>
  <c r="N213" i="8"/>
  <c r="K213" i="8"/>
  <c r="G213" i="8"/>
  <c r="D213" i="8"/>
  <c r="C213" i="8"/>
  <c r="B213" i="8"/>
  <c r="A213" i="8"/>
  <c r="N212" i="8"/>
  <c r="K212" i="8"/>
  <c r="G212" i="8"/>
  <c r="D212" i="8"/>
  <c r="C212" i="8"/>
  <c r="B212" i="8"/>
  <c r="A212" i="8"/>
  <c r="D211" i="8"/>
  <c r="C211" i="8"/>
  <c r="B211" i="8"/>
  <c r="A211" i="8"/>
  <c r="N210" i="8"/>
  <c r="G210" i="8"/>
  <c r="D210" i="8"/>
  <c r="C210" i="8"/>
  <c r="B210" i="8"/>
  <c r="A210" i="8"/>
  <c r="N209" i="8"/>
  <c r="K209" i="8"/>
  <c r="D209" i="8"/>
  <c r="C209" i="8"/>
  <c r="G209" i="8" s="1"/>
  <c r="B209" i="8"/>
  <c r="A209" i="8"/>
  <c r="D208" i="8"/>
  <c r="C208" i="8"/>
  <c r="B208" i="8"/>
  <c r="A208" i="8"/>
  <c r="D207" i="8"/>
  <c r="C207" i="8"/>
  <c r="B207" i="8"/>
  <c r="A207" i="8"/>
  <c r="D206" i="8"/>
  <c r="C206" i="8"/>
  <c r="B206" i="8"/>
  <c r="A206" i="8"/>
  <c r="N205" i="8"/>
  <c r="G205" i="8"/>
  <c r="D205" i="8"/>
  <c r="C205" i="8"/>
  <c r="B205" i="8"/>
  <c r="A205" i="8"/>
  <c r="D204" i="8"/>
  <c r="C204" i="8"/>
  <c r="B204" i="8"/>
  <c r="A204" i="8"/>
  <c r="N203" i="8"/>
  <c r="K203" i="8"/>
  <c r="D203" i="8"/>
  <c r="C203" i="8"/>
  <c r="I203" i="8" s="1"/>
  <c r="B203" i="8"/>
  <c r="A203" i="8"/>
  <c r="K202" i="8"/>
  <c r="I202" i="8"/>
  <c r="G202" i="8"/>
  <c r="D202" i="8"/>
  <c r="C202" i="8"/>
  <c r="B202" i="8"/>
  <c r="N202" i="8" s="1"/>
  <c r="A202" i="8"/>
  <c r="D201" i="8"/>
  <c r="C201" i="8"/>
  <c r="B201" i="8"/>
  <c r="N201" i="8" s="1"/>
  <c r="A201" i="8"/>
  <c r="D200" i="8"/>
  <c r="C200" i="8"/>
  <c r="B200" i="8"/>
  <c r="A200" i="8"/>
  <c r="K199" i="8"/>
  <c r="G199" i="8"/>
  <c r="D199" i="8"/>
  <c r="C199" i="8"/>
  <c r="B199" i="8"/>
  <c r="A199" i="8"/>
  <c r="D198" i="8"/>
  <c r="C198" i="8"/>
  <c r="B198" i="8"/>
  <c r="A198" i="8"/>
  <c r="G197" i="8"/>
  <c r="D197" i="8"/>
  <c r="C197" i="8"/>
  <c r="N197" i="8" s="1"/>
  <c r="B197" i="8"/>
  <c r="I197" i="8" s="1"/>
  <c r="A197" i="8"/>
  <c r="N196" i="8"/>
  <c r="K196" i="8"/>
  <c r="I196" i="8"/>
  <c r="D196" i="8"/>
  <c r="C196" i="8"/>
  <c r="B196" i="8"/>
  <c r="G196" i="8" s="1"/>
  <c r="A196" i="8"/>
  <c r="I195" i="8"/>
  <c r="D195" i="8"/>
  <c r="C195" i="8"/>
  <c r="B195" i="8"/>
  <c r="A195" i="8"/>
  <c r="N194" i="8"/>
  <c r="K194" i="8"/>
  <c r="I194" i="8"/>
  <c r="G194" i="8"/>
  <c r="D194" i="8"/>
  <c r="C194" i="8"/>
  <c r="B194" i="8"/>
  <c r="A194" i="8"/>
  <c r="N193" i="8"/>
  <c r="K193" i="8"/>
  <c r="I193" i="8"/>
  <c r="G193" i="8"/>
  <c r="D193" i="8"/>
  <c r="C193" i="8"/>
  <c r="B193" i="8"/>
  <c r="A193" i="8"/>
  <c r="K192" i="8"/>
  <c r="I192" i="8"/>
  <c r="G192" i="8"/>
  <c r="D192" i="8"/>
  <c r="C192" i="8"/>
  <c r="B192" i="8"/>
  <c r="N192" i="8" s="1"/>
  <c r="A192" i="8"/>
  <c r="K191" i="8"/>
  <c r="G191" i="8"/>
  <c r="D191" i="8"/>
  <c r="C191" i="8"/>
  <c r="B191" i="8"/>
  <c r="N191" i="8" s="1"/>
  <c r="A191" i="8"/>
  <c r="K190" i="8"/>
  <c r="G190" i="8"/>
  <c r="D190" i="8"/>
  <c r="C190" i="8"/>
  <c r="B190" i="8"/>
  <c r="A190" i="8"/>
  <c r="D189" i="8"/>
  <c r="C189" i="8"/>
  <c r="B189" i="8"/>
  <c r="A189" i="8"/>
  <c r="N188" i="8"/>
  <c r="K188" i="8"/>
  <c r="D188" i="8"/>
  <c r="C188" i="8"/>
  <c r="B188" i="8"/>
  <c r="I188" i="8" s="1"/>
  <c r="A188" i="8"/>
  <c r="G187" i="8"/>
  <c r="D187" i="8"/>
  <c r="C187" i="8"/>
  <c r="B187" i="8"/>
  <c r="A187" i="8"/>
  <c r="N186" i="8"/>
  <c r="I186" i="8"/>
  <c r="G186" i="8"/>
  <c r="D186" i="8"/>
  <c r="C186" i="8"/>
  <c r="B186" i="8"/>
  <c r="K186" i="8" s="1"/>
  <c r="A186" i="8"/>
  <c r="N185" i="8"/>
  <c r="I185" i="8"/>
  <c r="D185" i="8"/>
  <c r="C185" i="8"/>
  <c r="B185" i="8"/>
  <c r="A185" i="8"/>
  <c r="D184" i="8"/>
  <c r="C184" i="8"/>
  <c r="B184" i="8"/>
  <c r="A184" i="8"/>
  <c r="N183" i="8"/>
  <c r="D183" i="8"/>
  <c r="C183" i="8"/>
  <c r="B183" i="8"/>
  <c r="A183" i="8"/>
  <c r="N182" i="8"/>
  <c r="K182" i="8"/>
  <c r="I182" i="8"/>
  <c r="G182" i="8"/>
  <c r="D182" i="8"/>
  <c r="C182" i="8"/>
  <c r="B182" i="8"/>
  <c r="A182" i="8"/>
  <c r="D181" i="8"/>
  <c r="C181" i="8"/>
  <c r="B181" i="8"/>
  <c r="A181" i="8"/>
  <c r="N180" i="8"/>
  <c r="K180" i="8"/>
  <c r="I180" i="8"/>
  <c r="G180" i="8"/>
  <c r="D180" i="8"/>
  <c r="C180" i="8"/>
  <c r="B180" i="8"/>
  <c r="A180" i="8"/>
  <c r="N179" i="8"/>
  <c r="K179" i="8"/>
  <c r="G179" i="8"/>
  <c r="D179" i="8"/>
  <c r="C179" i="8"/>
  <c r="B179" i="8"/>
  <c r="I179" i="8" s="1"/>
  <c r="A179" i="8"/>
  <c r="D178" i="8"/>
  <c r="C178" i="8"/>
  <c r="B178" i="8"/>
  <c r="A178" i="8"/>
  <c r="N177" i="8"/>
  <c r="K177" i="8"/>
  <c r="I177" i="8"/>
  <c r="G177" i="8"/>
  <c r="D177" i="8"/>
  <c r="C177" i="8"/>
  <c r="B177" i="8"/>
  <c r="A177" i="8"/>
  <c r="D176" i="8"/>
  <c r="C176" i="8"/>
  <c r="B176" i="8"/>
  <c r="A176" i="8"/>
  <c r="D175" i="8"/>
  <c r="C175" i="8"/>
  <c r="B175" i="8"/>
  <c r="A175" i="8"/>
  <c r="N174" i="8"/>
  <c r="K174" i="8"/>
  <c r="I174" i="8"/>
  <c r="G174" i="8"/>
  <c r="D174" i="8"/>
  <c r="C174" i="8"/>
  <c r="B174" i="8"/>
  <c r="A174" i="8"/>
  <c r="D173" i="8"/>
  <c r="C173" i="8"/>
  <c r="B173" i="8"/>
  <c r="A173" i="8"/>
  <c r="N172" i="8"/>
  <c r="K172" i="8"/>
  <c r="I172" i="8"/>
  <c r="G172" i="8"/>
  <c r="D172" i="8"/>
  <c r="C172" i="8"/>
  <c r="B172" i="8"/>
  <c r="A172" i="8"/>
  <c r="N171" i="8"/>
  <c r="K171" i="8"/>
  <c r="G171" i="8"/>
  <c r="D171" i="8"/>
  <c r="C171" i="8"/>
  <c r="B171" i="8"/>
  <c r="I171" i="8" s="1"/>
  <c r="A171" i="8"/>
  <c r="I170" i="8"/>
  <c r="D170" i="8"/>
  <c r="C170" i="8"/>
  <c r="B170" i="8"/>
  <c r="A170" i="8"/>
  <c r="N169" i="8"/>
  <c r="K169" i="8"/>
  <c r="G169" i="8"/>
  <c r="D169" i="8"/>
  <c r="C169" i="8"/>
  <c r="B169" i="8"/>
  <c r="A169" i="8"/>
  <c r="N168" i="8"/>
  <c r="D168" i="8"/>
  <c r="C168" i="8"/>
  <c r="B168" i="8"/>
  <c r="A168" i="8"/>
  <c r="D167" i="8"/>
  <c r="C167" i="8"/>
  <c r="B167" i="8"/>
  <c r="A167" i="8"/>
  <c r="I166" i="8"/>
  <c r="G166" i="8"/>
  <c r="D166" i="8"/>
  <c r="C166" i="8"/>
  <c r="N166" i="8" s="1"/>
  <c r="B166" i="8"/>
  <c r="A166" i="8"/>
  <c r="K165" i="8"/>
  <c r="D165" i="8"/>
  <c r="C165" i="8"/>
  <c r="B165" i="8"/>
  <c r="N165" i="8" s="1"/>
  <c r="A165" i="8"/>
  <c r="N164" i="8"/>
  <c r="K164" i="8"/>
  <c r="I164" i="8"/>
  <c r="G164" i="8"/>
  <c r="D164" i="8"/>
  <c r="C164" i="8"/>
  <c r="B164" i="8"/>
  <c r="A164" i="8"/>
  <c r="D163" i="8"/>
  <c r="C163" i="8"/>
  <c r="B163" i="8"/>
  <c r="I163" i="8" s="1"/>
  <c r="A163" i="8"/>
  <c r="D162" i="8"/>
  <c r="C162" i="8"/>
  <c r="B162" i="8"/>
  <c r="A162" i="8"/>
  <c r="N161" i="8"/>
  <c r="K161" i="8"/>
  <c r="I161" i="8"/>
  <c r="G161" i="8"/>
  <c r="D161" i="8"/>
  <c r="C161" i="8"/>
  <c r="B161" i="8"/>
  <c r="A161" i="8"/>
  <c r="D160" i="8"/>
  <c r="C160" i="8"/>
  <c r="B160" i="8"/>
  <c r="A160" i="8"/>
  <c r="N159" i="8"/>
  <c r="D159" i="8"/>
  <c r="C159" i="8"/>
  <c r="B159" i="8"/>
  <c r="A159" i="8"/>
  <c r="N158" i="8"/>
  <c r="K158" i="8"/>
  <c r="I158" i="8"/>
  <c r="G158" i="8"/>
  <c r="D158" i="8"/>
  <c r="C158" i="8"/>
  <c r="B158" i="8"/>
  <c r="A158" i="8"/>
  <c r="D157" i="8"/>
  <c r="C157" i="8"/>
  <c r="B157" i="8"/>
  <c r="A157" i="8"/>
  <c r="N156" i="8"/>
  <c r="D156" i="8"/>
  <c r="C156" i="8"/>
  <c r="B156" i="8"/>
  <c r="A156" i="8"/>
  <c r="N155" i="8"/>
  <c r="K155" i="8"/>
  <c r="D155" i="8"/>
  <c r="C155" i="8"/>
  <c r="G155" i="8" s="1"/>
  <c r="B155" i="8"/>
  <c r="A155" i="8"/>
  <c r="D154" i="8"/>
  <c r="C154" i="8"/>
  <c r="B154" i="8"/>
  <c r="A154" i="8"/>
  <c r="D153" i="8"/>
  <c r="C153" i="8"/>
  <c r="B153" i="8"/>
  <c r="A153" i="8"/>
  <c r="K152" i="8"/>
  <c r="D152" i="8"/>
  <c r="C152" i="8"/>
  <c r="G152" i="8" s="1"/>
  <c r="B152" i="8"/>
  <c r="A152" i="8"/>
  <c r="D151" i="8"/>
  <c r="C151" i="8"/>
  <c r="B151" i="8"/>
  <c r="A151" i="8"/>
  <c r="D150" i="8"/>
  <c r="C150" i="8"/>
  <c r="B150" i="8"/>
  <c r="A150" i="8"/>
  <c r="N149" i="8"/>
  <c r="G149" i="8"/>
  <c r="D149" i="8"/>
  <c r="C149" i="8"/>
  <c r="B149" i="8"/>
  <c r="A149" i="8"/>
  <c r="G148" i="8"/>
  <c r="D148" i="8"/>
  <c r="C148" i="8"/>
  <c r="B148" i="8"/>
  <c r="A148" i="8"/>
  <c r="D147" i="8"/>
  <c r="C147" i="8"/>
  <c r="B147" i="8"/>
  <c r="A147" i="8"/>
  <c r="D146" i="8"/>
  <c r="C146" i="8"/>
  <c r="B146" i="8"/>
  <c r="A146" i="8"/>
  <c r="N145" i="8"/>
  <c r="K145" i="8"/>
  <c r="I145" i="8"/>
  <c r="D145" i="8"/>
  <c r="C145" i="8"/>
  <c r="G145" i="8" s="1"/>
  <c r="B145" i="8"/>
  <c r="A145" i="8"/>
  <c r="D144" i="8"/>
  <c r="C144" i="8"/>
  <c r="B144" i="8"/>
  <c r="A144" i="8"/>
  <c r="D143" i="8"/>
  <c r="C143" i="8"/>
  <c r="B143" i="8"/>
  <c r="A143" i="8"/>
  <c r="D142" i="8"/>
  <c r="C142" i="8"/>
  <c r="B142" i="8"/>
  <c r="A142" i="8"/>
  <c r="K141" i="8"/>
  <c r="D141" i="8"/>
  <c r="C141" i="8"/>
  <c r="B141" i="8"/>
  <c r="A141" i="8"/>
  <c r="K140" i="8"/>
  <c r="I140" i="8"/>
  <c r="D140" i="8"/>
  <c r="C140" i="8"/>
  <c r="B140" i="8"/>
  <c r="A140" i="8"/>
  <c r="I139" i="8"/>
  <c r="D139" i="8"/>
  <c r="C139" i="8"/>
  <c r="K139" i="8" s="1"/>
  <c r="B139" i="8"/>
  <c r="A139" i="8"/>
  <c r="I138" i="8"/>
  <c r="D138" i="8"/>
  <c r="C138" i="8"/>
  <c r="B138" i="8"/>
  <c r="A138" i="8"/>
  <c r="D137" i="8"/>
  <c r="C137" i="8"/>
  <c r="B137" i="8"/>
  <c r="A137" i="8"/>
  <c r="D136" i="8"/>
  <c r="C136" i="8"/>
  <c r="B136" i="8"/>
  <c r="A136" i="8"/>
  <c r="K135" i="8"/>
  <c r="I135" i="8"/>
  <c r="D135" i="8"/>
  <c r="C135" i="8"/>
  <c r="B135" i="8"/>
  <c r="A135" i="8"/>
  <c r="K134" i="8"/>
  <c r="I134" i="8"/>
  <c r="D134" i="8"/>
  <c r="C134" i="8"/>
  <c r="B134" i="8"/>
  <c r="A134" i="8"/>
  <c r="K133" i="8"/>
  <c r="D133" i="8"/>
  <c r="C133" i="8"/>
  <c r="B133" i="8"/>
  <c r="A133" i="8"/>
  <c r="D132" i="8"/>
  <c r="C132" i="8"/>
  <c r="B132" i="8"/>
  <c r="A132" i="8"/>
  <c r="D131" i="8"/>
  <c r="C131" i="8"/>
  <c r="B131" i="8"/>
  <c r="A131" i="8"/>
  <c r="K130" i="8"/>
  <c r="D130" i="8"/>
  <c r="C130" i="8"/>
  <c r="I130" i="8" s="1"/>
  <c r="B130" i="8"/>
  <c r="A130" i="8"/>
  <c r="K129" i="8"/>
  <c r="I129" i="8"/>
  <c r="D129" i="8"/>
  <c r="C129" i="8"/>
  <c r="B129" i="8"/>
  <c r="A129" i="8"/>
  <c r="K128" i="8"/>
  <c r="D128" i="8"/>
  <c r="C128" i="8"/>
  <c r="B128" i="8"/>
  <c r="A128" i="8"/>
  <c r="D127" i="8"/>
  <c r="C127" i="8"/>
  <c r="I127" i="8" s="1"/>
  <c r="B127" i="8"/>
  <c r="A127" i="8"/>
  <c r="D126" i="8"/>
  <c r="C126" i="8"/>
  <c r="B126" i="8"/>
  <c r="A126" i="8"/>
  <c r="K125" i="8"/>
  <c r="D125" i="8"/>
  <c r="C125" i="8"/>
  <c r="B125" i="8"/>
  <c r="A125" i="8"/>
  <c r="K124" i="8"/>
  <c r="I124" i="8"/>
  <c r="D124" i="8"/>
  <c r="C124" i="8"/>
  <c r="B124" i="8"/>
  <c r="A124" i="8"/>
  <c r="D123" i="8"/>
  <c r="C123" i="8"/>
  <c r="K123" i="8" s="1"/>
  <c r="B123" i="8"/>
  <c r="A123" i="8"/>
  <c r="I122" i="8"/>
  <c r="D122" i="8"/>
  <c r="C122" i="8"/>
  <c r="B122" i="8"/>
  <c r="A122" i="8"/>
  <c r="D121" i="8"/>
  <c r="C121" i="8"/>
  <c r="B121" i="8"/>
  <c r="A121" i="8"/>
  <c r="D120" i="8"/>
  <c r="C120" i="8"/>
  <c r="B120" i="8"/>
  <c r="A120" i="8"/>
  <c r="K119" i="8"/>
  <c r="I119" i="8"/>
  <c r="D119" i="8"/>
  <c r="C119" i="8"/>
  <c r="B119" i="8"/>
  <c r="A119" i="8"/>
  <c r="K118" i="8"/>
  <c r="I118" i="8"/>
  <c r="D118" i="8"/>
  <c r="C118" i="8"/>
  <c r="B118" i="8"/>
  <c r="A118" i="8"/>
  <c r="D117" i="8"/>
  <c r="C117" i="8"/>
  <c r="B117" i="8"/>
  <c r="A117" i="8"/>
  <c r="I116" i="8"/>
  <c r="D116" i="8"/>
  <c r="C116" i="8"/>
  <c r="B116" i="8"/>
  <c r="A116" i="8"/>
  <c r="D115" i="8"/>
  <c r="C115" i="8"/>
  <c r="B115" i="8"/>
  <c r="A115" i="8"/>
  <c r="K114" i="8"/>
  <c r="D114" i="8"/>
  <c r="C114" i="8"/>
  <c r="I114" i="8" s="1"/>
  <c r="B114" i="8"/>
  <c r="A114" i="8"/>
  <c r="K113" i="8"/>
  <c r="I113" i="8"/>
  <c r="D113" i="8"/>
  <c r="C113" i="8"/>
  <c r="B113" i="8"/>
  <c r="A113" i="8"/>
  <c r="D112" i="8"/>
  <c r="C112" i="8"/>
  <c r="B112" i="8"/>
  <c r="A112" i="8"/>
  <c r="D111" i="8"/>
  <c r="C111" i="8"/>
  <c r="B111" i="8"/>
  <c r="A111" i="8"/>
  <c r="D110" i="8"/>
  <c r="C110" i="8"/>
  <c r="B110" i="8"/>
  <c r="A110" i="8"/>
  <c r="D109" i="8"/>
  <c r="C109" i="8"/>
  <c r="B109" i="8"/>
  <c r="A109" i="8"/>
  <c r="K108" i="8"/>
  <c r="I108" i="8"/>
  <c r="D108" i="8"/>
  <c r="C108" i="8"/>
  <c r="B108" i="8"/>
  <c r="A108" i="8"/>
  <c r="K107" i="8"/>
  <c r="I107" i="8"/>
  <c r="G107" i="8"/>
  <c r="D107" i="8"/>
  <c r="C107" i="8"/>
  <c r="B107" i="8"/>
  <c r="A107" i="8"/>
  <c r="K106" i="8"/>
  <c r="I106" i="8"/>
  <c r="G106" i="8"/>
  <c r="D106" i="8"/>
  <c r="C106" i="8"/>
  <c r="B106" i="8"/>
  <c r="N106" i="8" s="1"/>
  <c r="A106" i="8"/>
  <c r="K105" i="8"/>
  <c r="I105" i="8"/>
  <c r="G105" i="8"/>
  <c r="D105" i="8"/>
  <c r="C105" i="8"/>
  <c r="B105" i="8"/>
  <c r="N105" i="8" s="1"/>
  <c r="A105" i="8"/>
  <c r="K104" i="8"/>
  <c r="I104" i="8"/>
  <c r="G104" i="8"/>
  <c r="D104" i="8"/>
  <c r="C104" i="8"/>
  <c r="B104" i="8"/>
  <c r="N104" i="8" s="1"/>
  <c r="A104" i="8"/>
  <c r="K103" i="8"/>
  <c r="I103" i="8"/>
  <c r="G103" i="8"/>
  <c r="D103" i="8"/>
  <c r="C103" i="8"/>
  <c r="B103" i="8"/>
  <c r="N103" i="8" s="1"/>
  <c r="A103" i="8"/>
  <c r="K102" i="8"/>
  <c r="I102" i="8"/>
  <c r="G102" i="8"/>
  <c r="D102" i="8"/>
  <c r="C102" i="8"/>
  <c r="B102" i="8"/>
  <c r="N102" i="8" s="1"/>
  <c r="A102" i="8"/>
  <c r="K101" i="8"/>
  <c r="I101" i="8"/>
  <c r="G101" i="8"/>
  <c r="D101" i="8"/>
  <c r="C101" i="8"/>
  <c r="B101" i="8"/>
  <c r="N101" i="8" s="1"/>
  <c r="A101" i="8"/>
  <c r="K100" i="8"/>
  <c r="I100" i="8"/>
  <c r="G100" i="8"/>
  <c r="D100" i="8"/>
  <c r="C100" i="8"/>
  <c r="B100" i="8"/>
  <c r="N100" i="8" s="1"/>
  <c r="A100" i="8"/>
  <c r="K99" i="8"/>
  <c r="I99" i="8"/>
  <c r="G99" i="8"/>
  <c r="D99" i="8"/>
  <c r="C99" i="8"/>
  <c r="B99" i="8"/>
  <c r="N99" i="8" s="1"/>
  <c r="A99" i="8"/>
  <c r="K98" i="8"/>
  <c r="I98" i="8"/>
  <c r="G98" i="8"/>
  <c r="D98" i="8"/>
  <c r="C98" i="8"/>
  <c r="B98" i="8"/>
  <c r="N98" i="8" s="1"/>
  <c r="A98" i="8"/>
  <c r="K97" i="8"/>
  <c r="I97" i="8"/>
  <c r="G97" i="8"/>
  <c r="D97" i="8"/>
  <c r="C97" i="8"/>
  <c r="B97" i="8"/>
  <c r="N97" i="8" s="1"/>
  <c r="A97" i="8"/>
  <c r="K96" i="8"/>
  <c r="I96" i="8"/>
  <c r="G96" i="8"/>
  <c r="D96" i="8"/>
  <c r="C96" i="8"/>
  <c r="B96" i="8"/>
  <c r="N96" i="8" s="1"/>
  <c r="A96" i="8"/>
  <c r="K95" i="8"/>
  <c r="I95" i="8"/>
  <c r="G95" i="8"/>
  <c r="D95" i="8"/>
  <c r="C95" i="8"/>
  <c r="B95" i="8"/>
  <c r="N95" i="8" s="1"/>
  <c r="A95" i="8"/>
  <c r="K94" i="8"/>
  <c r="I94" i="8"/>
  <c r="G94" i="8"/>
  <c r="D94" i="8"/>
  <c r="C94" i="8"/>
  <c r="B94" i="8"/>
  <c r="N94" i="8" s="1"/>
  <c r="A94" i="8"/>
  <c r="K93" i="8"/>
  <c r="I93" i="8"/>
  <c r="G93" i="8"/>
  <c r="D93" i="8"/>
  <c r="C93" i="8"/>
  <c r="B93" i="8"/>
  <c r="N93" i="8" s="1"/>
  <c r="A93" i="8"/>
  <c r="K92" i="8"/>
  <c r="I92" i="8"/>
  <c r="G92" i="8"/>
  <c r="D92" i="8"/>
  <c r="C92" i="8"/>
  <c r="B92" i="8"/>
  <c r="N92" i="8" s="1"/>
  <c r="A92" i="8"/>
  <c r="K91" i="8"/>
  <c r="I91" i="8"/>
  <c r="G91" i="8"/>
  <c r="D91" i="8"/>
  <c r="C91" i="8"/>
  <c r="B91" i="8"/>
  <c r="N91" i="8" s="1"/>
  <c r="A91" i="8"/>
  <c r="K90" i="8"/>
  <c r="I90" i="8"/>
  <c r="G90" i="8"/>
  <c r="D90" i="8"/>
  <c r="C90" i="8"/>
  <c r="B90" i="8"/>
  <c r="N90" i="8" s="1"/>
  <c r="A90" i="8"/>
  <c r="K89" i="8"/>
  <c r="I89" i="8"/>
  <c r="G89" i="8"/>
  <c r="D89" i="8"/>
  <c r="C89" i="8"/>
  <c r="B89" i="8"/>
  <c r="N89" i="8" s="1"/>
  <c r="A89" i="8"/>
  <c r="K88" i="8"/>
  <c r="I88" i="8"/>
  <c r="G88" i="8"/>
  <c r="D88" i="8"/>
  <c r="C88" i="8"/>
  <c r="B88" i="8"/>
  <c r="N88" i="8" s="1"/>
  <c r="A88" i="8"/>
  <c r="K87" i="8"/>
  <c r="I87" i="8"/>
  <c r="G87" i="8"/>
  <c r="D87" i="8"/>
  <c r="C87" i="8"/>
  <c r="B87" i="8"/>
  <c r="N87" i="8" s="1"/>
  <c r="A87" i="8"/>
  <c r="K86" i="8"/>
  <c r="I86" i="8"/>
  <c r="G86" i="8"/>
  <c r="D86" i="8"/>
  <c r="C86" i="8"/>
  <c r="B86" i="8"/>
  <c r="N86" i="8" s="1"/>
  <c r="A86" i="8"/>
  <c r="K85" i="8"/>
  <c r="I85" i="8"/>
  <c r="G85" i="8"/>
  <c r="D85" i="8"/>
  <c r="C85" i="8"/>
  <c r="B85" i="8"/>
  <c r="N85" i="8" s="1"/>
  <c r="A85" i="8"/>
  <c r="K84" i="8"/>
  <c r="I84" i="8"/>
  <c r="G84" i="8"/>
  <c r="D84" i="8"/>
  <c r="C84" i="8"/>
  <c r="B84" i="8"/>
  <c r="N84" i="8" s="1"/>
  <c r="A84" i="8"/>
  <c r="K83" i="8"/>
  <c r="I83" i="8"/>
  <c r="G83" i="8"/>
  <c r="D83" i="8"/>
  <c r="C83" i="8"/>
  <c r="B83" i="8"/>
  <c r="N83" i="8" s="1"/>
  <c r="A83" i="8"/>
  <c r="K82" i="8"/>
  <c r="I82" i="8"/>
  <c r="G82" i="8"/>
  <c r="D82" i="8"/>
  <c r="C82" i="8"/>
  <c r="B82" i="8"/>
  <c r="N82" i="8" s="1"/>
  <c r="A82" i="8"/>
  <c r="I81" i="8"/>
  <c r="D81" i="8"/>
  <c r="C81" i="8"/>
  <c r="B81" i="8"/>
  <c r="K81" i="8" s="1"/>
  <c r="A81" i="8"/>
  <c r="K80" i="8"/>
  <c r="I80" i="8"/>
  <c r="G80" i="8"/>
  <c r="D80" i="8"/>
  <c r="C80" i="8"/>
  <c r="B80" i="8"/>
  <c r="N80" i="8" s="1"/>
  <c r="A80" i="8"/>
  <c r="D79" i="8"/>
  <c r="C79" i="8"/>
  <c r="B79" i="8"/>
  <c r="A79" i="8"/>
  <c r="K78" i="8"/>
  <c r="I78" i="8"/>
  <c r="G78" i="8"/>
  <c r="D78" i="8"/>
  <c r="C78" i="8"/>
  <c r="B78" i="8"/>
  <c r="N78" i="8" s="1"/>
  <c r="A78" i="8"/>
  <c r="D77" i="8"/>
  <c r="C77" i="8"/>
  <c r="B77" i="8"/>
  <c r="A77" i="8"/>
  <c r="K76" i="8"/>
  <c r="I76" i="8"/>
  <c r="G76" i="8"/>
  <c r="D76" i="8"/>
  <c r="C76" i="8"/>
  <c r="B76" i="8"/>
  <c r="N76" i="8" s="1"/>
  <c r="A76" i="8"/>
  <c r="D75" i="8"/>
  <c r="C75" i="8"/>
  <c r="B75" i="8"/>
  <c r="A75" i="8"/>
  <c r="D74" i="8"/>
  <c r="C74" i="8"/>
  <c r="B74" i="8"/>
  <c r="A74" i="8"/>
  <c r="K73" i="8"/>
  <c r="I73" i="8"/>
  <c r="D73" i="8"/>
  <c r="C73" i="8"/>
  <c r="B73" i="8"/>
  <c r="A73" i="8"/>
  <c r="D72" i="8"/>
  <c r="C72" i="8"/>
  <c r="B72" i="8"/>
  <c r="A72" i="8"/>
  <c r="K71" i="8"/>
  <c r="I71" i="8"/>
  <c r="D71" i="8"/>
  <c r="C71" i="8"/>
  <c r="B71" i="8"/>
  <c r="A71" i="8"/>
  <c r="D70" i="8"/>
  <c r="C70" i="8"/>
  <c r="B70" i="8"/>
  <c r="A70" i="8"/>
  <c r="K69" i="8"/>
  <c r="D69" i="8"/>
  <c r="C69" i="8"/>
  <c r="B69" i="8"/>
  <c r="A69" i="8"/>
  <c r="K68" i="8"/>
  <c r="G68" i="8"/>
  <c r="D68" i="8"/>
  <c r="C68" i="8"/>
  <c r="B68" i="8"/>
  <c r="N68" i="8" s="1"/>
  <c r="A68" i="8"/>
  <c r="I67" i="8"/>
  <c r="D67" i="8"/>
  <c r="C67" i="8"/>
  <c r="B67" i="8"/>
  <c r="A67" i="8"/>
  <c r="D66" i="8"/>
  <c r="C66" i="8"/>
  <c r="B66" i="8"/>
  <c r="A66" i="8"/>
  <c r="K65" i="8"/>
  <c r="I65" i="8"/>
  <c r="G65" i="8"/>
  <c r="D65" i="8"/>
  <c r="C65" i="8"/>
  <c r="B65" i="8"/>
  <c r="N65" i="8" s="1"/>
  <c r="A65" i="8"/>
  <c r="I64" i="8"/>
  <c r="G64" i="8"/>
  <c r="D64" i="8"/>
  <c r="C64" i="8"/>
  <c r="B64" i="8"/>
  <c r="A64" i="8"/>
  <c r="I63" i="8"/>
  <c r="G63" i="8"/>
  <c r="D63" i="8"/>
  <c r="C63" i="8"/>
  <c r="B63" i="8"/>
  <c r="A63" i="8"/>
  <c r="K62" i="8"/>
  <c r="G62" i="8"/>
  <c r="D62" i="8"/>
  <c r="C62" i="8"/>
  <c r="B62" i="8"/>
  <c r="A62" i="8"/>
  <c r="K61" i="8"/>
  <c r="I61" i="8"/>
  <c r="G61" i="8"/>
  <c r="D61" i="8"/>
  <c r="C61" i="8"/>
  <c r="B61" i="8"/>
  <c r="N61" i="8" s="1"/>
  <c r="A61" i="8"/>
  <c r="K60" i="8"/>
  <c r="I60" i="8"/>
  <c r="D60" i="8"/>
  <c r="C60" i="8"/>
  <c r="B60" i="8"/>
  <c r="N60" i="8" s="1"/>
  <c r="A60" i="8"/>
  <c r="K59" i="8"/>
  <c r="I59" i="8"/>
  <c r="D59" i="8"/>
  <c r="C59" i="8"/>
  <c r="B59" i="8"/>
  <c r="N59" i="8" s="1"/>
  <c r="A59" i="8"/>
  <c r="D58" i="8"/>
  <c r="C58" i="8"/>
  <c r="B58" i="8"/>
  <c r="A58" i="8"/>
  <c r="D57" i="8"/>
  <c r="C57" i="8"/>
  <c r="B57" i="8"/>
  <c r="A57" i="8"/>
  <c r="I56" i="8"/>
  <c r="D56" i="8"/>
  <c r="C56" i="8"/>
  <c r="B56" i="8"/>
  <c r="A56" i="8"/>
  <c r="D55" i="8"/>
  <c r="C55" i="8"/>
  <c r="B55" i="8"/>
  <c r="A55" i="8"/>
  <c r="K54" i="8"/>
  <c r="I54" i="8"/>
  <c r="D54" i="8"/>
  <c r="C54" i="8"/>
  <c r="B54" i="8"/>
  <c r="A54" i="8"/>
  <c r="K53" i="8"/>
  <c r="I53" i="8"/>
  <c r="G53" i="8"/>
  <c r="D53" i="8"/>
  <c r="C53" i="8"/>
  <c r="B53" i="8"/>
  <c r="N53" i="8" s="1"/>
  <c r="A53" i="8"/>
  <c r="D52" i="8"/>
  <c r="C52" i="8"/>
  <c r="B52" i="8"/>
  <c r="A52" i="8"/>
  <c r="K51" i="8"/>
  <c r="I51" i="8"/>
  <c r="D51" i="8"/>
  <c r="C51" i="8"/>
  <c r="B51" i="8"/>
  <c r="A51" i="8"/>
  <c r="D50" i="8"/>
  <c r="C50" i="8"/>
  <c r="B50" i="8"/>
  <c r="A50" i="8"/>
  <c r="K49" i="8"/>
  <c r="I49" i="8"/>
  <c r="G49" i="8"/>
  <c r="D49" i="8"/>
  <c r="C49" i="8"/>
  <c r="B49" i="8"/>
  <c r="N49" i="8" s="1"/>
  <c r="A49" i="8"/>
  <c r="I48" i="8"/>
  <c r="D48" i="8"/>
  <c r="C48" i="8"/>
  <c r="B48" i="8"/>
  <c r="A48" i="8"/>
  <c r="I47" i="8"/>
  <c r="G47" i="8"/>
  <c r="D47" i="8"/>
  <c r="C47" i="8"/>
  <c r="B47" i="8"/>
  <c r="A47" i="8"/>
  <c r="K46" i="8"/>
  <c r="D46" i="8"/>
  <c r="C46" i="8"/>
  <c r="B46" i="8"/>
  <c r="A46" i="8"/>
  <c r="K45" i="8"/>
  <c r="I45" i="8"/>
  <c r="G45" i="8"/>
  <c r="D45" i="8"/>
  <c r="C45" i="8"/>
  <c r="B45" i="8"/>
  <c r="N45" i="8" s="1"/>
  <c r="A45" i="8"/>
  <c r="D44" i="8"/>
  <c r="C44" i="8"/>
  <c r="B44" i="8"/>
  <c r="A44" i="8"/>
  <c r="I43" i="8"/>
  <c r="D43" i="8"/>
  <c r="C43" i="8"/>
  <c r="B43" i="8"/>
  <c r="A43" i="8"/>
  <c r="G42" i="8"/>
  <c r="D42" i="8"/>
  <c r="C42" i="8"/>
  <c r="B42" i="8"/>
  <c r="A42" i="8"/>
  <c r="K41" i="8"/>
  <c r="I41" i="8"/>
  <c r="G41" i="8"/>
  <c r="D41" i="8"/>
  <c r="C41" i="8"/>
  <c r="B41" i="8"/>
  <c r="A41" i="8"/>
  <c r="I40" i="8"/>
  <c r="D40" i="8"/>
  <c r="C40" i="8"/>
  <c r="B40" i="8"/>
  <c r="A40" i="8"/>
  <c r="D39" i="8"/>
  <c r="C39" i="8"/>
  <c r="B39" i="8"/>
  <c r="A39" i="8"/>
  <c r="K38" i="8"/>
  <c r="I38" i="8"/>
  <c r="D38" i="8"/>
  <c r="C38" i="8"/>
  <c r="B38" i="8"/>
  <c r="A38" i="8"/>
  <c r="K37" i="8"/>
  <c r="I37" i="8"/>
  <c r="D37" i="8"/>
  <c r="C37" i="8"/>
  <c r="B37" i="8"/>
  <c r="A37" i="8"/>
  <c r="I36" i="8"/>
  <c r="G36" i="8"/>
  <c r="D36" i="8"/>
  <c r="C36" i="8"/>
  <c r="B36" i="8"/>
  <c r="A36" i="8"/>
  <c r="D35" i="8"/>
  <c r="C35" i="8"/>
  <c r="B35" i="8"/>
  <c r="A35" i="8"/>
  <c r="D34" i="8"/>
  <c r="C34" i="8"/>
  <c r="B34" i="8"/>
  <c r="A34" i="8"/>
  <c r="G33" i="8"/>
  <c r="D33" i="8"/>
  <c r="C33" i="8"/>
  <c r="B33" i="8"/>
  <c r="A33" i="8"/>
  <c r="I32" i="8"/>
  <c r="D32" i="8"/>
  <c r="C32" i="8"/>
  <c r="B32" i="8"/>
  <c r="A32" i="8"/>
  <c r="D31" i="8"/>
  <c r="C31" i="8"/>
  <c r="G31" i="8" s="1"/>
  <c r="B31" i="8"/>
  <c r="A31" i="8"/>
  <c r="I30" i="8"/>
  <c r="D30" i="8"/>
  <c r="C30" i="8"/>
  <c r="B30" i="8"/>
  <c r="A30" i="8"/>
  <c r="K29" i="8"/>
  <c r="I29" i="8"/>
  <c r="D29" i="8"/>
  <c r="C29" i="8"/>
  <c r="B29" i="8"/>
  <c r="A29" i="8"/>
  <c r="D28" i="8"/>
  <c r="C28" i="8"/>
  <c r="B28" i="8"/>
  <c r="A28" i="8"/>
  <c r="K27" i="8"/>
  <c r="G27" i="8"/>
  <c r="D27" i="8"/>
  <c r="C27" i="8"/>
  <c r="B27" i="8"/>
  <c r="A27" i="8"/>
  <c r="D26" i="8"/>
  <c r="C26" i="8"/>
  <c r="B26" i="8"/>
  <c r="A26" i="8"/>
  <c r="D25" i="8"/>
  <c r="C25" i="8"/>
  <c r="K25" i="8" s="1"/>
  <c r="B25" i="8"/>
  <c r="A25" i="8"/>
  <c r="I24" i="8"/>
  <c r="D24" i="8"/>
  <c r="C24" i="8"/>
  <c r="B24" i="8"/>
  <c r="A24" i="8"/>
  <c r="D23" i="8"/>
  <c r="C23" i="8"/>
  <c r="B23" i="8"/>
  <c r="I23" i="8" s="1"/>
  <c r="A23" i="8"/>
  <c r="D22" i="8"/>
  <c r="C22" i="8"/>
  <c r="B22" i="8"/>
  <c r="A22" i="8"/>
  <c r="D21" i="8"/>
  <c r="C21" i="8"/>
  <c r="B21" i="8"/>
  <c r="A21" i="8"/>
  <c r="N20" i="8"/>
  <c r="D20" i="8"/>
  <c r="C20" i="8"/>
  <c r="B20" i="8"/>
  <c r="A20" i="8"/>
  <c r="N19" i="8"/>
  <c r="D19" i="8"/>
  <c r="C19" i="8"/>
  <c r="B19" i="8"/>
  <c r="A19" i="8"/>
  <c r="N18" i="8"/>
  <c r="I18" i="8"/>
  <c r="D18" i="8"/>
  <c r="C18" i="8"/>
  <c r="B18" i="8"/>
  <c r="A18" i="8"/>
  <c r="D17" i="8"/>
  <c r="C17" i="8"/>
  <c r="B17" i="8"/>
  <c r="A17" i="8"/>
  <c r="N16" i="8"/>
  <c r="I16" i="8"/>
  <c r="D16" i="8"/>
  <c r="C16" i="8"/>
  <c r="B16" i="8"/>
  <c r="A16" i="8"/>
  <c r="D15" i="8"/>
  <c r="C15" i="8"/>
  <c r="B15" i="8"/>
  <c r="A15" i="8"/>
  <c r="N14" i="8"/>
  <c r="I14" i="8"/>
  <c r="D14" i="8"/>
  <c r="C14" i="8"/>
  <c r="B14" i="8"/>
  <c r="A14" i="8"/>
  <c r="D13" i="8"/>
  <c r="C13" i="8"/>
  <c r="B13" i="8"/>
  <c r="A13" i="8"/>
  <c r="D12" i="8"/>
  <c r="C12" i="8"/>
  <c r="B12" i="8"/>
  <c r="A12" i="8"/>
  <c r="N11" i="8"/>
  <c r="D11" i="8"/>
  <c r="C11" i="8"/>
  <c r="B11" i="8"/>
  <c r="A11" i="8"/>
  <c r="N10" i="8"/>
  <c r="I10" i="8"/>
  <c r="D10" i="8"/>
  <c r="C10" i="8"/>
  <c r="B10" i="8"/>
  <c r="A10" i="8"/>
  <c r="N9" i="8"/>
  <c r="I9" i="8"/>
  <c r="D9" i="8"/>
  <c r="C9" i="8"/>
  <c r="B9" i="8"/>
  <c r="A9" i="8"/>
  <c r="N8" i="8"/>
  <c r="I8" i="8"/>
  <c r="D8" i="8"/>
  <c r="C8" i="8"/>
  <c r="B8" i="8"/>
  <c r="A8" i="8"/>
  <c r="D7" i="8"/>
  <c r="C7" i="8"/>
  <c r="B7" i="8"/>
  <c r="A7" i="8"/>
  <c r="D6" i="8"/>
  <c r="C6" i="8"/>
  <c r="B6" i="8"/>
  <c r="A6" i="8"/>
  <c r="D5" i="8"/>
  <c r="C5" i="8"/>
  <c r="B5" i="8"/>
  <c r="A5" i="8"/>
  <c r="N4" i="8"/>
  <c r="I4" i="8"/>
  <c r="D4" i="8"/>
  <c r="C4" i="8"/>
  <c r="B4" i="8"/>
  <c r="A4" i="8"/>
  <c r="D3" i="8"/>
  <c r="C3" i="8"/>
  <c r="B3" i="8"/>
  <c r="A3" i="8"/>
  <c r="D362" i="7"/>
  <c r="C362" i="7"/>
  <c r="B362" i="7"/>
  <c r="A362" i="7"/>
  <c r="N361" i="7"/>
  <c r="K361" i="7"/>
  <c r="I361" i="7"/>
  <c r="G361" i="7"/>
  <c r="D361" i="7"/>
  <c r="C361" i="7"/>
  <c r="B361" i="7"/>
  <c r="A361" i="7"/>
  <c r="N360" i="7"/>
  <c r="K360" i="7"/>
  <c r="I360" i="7"/>
  <c r="G360" i="7"/>
  <c r="D360" i="7"/>
  <c r="C360" i="7"/>
  <c r="B360" i="7"/>
  <c r="A360" i="7"/>
  <c r="I359" i="7"/>
  <c r="D359" i="7"/>
  <c r="C359" i="7"/>
  <c r="G359" i="7" s="1"/>
  <c r="B359" i="7"/>
  <c r="A359" i="7"/>
  <c r="D358" i="7"/>
  <c r="C358" i="7"/>
  <c r="B358" i="7"/>
  <c r="A358" i="7"/>
  <c r="D357" i="7"/>
  <c r="C357" i="7"/>
  <c r="B357" i="7"/>
  <c r="A357" i="7"/>
  <c r="D356" i="7"/>
  <c r="C356" i="7"/>
  <c r="B356" i="7"/>
  <c r="A356" i="7"/>
  <c r="N355" i="7"/>
  <c r="D355" i="7"/>
  <c r="C355" i="7"/>
  <c r="K355" i="7" s="1"/>
  <c r="B355" i="7"/>
  <c r="A355" i="7"/>
  <c r="N354" i="7"/>
  <c r="K354" i="7"/>
  <c r="D354" i="7"/>
  <c r="C354" i="7"/>
  <c r="B354" i="7"/>
  <c r="A354" i="7"/>
  <c r="N353" i="7"/>
  <c r="K353" i="7"/>
  <c r="I353" i="7"/>
  <c r="D353" i="7"/>
  <c r="C353" i="7"/>
  <c r="B353" i="7"/>
  <c r="A353" i="7"/>
  <c r="N352" i="7"/>
  <c r="K352" i="7"/>
  <c r="I352" i="7"/>
  <c r="G352" i="7"/>
  <c r="D352" i="7"/>
  <c r="C352" i="7"/>
  <c r="B352" i="7"/>
  <c r="A352" i="7"/>
  <c r="K351" i="7"/>
  <c r="I351" i="7"/>
  <c r="G351" i="7"/>
  <c r="D351" i="7"/>
  <c r="C351" i="7"/>
  <c r="B351" i="7"/>
  <c r="N351" i="7" s="1"/>
  <c r="A351" i="7"/>
  <c r="N350" i="7"/>
  <c r="K350" i="7"/>
  <c r="I350" i="7"/>
  <c r="G350" i="7"/>
  <c r="D350" i="7"/>
  <c r="C350" i="7"/>
  <c r="B350" i="7"/>
  <c r="A350" i="7"/>
  <c r="K349" i="7"/>
  <c r="G349" i="7"/>
  <c r="D349" i="7"/>
  <c r="C349" i="7"/>
  <c r="B349" i="7"/>
  <c r="N349" i="7" s="1"/>
  <c r="A349" i="7"/>
  <c r="N348" i="7"/>
  <c r="I348" i="7"/>
  <c r="D348" i="7"/>
  <c r="C348" i="7"/>
  <c r="G348" i="7" s="1"/>
  <c r="B348" i="7"/>
  <c r="A348" i="7"/>
  <c r="D347" i="7"/>
  <c r="C347" i="7"/>
  <c r="B347" i="7"/>
  <c r="A347" i="7"/>
  <c r="G346" i="7"/>
  <c r="D346" i="7"/>
  <c r="C346" i="7"/>
  <c r="B346" i="7"/>
  <c r="A346" i="7"/>
  <c r="D345" i="7"/>
  <c r="C345" i="7"/>
  <c r="B345" i="7"/>
  <c r="A345" i="7"/>
  <c r="D344" i="7"/>
  <c r="C344" i="7"/>
  <c r="B344" i="7"/>
  <c r="A344" i="7"/>
  <c r="D343" i="7"/>
  <c r="C343" i="7"/>
  <c r="I343" i="7" s="1"/>
  <c r="B343" i="7"/>
  <c r="N343" i="7" s="1"/>
  <c r="A343" i="7"/>
  <c r="N342" i="7"/>
  <c r="D342" i="7"/>
  <c r="C342" i="7"/>
  <c r="G342" i="7" s="1"/>
  <c r="B342" i="7"/>
  <c r="A342" i="7"/>
  <c r="D341" i="7"/>
  <c r="C341" i="7"/>
  <c r="B341" i="7"/>
  <c r="A341" i="7"/>
  <c r="N340" i="7"/>
  <c r="D340" i="7"/>
  <c r="C340" i="7"/>
  <c r="K340" i="7" s="1"/>
  <c r="B340" i="7"/>
  <c r="A340" i="7"/>
  <c r="N339" i="7"/>
  <c r="K339" i="7"/>
  <c r="D339" i="7"/>
  <c r="C339" i="7"/>
  <c r="B339" i="7"/>
  <c r="I339" i="7" s="1"/>
  <c r="A339" i="7"/>
  <c r="K338" i="7"/>
  <c r="D338" i="7"/>
  <c r="C338" i="7"/>
  <c r="B338" i="7"/>
  <c r="A338" i="7"/>
  <c r="K337" i="7"/>
  <c r="D337" i="7"/>
  <c r="C337" i="7"/>
  <c r="B337" i="7"/>
  <c r="I337" i="7" s="1"/>
  <c r="A337" i="7"/>
  <c r="N336" i="7"/>
  <c r="K336" i="7"/>
  <c r="I336" i="7"/>
  <c r="G336" i="7"/>
  <c r="D336" i="7"/>
  <c r="C336" i="7"/>
  <c r="B336" i="7"/>
  <c r="A336" i="7"/>
  <c r="K335" i="7"/>
  <c r="I335" i="7"/>
  <c r="G335" i="7"/>
  <c r="D335" i="7"/>
  <c r="C335" i="7"/>
  <c r="B335" i="7"/>
  <c r="N335" i="7" s="1"/>
  <c r="A335" i="7"/>
  <c r="N334" i="7"/>
  <c r="K334" i="7"/>
  <c r="I334" i="7"/>
  <c r="G334" i="7"/>
  <c r="D334" i="7"/>
  <c r="C334" i="7"/>
  <c r="B334" i="7"/>
  <c r="A334" i="7"/>
  <c r="K333" i="7"/>
  <c r="G333" i="7"/>
  <c r="D333" i="7"/>
  <c r="C333" i="7"/>
  <c r="B333" i="7"/>
  <c r="N333" i="7" s="1"/>
  <c r="A333" i="7"/>
  <c r="N332" i="7"/>
  <c r="I332" i="7"/>
  <c r="D332" i="7"/>
  <c r="C332" i="7"/>
  <c r="G332" i="7" s="1"/>
  <c r="B332" i="7"/>
  <c r="K332" i="7" s="1"/>
  <c r="A332" i="7"/>
  <c r="D331" i="7"/>
  <c r="C331" i="7"/>
  <c r="B331" i="7"/>
  <c r="A331" i="7"/>
  <c r="D330" i="7"/>
  <c r="C330" i="7"/>
  <c r="B330" i="7"/>
  <c r="A330" i="7"/>
  <c r="I329" i="7"/>
  <c r="D329" i="7"/>
  <c r="C329" i="7"/>
  <c r="B329" i="7"/>
  <c r="A329" i="7"/>
  <c r="D328" i="7"/>
  <c r="C328" i="7"/>
  <c r="B328" i="7"/>
  <c r="A328" i="7"/>
  <c r="I327" i="7"/>
  <c r="D327" i="7"/>
  <c r="C327" i="7"/>
  <c r="B327" i="7"/>
  <c r="N327" i="7" s="1"/>
  <c r="A327" i="7"/>
  <c r="D326" i="7"/>
  <c r="C326" i="7"/>
  <c r="B326" i="7"/>
  <c r="A326" i="7"/>
  <c r="N325" i="7"/>
  <c r="D325" i="7"/>
  <c r="C325" i="7"/>
  <c r="B325" i="7"/>
  <c r="A325" i="7"/>
  <c r="N324" i="7"/>
  <c r="D324" i="7"/>
  <c r="C324" i="7"/>
  <c r="B324" i="7"/>
  <c r="A324" i="7"/>
  <c r="N323" i="7"/>
  <c r="K323" i="7"/>
  <c r="D323" i="7"/>
  <c r="C323" i="7"/>
  <c r="B323" i="7"/>
  <c r="A323" i="7"/>
  <c r="K322" i="7"/>
  <c r="D322" i="7"/>
  <c r="C322" i="7"/>
  <c r="N322" i="7" s="1"/>
  <c r="B322" i="7"/>
  <c r="A322" i="7"/>
  <c r="D321" i="7"/>
  <c r="C321" i="7"/>
  <c r="B321" i="7"/>
  <c r="A321" i="7"/>
  <c r="N320" i="7"/>
  <c r="K320" i="7"/>
  <c r="D320" i="7"/>
  <c r="C320" i="7"/>
  <c r="B320" i="7"/>
  <c r="A320" i="7"/>
  <c r="D319" i="7"/>
  <c r="C319" i="7"/>
  <c r="B319" i="7"/>
  <c r="A319" i="7"/>
  <c r="N318" i="7"/>
  <c r="K318" i="7"/>
  <c r="D318" i="7"/>
  <c r="C318" i="7"/>
  <c r="B318" i="7"/>
  <c r="A318" i="7"/>
  <c r="D317" i="7"/>
  <c r="C317" i="7"/>
  <c r="B317" i="7"/>
  <c r="A317" i="7"/>
  <c r="D316" i="7"/>
  <c r="C316" i="7"/>
  <c r="B316" i="7"/>
  <c r="A316" i="7"/>
  <c r="N315" i="7"/>
  <c r="K315" i="7"/>
  <c r="D315" i="7"/>
  <c r="C315" i="7"/>
  <c r="B315" i="7"/>
  <c r="A315" i="7"/>
  <c r="D314" i="7"/>
  <c r="C314" i="7"/>
  <c r="B314" i="7"/>
  <c r="A314" i="7"/>
  <c r="D313" i="7"/>
  <c r="C313" i="7"/>
  <c r="B313" i="7"/>
  <c r="A313" i="7"/>
  <c r="N312" i="7"/>
  <c r="K312" i="7"/>
  <c r="D312" i="7"/>
  <c r="C312" i="7"/>
  <c r="B312" i="7"/>
  <c r="A312" i="7"/>
  <c r="D311" i="7"/>
  <c r="C311" i="7"/>
  <c r="B311" i="7"/>
  <c r="A311" i="7"/>
  <c r="N310" i="7"/>
  <c r="K310" i="7"/>
  <c r="D310" i="7"/>
  <c r="C310" i="7"/>
  <c r="B310" i="7"/>
  <c r="A310" i="7"/>
  <c r="D309" i="7"/>
  <c r="C309" i="7"/>
  <c r="B309" i="7"/>
  <c r="A309" i="7"/>
  <c r="D308" i="7"/>
  <c r="C308" i="7"/>
  <c r="B308" i="7"/>
  <c r="A308" i="7"/>
  <c r="N307" i="7"/>
  <c r="K307" i="7"/>
  <c r="D307" i="7"/>
  <c r="C307" i="7"/>
  <c r="B307" i="7"/>
  <c r="A307" i="7"/>
  <c r="D306" i="7"/>
  <c r="C306" i="7"/>
  <c r="B306" i="7"/>
  <c r="A306" i="7"/>
  <c r="D305" i="7"/>
  <c r="C305" i="7"/>
  <c r="B305" i="7"/>
  <c r="A305" i="7"/>
  <c r="N304" i="7"/>
  <c r="K304" i="7"/>
  <c r="D304" i="7"/>
  <c r="C304" i="7"/>
  <c r="B304" i="7"/>
  <c r="A304" i="7"/>
  <c r="D303" i="7"/>
  <c r="C303" i="7"/>
  <c r="B303" i="7"/>
  <c r="A303" i="7"/>
  <c r="N302" i="7"/>
  <c r="K302" i="7"/>
  <c r="D302" i="7"/>
  <c r="C302" i="7"/>
  <c r="B302" i="7"/>
  <c r="A302" i="7"/>
  <c r="D301" i="7"/>
  <c r="C301" i="7"/>
  <c r="B301" i="7"/>
  <c r="A301" i="7"/>
  <c r="D300" i="7"/>
  <c r="C300" i="7"/>
  <c r="B300" i="7"/>
  <c r="A300" i="7"/>
  <c r="N299" i="7"/>
  <c r="K299" i="7"/>
  <c r="D299" i="7"/>
  <c r="C299" i="7"/>
  <c r="B299" i="7"/>
  <c r="A299" i="7"/>
  <c r="N298" i="7"/>
  <c r="K298" i="7"/>
  <c r="D298" i="7"/>
  <c r="C298" i="7"/>
  <c r="B298" i="7"/>
  <c r="A298" i="7"/>
  <c r="D297" i="7"/>
  <c r="C297" i="7"/>
  <c r="B297" i="7"/>
  <c r="A297" i="7"/>
  <c r="N296" i="7"/>
  <c r="K296" i="7"/>
  <c r="D296" i="7"/>
  <c r="C296" i="7"/>
  <c r="B296" i="7"/>
  <c r="A296" i="7"/>
  <c r="D295" i="7"/>
  <c r="C295" i="7"/>
  <c r="B295" i="7"/>
  <c r="A295" i="7"/>
  <c r="N294" i="7"/>
  <c r="K294" i="7"/>
  <c r="D294" i="7"/>
  <c r="C294" i="7"/>
  <c r="B294" i="7"/>
  <c r="A294" i="7"/>
  <c r="D293" i="7"/>
  <c r="C293" i="7"/>
  <c r="B293" i="7"/>
  <c r="A293" i="7"/>
  <c r="D292" i="7"/>
  <c r="C292" i="7"/>
  <c r="B292" i="7"/>
  <c r="A292" i="7"/>
  <c r="N291" i="7"/>
  <c r="K291" i="7"/>
  <c r="D291" i="7"/>
  <c r="C291" i="7"/>
  <c r="B291" i="7"/>
  <c r="A291" i="7"/>
  <c r="N290" i="7"/>
  <c r="K290" i="7"/>
  <c r="D290" i="7"/>
  <c r="C290" i="7"/>
  <c r="B290" i="7"/>
  <c r="A290" i="7"/>
  <c r="N289" i="7"/>
  <c r="K289" i="7"/>
  <c r="I289" i="7"/>
  <c r="D289" i="7"/>
  <c r="C289" i="7"/>
  <c r="G289" i="7" s="1"/>
  <c r="B289" i="7"/>
  <c r="A289" i="7"/>
  <c r="N288" i="7"/>
  <c r="K288" i="7"/>
  <c r="I288" i="7"/>
  <c r="D288" i="7"/>
  <c r="C288" i="7"/>
  <c r="G288" i="7" s="1"/>
  <c r="B288" i="7"/>
  <c r="A288" i="7"/>
  <c r="K287" i="7"/>
  <c r="I287" i="7"/>
  <c r="D287" i="7"/>
  <c r="C287" i="7"/>
  <c r="B287" i="7"/>
  <c r="A287" i="7"/>
  <c r="N286" i="7"/>
  <c r="D286" i="7"/>
  <c r="C286" i="7"/>
  <c r="G286" i="7" s="1"/>
  <c r="B286" i="7"/>
  <c r="A286" i="7"/>
  <c r="N285" i="7"/>
  <c r="K285" i="7"/>
  <c r="I285" i="7"/>
  <c r="D285" i="7"/>
  <c r="C285" i="7"/>
  <c r="G285" i="7" s="1"/>
  <c r="B285" i="7"/>
  <c r="A285" i="7"/>
  <c r="K284" i="7"/>
  <c r="D284" i="7"/>
  <c r="C284" i="7"/>
  <c r="B284" i="7"/>
  <c r="A284" i="7"/>
  <c r="I283" i="7"/>
  <c r="D283" i="7"/>
  <c r="C283" i="7"/>
  <c r="B283" i="7"/>
  <c r="A283" i="7"/>
  <c r="N282" i="7"/>
  <c r="K282" i="7"/>
  <c r="I282" i="7"/>
  <c r="D282" i="7"/>
  <c r="C282" i="7"/>
  <c r="G282" i="7" s="1"/>
  <c r="B282" i="7"/>
  <c r="A282" i="7"/>
  <c r="K281" i="7"/>
  <c r="D281" i="7"/>
  <c r="C281" i="7"/>
  <c r="B281" i="7"/>
  <c r="A281" i="7"/>
  <c r="K280" i="7"/>
  <c r="D280" i="7"/>
  <c r="C280" i="7"/>
  <c r="B280" i="7"/>
  <c r="A280" i="7"/>
  <c r="N279" i="7"/>
  <c r="K279" i="7"/>
  <c r="D279" i="7"/>
  <c r="C279" i="7"/>
  <c r="G279" i="7" s="1"/>
  <c r="B279" i="7"/>
  <c r="A279" i="7"/>
  <c r="N278" i="7"/>
  <c r="K278" i="7"/>
  <c r="I278" i="7"/>
  <c r="D278" i="7"/>
  <c r="C278" i="7"/>
  <c r="G278" i="7" s="1"/>
  <c r="B278" i="7"/>
  <c r="A278" i="7"/>
  <c r="D277" i="7"/>
  <c r="C277" i="7"/>
  <c r="B277" i="7"/>
  <c r="A277" i="7"/>
  <c r="D276" i="7"/>
  <c r="C276" i="7"/>
  <c r="N276" i="7" s="1"/>
  <c r="B276" i="7"/>
  <c r="A276" i="7"/>
  <c r="I275" i="7"/>
  <c r="D275" i="7"/>
  <c r="C275" i="7"/>
  <c r="G275" i="7" s="1"/>
  <c r="B275" i="7"/>
  <c r="A275" i="7"/>
  <c r="I274" i="7"/>
  <c r="D274" i="7"/>
  <c r="C274" i="7"/>
  <c r="B274" i="7"/>
  <c r="A274" i="7"/>
  <c r="N273" i="7"/>
  <c r="K273" i="7"/>
  <c r="I273" i="7"/>
  <c r="D273" i="7"/>
  <c r="C273" i="7"/>
  <c r="G273" i="7" s="1"/>
  <c r="B273" i="7"/>
  <c r="A273" i="7"/>
  <c r="N272" i="7"/>
  <c r="K272" i="7"/>
  <c r="I272" i="7"/>
  <c r="D272" i="7"/>
  <c r="C272" i="7"/>
  <c r="G272" i="7" s="1"/>
  <c r="B272" i="7"/>
  <c r="A272" i="7"/>
  <c r="D271" i="7"/>
  <c r="C271" i="7"/>
  <c r="B271" i="7"/>
  <c r="A271" i="7"/>
  <c r="N270" i="7"/>
  <c r="D270" i="7"/>
  <c r="C270" i="7"/>
  <c r="G270" i="7" s="1"/>
  <c r="B270" i="7"/>
  <c r="A270" i="7"/>
  <c r="K269" i="7"/>
  <c r="I269" i="7"/>
  <c r="D269" i="7"/>
  <c r="C269" i="7"/>
  <c r="G269" i="7" s="1"/>
  <c r="B269" i="7"/>
  <c r="A269" i="7"/>
  <c r="K268" i="7"/>
  <c r="D268" i="7"/>
  <c r="C268" i="7"/>
  <c r="B268" i="7"/>
  <c r="A268" i="7"/>
  <c r="I267" i="7"/>
  <c r="D267" i="7"/>
  <c r="C267" i="7"/>
  <c r="B267" i="7"/>
  <c r="A267" i="7"/>
  <c r="N266" i="7"/>
  <c r="K266" i="7"/>
  <c r="I266" i="7"/>
  <c r="D266" i="7"/>
  <c r="C266" i="7"/>
  <c r="G266" i="7" s="1"/>
  <c r="B266" i="7"/>
  <c r="A266" i="7"/>
  <c r="D265" i="7"/>
  <c r="C265" i="7"/>
  <c r="B265" i="7"/>
  <c r="A265" i="7"/>
  <c r="K264" i="7"/>
  <c r="D264" i="7"/>
  <c r="C264" i="7"/>
  <c r="B264" i="7"/>
  <c r="A264" i="7"/>
  <c r="N263" i="7"/>
  <c r="K263" i="7"/>
  <c r="D263" i="7"/>
  <c r="C263" i="7"/>
  <c r="G263" i="7" s="1"/>
  <c r="B263" i="7"/>
  <c r="A263" i="7"/>
  <c r="D262" i="7"/>
  <c r="C262" i="7"/>
  <c r="B262" i="7"/>
  <c r="A262" i="7"/>
  <c r="D261" i="7"/>
  <c r="C261" i="7"/>
  <c r="B261" i="7"/>
  <c r="A261" i="7"/>
  <c r="D260" i="7"/>
  <c r="C260" i="7"/>
  <c r="B260" i="7"/>
  <c r="A260" i="7"/>
  <c r="D259" i="7"/>
  <c r="C259" i="7"/>
  <c r="B259" i="7"/>
  <c r="A259" i="7"/>
  <c r="I258" i="7"/>
  <c r="D258" i="7"/>
  <c r="C258" i="7"/>
  <c r="B258" i="7"/>
  <c r="A258" i="7"/>
  <c r="N257" i="7"/>
  <c r="K257" i="7"/>
  <c r="I257" i="7"/>
  <c r="D257" i="7"/>
  <c r="C257" i="7"/>
  <c r="G257" i="7" s="1"/>
  <c r="B257" i="7"/>
  <c r="A257" i="7"/>
  <c r="N256" i="7"/>
  <c r="K256" i="7"/>
  <c r="I256" i="7"/>
  <c r="D256" i="7"/>
  <c r="C256" i="7"/>
  <c r="G256" i="7" s="1"/>
  <c r="B256" i="7"/>
  <c r="A256" i="7"/>
  <c r="K255" i="7"/>
  <c r="I255" i="7"/>
  <c r="D255" i="7"/>
  <c r="C255" i="7"/>
  <c r="G255" i="7" s="1"/>
  <c r="B255" i="7"/>
  <c r="A255" i="7"/>
  <c r="N254" i="7"/>
  <c r="D254" i="7"/>
  <c r="C254" i="7"/>
  <c r="G254" i="7" s="1"/>
  <c r="B254" i="7"/>
  <c r="A254" i="7"/>
  <c r="D253" i="7"/>
  <c r="C253" i="7"/>
  <c r="B253" i="7"/>
  <c r="A253" i="7"/>
  <c r="D252" i="7"/>
  <c r="C252" i="7"/>
  <c r="B252" i="7"/>
  <c r="A252" i="7"/>
  <c r="I251" i="7"/>
  <c r="D251" i="7"/>
  <c r="C251" i="7"/>
  <c r="B251" i="7"/>
  <c r="A251" i="7"/>
  <c r="N250" i="7"/>
  <c r="K250" i="7"/>
  <c r="I250" i="7"/>
  <c r="D250" i="7"/>
  <c r="C250" i="7"/>
  <c r="G250" i="7" s="1"/>
  <c r="B250" i="7"/>
  <c r="A250" i="7"/>
  <c r="K249" i="7"/>
  <c r="I249" i="7"/>
  <c r="D249" i="7"/>
  <c r="C249" i="7"/>
  <c r="B249" i="7"/>
  <c r="A249" i="7"/>
  <c r="K248" i="7"/>
  <c r="D248" i="7"/>
  <c r="C248" i="7"/>
  <c r="B248" i="7"/>
  <c r="A248" i="7"/>
  <c r="N247" i="7"/>
  <c r="K247" i="7"/>
  <c r="D247" i="7"/>
  <c r="C247" i="7"/>
  <c r="G247" i="7" s="1"/>
  <c r="B247" i="7"/>
  <c r="A247" i="7"/>
  <c r="K246" i="7"/>
  <c r="I246" i="7"/>
  <c r="D246" i="7"/>
  <c r="C246" i="7"/>
  <c r="G246" i="7" s="1"/>
  <c r="B246" i="7"/>
  <c r="A246" i="7"/>
  <c r="D245" i="7"/>
  <c r="C245" i="7"/>
  <c r="B245" i="7"/>
  <c r="A245" i="7"/>
  <c r="D244" i="7"/>
  <c r="C244" i="7"/>
  <c r="B244" i="7"/>
  <c r="A244" i="7"/>
  <c r="N243" i="7"/>
  <c r="K243" i="7"/>
  <c r="I243" i="7"/>
  <c r="D243" i="7"/>
  <c r="C243" i="7"/>
  <c r="G243" i="7" s="1"/>
  <c r="B243" i="7"/>
  <c r="A243" i="7"/>
  <c r="D242" i="7"/>
  <c r="C242" i="7"/>
  <c r="B242" i="7"/>
  <c r="A242" i="7"/>
  <c r="N241" i="7"/>
  <c r="D241" i="7"/>
  <c r="C241" i="7"/>
  <c r="B241" i="7"/>
  <c r="A241" i="7"/>
  <c r="N240" i="7"/>
  <c r="K240" i="7"/>
  <c r="I240" i="7"/>
  <c r="G240" i="7"/>
  <c r="D240" i="7"/>
  <c r="C240" i="7"/>
  <c r="B240" i="7"/>
  <c r="A240" i="7"/>
  <c r="D239" i="7"/>
  <c r="C239" i="7"/>
  <c r="B239" i="7"/>
  <c r="A239" i="7"/>
  <c r="I238" i="7"/>
  <c r="G238" i="7"/>
  <c r="D238" i="7"/>
  <c r="C238" i="7"/>
  <c r="B238" i="7"/>
  <c r="A238" i="7"/>
  <c r="D237" i="7"/>
  <c r="C237" i="7"/>
  <c r="B237" i="7"/>
  <c r="A237" i="7"/>
  <c r="N236" i="7"/>
  <c r="K236" i="7"/>
  <c r="I236" i="7"/>
  <c r="G236" i="7"/>
  <c r="D236" i="7"/>
  <c r="C236" i="7"/>
  <c r="B236" i="7"/>
  <c r="A236" i="7"/>
  <c r="N235" i="7"/>
  <c r="K235" i="7"/>
  <c r="I235" i="7"/>
  <c r="G235" i="7"/>
  <c r="D235" i="7"/>
  <c r="C235" i="7"/>
  <c r="B235" i="7"/>
  <c r="A235" i="7"/>
  <c r="I234" i="7"/>
  <c r="G234" i="7"/>
  <c r="D234" i="7"/>
  <c r="C234" i="7"/>
  <c r="B234" i="7"/>
  <c r="A234" i="7"/>
  <c r="N233" i="7"/>
  <c r="K233" i="7"/>
  <c r="G233" i="7"/>
  <c r="D233" i="7"/>
  <c r="C233" i="7"/>
  <c r="I233" i="7" s="1"/>
  <c r="B233" i="7"/>
  <c r="A233" i="7"/>
  <c r="N232" i="7"/>
  <c r="D232" i="7"/>
  <c r="C232" i="7"/>
  <c r="B232" i="7"/>
  <c r="A232" i="7"/>
  <c r="N231" i="7"/>
  <c r="K231" i="7"/>
  <c r="I231" i="7"/>
  <c r="D231" i="7"/>
  <c r="C231" i="7"/>
  <c r="G231" i="7" s="1"/>
  <c r="B231" i="7"/>
  <c r="A231" i="7"/>
  <c r="N230" i="7"/>
  <c r="K230" i="7"/>
  <c r="I230" i="7"/>
  <c r="G230" i="7"/>
  <c r="D230" i="7"/>
  <c r="C230" i="7"/>
  <c r="B230" i="7"/>
  <c r="A230" i="7"/>
  <c r="K229" i="7"/>
  <c r="I229" i="7"/>
  <c r="D229" i="7"/>
  <c r="C229" i="7"/>
  <c r="B229" i="7"/>
  <c r="A229" i="7"/>
  <c r="N228" i="7"/>
  <c r="I228" i="7"/>
  <c r="G228" i="7"/>
  <c r="D228" i="7"/>
  <c r="C228" i="7"/>
  <c r="K228" i="7" s="1"/>
  <c r="B228" i="7"/>
  <c r="A228" i="7"/>
  <c r="D227" i="7"/>
  <c r="C227" i="7"/>
  <c r="B227" i="7"/>
  <c r="A227" i="7"/>
  <c r="D226" i="7"/>
  <c r="C226" i="7"/>
  <c r="B226" i="7"/>
  <c r="A226" i="7"/>
  <c r="N225" i="7"/>
  <c r="K225" i="7"/>
  <c r="I225" i="7"/>
  <c r="D225" i="7"/>
  <c r="C225" i="7"/>
  <c r="G225" i="7" s="1"/>
  <c r="B225" i="7"/>
  <c r="A225" i="7"/>
  <c r="N224" i="7"/>
  <c r="K224" i="7"/>
  <c r="I224" i="7"/>
  <c r="D224" i="7"/>
  <c r="C224" i="7"/>
  <c r="G224" i="7" s="1"/>
  <c r="B224" i="7"/>
  <c r="A224" i="7"/>
  <c r="D223" i="7"/>
  <c r="C223" i="7"/>
  <c r="B223" i="7"/>
  <c r="A223" i="7"/>
  <c r="I222" i="7"/>
  <c r="D222" i="7"/>
  <c r="C222" i="7"/>
  <c r="B222" i="7"/>
  <c r="A222" i="7"/>
  <c r="N221" i="7"/>
  <c r="I221" i="7"/>
  <c r="G221" i="7"/>
  <c r="D221" i="7"/>
  <c r="C221" i="7"/>
  <c r="K221" i="7" s="1"/>
  <c r="B221" i="7"/>
  <c r="A221" i="7"/>
  <c r="K220" i="7"/>
  <c r="G220" i="7"/>
  <c r="D220" i="7"/>
  <c r="C220" i="7"/>
  <c r="B220" i="7"/>
  <c r="A220" i="7"/>
  <c r="N219" i="7"/>
  <c r="K219" i="7"/>
  <c r="I219" i="7"/>
  <c r="D219" i="7"/>
  <c r="C219" i="7"/>
  <c r="B219" i="7"/>
  <c r="A219" i="7"/>
  <c r="G218" i="7"/>
  <c r="D218" i="7"/>
  <c r="C218" i="7"/>
  <c r="B218" i="7"/>
  <c r="A218" i="7"/>
  <c r="N217" i="7"/>
  <c r="G217" i="7"/>
  <c r="D217" i="7"/>
  <c r="C217" i="7"/>
  <c r="B217" i="7"/>
  <c r="A217" i="7"/>
  <c r="K216" i="7"/>
  <c r="D216" i="7"/>
  <c r="C216" i="7"/>
  <c r="B216" i="7"/>
  <c r="A216" i="7"/>
  <c r="N215" i="7"/>
  <c r="K215" i="7"/>
  <c r="I215" i="7"/>
  <c r="D215" i="7"/>
  <c r="C215" i="7"/>
  <c r="G215" i="7" s="1"/>
  <c r="B215" i="7"/>
  <c r="A215" i="7"/>
  <c r="N214" i="7"/>
  <c r="K214" i="7"/>
  <c r="I214" i="7"/>
  <c r="G214" i="7"/>
  <c r="D214" i="7"/>
  <c r="C214" i="7"/>
  <c r="B214" i="7"/>
  <c r="A214" i="7"/>
  <c r="I213" i="7"/>
  <c r="D213" i="7"/>
  <c r="C213" i="7"/>
  <c r="B213" i="7"/>
  <c r="A213" i="7"/>
  <c r="G212" i="7"/>
  <c r="D212" i="7"/>
  <c r="C212" i="7"/>
  <c r="B212" i="7"/>
  <c r="K212" i="7" s="1"/>
  <c r="A212" i="7"/>
  <c r="N211" i="7"/>
  <c r="K211" i="7"/>
  <c r="G211" i="7"/>
  <c r="D211" i="7"/>
  <c r="C211" i="7"/>
  <c r="B211" i="7"/>
  <c r="A211" i="7"/>
  <c r="N210" i="7"/>
  <c r="D210" i="7"/>
  <c r="C210" i="7"/>
  <c r="G210" i="7" s="1"/>
  <c r="B210" i="7"/>
  <c r="I210" i="7" s="1"/>
  <c r="A210" i="7"/>
  <c r="D209" i="7"/>
  <c r="C209" i="7"/>
  <c r="B209" i="7"/>
  <c r="A209" i="7"/>
  <c r="N208" i="7"/>
  <c r="K208" i="7"/>
  <c r="D208" i="7"/>
  <c r="C208" i="7"/>
  <c r="I208" i="7" s="1"/>
  <c r="B208" i="7"/>
  <c r="G208" i="7" s="1"/>
  <c r="A208" i="7"/>
  <c r="N207" i="7"/>
  <c r="K207" i="7"/>
  <c r="I207" i="7"/>
  <c r="D207" i="7"/>
  <c r="C207" i="7"/>
  <c r="B207" i="7"/>
  <c r="G207" i="7" s="1"/>
  <c r="A207" i="7"/>
  <c r="D206" i="7"/>
  <c r="C206" i="7"/>
  <c r="B206" i="7"/>
  <c r="A206" i="7"/>
  <c r="D205" i="7"/>
  <c r="C205" i="7"/>
  <c r="B205" i="7"/>
  <c r="A205" i="7"/>
  <c r="N204" i="7"/>
  <c r="K204" i="7"/>
  <c r="I204" i="7"/>
  <c r="D204" i="7"/>
  <c r="C204" i="7"/>
  <c r="B204" i="7"/>
  <c r="G204" i="7" s="1"/>
  <c r="A204" i="7"/>
  <c r="N203" i="7"/>
  <c r="I203" i="7"/>
  <c r="D203" i="7"/>
  <c r="C203" i="7"/>
  <c r="K203" i="7" s="1"/>
  <c r="B203" i="7"/>
  <c r="A203" i="7"/>
  <c r="N202" i="7"/>
  <c r="K202" i="7"/>
  <c r="D202" i="7"/>
  <c r="C202" i="7"/>
  <c r="I202" i="7" s="1"/>
  <c r="B202" i="7"/>
  <c r="G202" i="7" s="1"/>
  <c r="A202" i="7"/>
  <c r="D201" i="7"/>
  <c r="C201" i="7"/>
  <c r="B201" i="7"/>
  <c r="A201" i="7"/>
  <c r="N200" i="7"/>
  <c r="K200" i="7"/>
  <c r="I200" i="7"/>
  <c r="D200" i="7"/>
  <c r="C200" i="7"/>
  <c r="B200" i="7"/>
  <c r="G200" i="7" s="1"/>
  <c r="A200" i="7"/>
  <c r="K199" i="7"/>
  <c r="I199" i="7"/>
  <c r="D199" i="7"/>
  <c r="C199" i="7"/>
  <c r="N199" i="7" s="1"/>
  <c r="B199" i="7"/>
  <c r="A199" i="7"/>
  <c r="D198" i="7"/>
  <c r="C198" i="7"/>
  <c r="B198" i="7"/>
  <c r="G198" i="7" s="1"/>
  <c r="A198" i="7"/>
  <c r="I197" i="7"/>
  <c r="D197" i="7"/>
  <c r="C197" i="7"/>
  <c r="N197" i="7" s="1"/>
  <c r="B197" i="7"/>
  <c r="G197" i="7" s="1"/>
  <c r="A197" i="7"/>
  <c r="K196" i="7"/>
  <c r="D196" i="7"/>
  <c r="C196" i="7"/>
  <c r="I196" i="7" s="1"/>
  <c r="B196" i="7"/>
  <c r="G196" i="7" s="1"/>
  <c r="A196" i="7"/>
  <c r="N195" i="7"/>
  <c r="I195" i="7"/>
  <c r="D195" i="7"/>
  <c r="C195" i="7"/>
  <c r="K195" i="7" s="1"/>
  <c r="B195" i="7"/>
  <c r="G195" i="7" s="1"/>
  <c r="A195" i="7"/>
  <c r="N194" i="7"/>
  <c r="K194" i="7"/>
  <c r="I194" i="7"/>
  <c r="D194" i="7"/>
  <c r="C194" i="7"/>
  <c r="B194" i="7"/>
  <c r="A194" i="7"/>
  <c r="N193" i="7"/>
  <c r="K193" i="7"/>
  <c r="D193" i="7"/>
  <c r="C193" i="7"/>
  <c r="B193" i="7"/>
  <c r="A193" i="7"/>
  <c r="D192" i="7"/>
  <c r="C192" i="7"/>
  <c r="B192" i="7"/>
  <c r="G192" i="7" s="1"/>
  <c r="A192" i="7"/>
  <c r="N191" i="7"/>
  <c r="K191" i="7"/>
  <c r="I191" i="7"/>
  <c r="D191" i="7"/>
  <c r="C191" i="7"/>
  <c r="B191" i="7"/>
  <c r="G191" i="7" s="1"/>
  <c r="A191" i="7"/>
  <c r="I190" i="7"/>
  <c r="D190" i="7"/>
  <c r="C190" i="7"/>
  <c r="B190" i="7"/>
  <c r="A190" i="7"/>
  <c r="N189" i="7"/>
  <c r="K189" i="7"/>
  <c r="D189" i="7"/>
  <c r="C189" i="7"/>
  <c r="I189" i="7" s="1"/>
  <c r="B189" i="7"/>
  <c r="G189" i="7" s="1"/>
  <c r="A189" i="7"/>
  <c r="N188" i="7"/>
  <c r="K188" i="7"/>
  <c r="I188" i="7"/>
  <c r="D188" i="7"/>
  <c r="C188" i="7"/>
  <c r="B188" i="7"/>
  <c r="G188" i="7" s="1"/>
  <c r="A188" i="7"/>
  <c r="D187" i="7"/>
  <c r="C187" i="7"/>
  <c r="B187" i="7"/>
  <c r="A187" i="7"/>
  <c r="N186" i="7"/>
  <c r="K186" i="7"/>
  <c r="I186" i="7"/>
  <c r="D186" i="7"/>
  <c r="C186" i="7"/>
  <c r="B186" i="7"/>
  <c r="A186" i="7"/>
  <c r="K185" i="7"/>
  <c r="D185" i="7"/>
  <c r="C185" i="7"/>
  <c r="N185" i="7" s="1"/>
  <c r="B185" i="7"/>
  <c r="A185" i="7"/>
  <c r="D184" i="7"/>
  <c r="C184" i="7"/>
  <c r="B184" i="7"/>
  <c r="A184" i="7"/>
  <c r="N183" i="7"/>
  <c r="I183" i="7"/>
  <c r="D183" i="7"/>
  <c r="C183" i="7"/>
  <c r="K183" i="7" s="1"/>
  <c r="B183" i="7"/>
  <c r="G183" i="7" s="1"/>
  <c r="A183" i="7"/>
  <c r="D182" i="7"/>
  <c r="C182" i="7"/>
  <c r="B182" i="7"/>
  <c r="G182" i="7" s="1"/>
  <c r="A182" i="7"/>
  <c r="D181" i="7"/>
  <c r="C181" i="7"/>
  <c r="B181" i="7"/>
  <c r="G181" i="7" s="1"/>
  <c r="A181" i="7"/>
  <c r="N180" i="7"/>
  <c r="K180" i="7"/>
  <c r="D180" i="7"/>
  <c r="C180" i="7"/>
  <c r="B180" i="7"/>
  <c r="A180" i="7"/>
  <c r="N179" i="7"/>
  <c r="D179" i="7"/>
  <c r="C179" i="7"/>
  <c r="B179" i="7"/>
  <c r="A179" i="7"/>
  <c r="D178" i="7"/>
  <c r="C178" i="7"/>
  <c r="B178" i="7"/>
  <c r="A178" i="7"/>
  <c r="N177" i="7"/>
  <c r="D177" i="7"/>
  <c r="C177" i="7"/>
  <c r="B177" i="7"/>
  <c r="G177" i="7" s="1"/>
  <c r="A177" i="7"/>
  <c r="N176" i="7"/>
  <c r="K176" i="7"/>
  <c r="D176" i="7"/>
  <c r="C176" i="7"/>
  <c r="I176" i="7" s="1"/>
  <c r="B176" i="7"/>
  <c r="A176" i="7"/>
  <c r="N175" i="7"/>
  <c r="K175" i="7"/>
  <c r="I175" i="7"/>
  <c r="D175" i="7"/>
  <c r="C175" i="7"/>
  <c r="B175" i="7"/>
  <c r="G175" i="7" s="1"/>
  <c r="A175" i="7"/>
  <c r="N174" i="7"/>
  <c r="K174" i="7"/>
  <c r="I174" i="7"/>
  <c r="D174" i="7"/>
  <c r="C174" i="7"/>
  <c r="B174" i="7"/>
  <c r="A174" i="7"/>
  <c r="K173" i="7"/>
  <c r="D173" i="7"/>
  <c r="C173" i="7"/>
  <c r="B173" i="7"/>
  <c r="A173" i="7"/>
  <c r="N172" i="7"/>
  <c r="K172" i="7"/>
  <c r="I172" i="7"/>
  <c r="D172" i="7"/>
  <c r="C172" i="7"/>
  <c r="B172" i="7"/>
  <c r="G172" i="7" s="1"/>
  <c r="A172" i="7"/>
  <c r="I171" i="7"/>
  <c r="D171" i="7"/>
  <c r="C171" i="7"/>
  <c r="B171" i="7"/>
  <c r="A171" i="7"/>
  <c r="D170" i="7"/>
  <c r="C170" i="7"/>
  <c r="B170" i="7"/>
  <c r="A170" i="7"/>
  <c r="D169" i="7"/>
  <c r="C169" i="7"/>
  <c r="B169" i="7"/>
  <c r="A169" i="7"/>
  <c r="D168" i="7"/>
  <c r="C168" i="7"/>
  <c r="B168" i="7"/>
  <c r="A168" i="7"/>
  <c r="D167" i="7"/>
  <c r="C167" i="7"/>
  <c r="B167" i="7"/>
  <c r="A167" i="7"/>
  <c r="I166" i="7"/>
  <c r="D166" i="7"/>
  <c r="C166" i="7"/>
  <c r="B166" i="7"/>
  <c r="A166" i="7"/>
  <c r="K165" i="7"/>
  <c r="I165" i="7"/>
  <c r="D165" i="7"/>
  <c r="C165" i="7"/>
  <c r="N165" i="7" s="1"/>
  <c r="B165" i="7"/>
  <c r="A165" i="7"/>
  <c r="D164" i="7"/>
  <c r="C164" i="7"/>
  <c r="K164" i="7" s="1"/>
  <c r="B164" i="7"/>
  <c r="A164" i="7"/>
  <c r="D163" i="7"/>
  <c r="C163" i="7"/>
  <c r="B163" i="7"/>
  <c r="A163" i="7"/>
  <c r="D162" i="7"/>
  <c r="C162" i="7"/>
  <c r="B162" i="7"/>
  <c r="A162" i="7"/>
  <c r="N161" i="7"/>
  <c r="K161" i="7"/>
  <c r="D161" i="7"/>
  <c r="C161" i="7"/>
  <c r="B161" i="7"/>
  <c r="A161" i="7"/>
  <c r="K160" i="7"/>
  <c r="I160" i="7"/>
  <c r="D160" i="7"/>
  <c r="C160" i="7"/>
  <c r="B160" i="7"/>
  <c r="A160" i="7"/>
  <c r="N159" i="7"/>
  <c r="K159" i="7"/>
  <c r="I159" i="7"/>
  <c r="D159" i="7"/>
  <c r="C159" i="7"/>
  <c r="B159" i="7"/>
  <c r="G159" i="7" s="1"/>
  <c r="A159" i="7"/>
  <c r="I158" i="7"/>
  <c r="D158" i="7"/>
  <c r="C158" i="7"/>
  <c r="B158" i="7"/>
  <c r="A158" i="7"/>
  <c r="I157" i="7"/>
  <c r="D157" i="7"/>
  <c r="C157" i="7"/>
  <c r="B157" i="7"/>
  <c r="A157" i="7"/>
  <c r="D156" i="7"/>
  <c r="C156" i="7"/>
  <c r="B156" i="7"/>
  <c r="A156" i="7"/>
  <c r="D155" i="7"/>
  <c r="C155" i="7"/>
  <c r="B155" i="7"/>
  <c r="A155" i="7"/>
  <c r="D154" i="7"/>
  <c r="C154" i="7"/>
  <c r="B154" i="7"/>
  <c r="A154" i="7"/>
  <c r="N153" i="7"/>
  <c r="K153" i="7"/>
  <c r="D153" i="7"/>
  <c r="C153" i="7"/>
  <c r="B153" i="7"/>
  <c r="A153" i="7"/>
  <c r="N152" i="7"/>
  <c r="K152" i="7"/>
  <c r="I152" i="7"/>
  <c r="D152" i="7"/>
  <c r="C152" i="7"/>
  <c r="B152" i="7"/>
  <c r="A152" i="7"/>
  <c r="I151" i="7"/>
  <c r="D151" i="7"/>
  <c r="C151" i="7"/>
  <c r="B151" i="7"/>
  <c r="G151" i="7" s="1"/>
  <c r="A151" i="7"/>
  <c r="D150" i="7"/>
  <c r="C150" i="7"/>
  <c r="I150" i="7" s="1"/>
  <c r="B150" i="7"/>
  <c r="A150" i="7"/>
  <c r="N149" i="7"/>
  <c r="K149" i="7"/>
  <c r="I149" i="7"/>
  <c r="D149" i="7"/>
  <c r="C149" i="7"/>
  <c r="B149" i="7"/>
  <c r="G149" i="7" s="1"/>
  <c r="A149" i="7"/>
  <c r="N148" i="7"/>
  <c r="K148" i="7"/>
  <c r="I148" i="7"/>
  <c r="D148" i="7"/>
  <c r="C148" i="7"/>
  <c r="B148" i="7"/>
  <c r="A148" i="7"/>
  <c r="I147" i="7"/>
  <c r="D147" i="7"/>
  <c r="C147" i="7"/>
  <c r="B147" i="7"/>
  <c r="A147" i="7"/>
  <c r="N146" i="7"/>
  <c r="D146" i="7"/>
  <c r="C146" i="7"/>
  <c r="B146" i="7"/>
  <c r="A146" i="7"/>
  <c r="N145" i="7"/>
  <c r="K145" i="7"/>
  <c r="D145" i="7"/>
  <c r="C145" i="7"/>
  <c r="B145" i="7"/>
  <c r="A145" i="7"/>
  <c r="D144" i="7"/>
  <c r="C144" i="7"/>
  <c r="N144" i="7" s="1"/>
  <c r="B144" i="7"/>
  <c r="A144" i="7"/>
  <c r="D143" i="7"/>
  <c r="C143" i="7"/>
  <c r="B143" i="7"/>
  <c r="A143" i="7"/>
  <c r="N142" i="7"/>
  <c r="K142" i="7"/>
  <c r="D142" i="7"/>
  <c r="C142" i="7"/>
  <c r="B142" i="7"/>
  <c r="A142" i="7"/>
  <c r="N141" i="7"/>
  <c r="K141" i="7"/>
  <c r="I141" i="7"/>
  <c r="D141" i="7"/>
  <c r="C141" i="7"/>
  <c r="B141" i="7"/>
  <c r="G141" i="7" s="1"/>
  <c r="A141" i="7"/>
  <c r="N140" i="7"/>
  <c r="K140" i="7"/>
  <c r="I140" i="7"/>
  <c r="D140" i="7"/>
  <c r="C140" i="7"/>
  <c r="B140" i="7"/>
  <c r="A140" i="7"/>
  <c r="D139" i="7"/>
  <c r="C139" i="7"/>
  <c r="B139" i="7"/>
  <c r="A139" i="7"/>
  <c r="D138" i="7"/>
  <c r="C138" i="7"/>
  <c r="B138" i="7"/>
  <c r="A138" i="7"/>
  <c r="K137" i="7"/>
  <c r="I137" i="7"/>
  <c r="D137" i="7"/>
  <c r="C137" i="7"/>
  <c r="B137" i="7"/>
  <c r="A137" i="7"/>
  <c r="N136" i="7"/>
  <c r="I136" i="7"/>
  <c r="D136" i="7"/>
  <c r="C136" i="7"/>
  <c r="K136" i="7" s="1"/>
  <c r="B136" i="7"/>
  <c r="A136" i="7"/>
  <c r="I135" i="7"/>
  <c r="D135" i="7"/>
  <c r="C135" i="7"/>
  <c r="B135" i="7"/>
  <c r="K135" i="7" s="1"/>
  <c r="A135" i="7"/>
  <c r="D134" i="7"/>
  <c r="C134" i="7"/>
  <c r="B134" i="7"/>
  <c r="A134" i="7"/>
  <c r="K133" i="7"/>
  <c r="I133" i="7"/>
  <c r="D133" i="7"/>
  <c r="C133" i="7"/>
  <c r="B133" i="7"/>
  <c r="A133" i="7"/>
  <c r="I132" i="7"/>
  <c r="D132" i="7"/>
  <c r="C132" i="7"/>
  <c r="B132" i="7"/>
  <c r="A132" i="7"/>
  <c r="I131" i="7"/>
  <c r="D131" i="7"/>
  <c r="C131" i="7"/>
  <c r="B131" i="7"/>
  <c r="A131" i="7"/>
  <c r="D130" i="7"/>
  <c r="C130" i="7"/>
  <c r="B130" i="7"/>
  <c r="A130" i="7"/>
  <c r="N129" i="7"/>
  <c r="K129" i="7"/>
  <c r="D129" i="7"/>
  <c r="C129" i="7"/>
  <c r="B129" i="7"/>
  <c r="A129" i="7"/>
  <c r="I128" i="7"/>
  <c r="D128" i="7"/>
  <c r="C128" i="7"/>
  <c r="N128" i="7" s="1"/>
  <c r="B128" i="7"/>
  <c r="A128" i="7"/>
  <c r="D127" i="7"/>
  <c r="C127" i="7"/>
  <c r="K127" i="7" s="1"/>
  <c r="B127" i="7"/>
  <c r="A127" i="7"/>
  <c r="D126" i="7"/>
  <c r="C126" i="7"/>
  <c r="B126" i="7"/>
  <c r="A126" i="7"/>
  <c r="D125" i="7"/>
  <c r="C125" i="7"/>
  <c r="B125" i="7"/>
  <c r="A125" i="7"/>
  <c r="N124" i="7"/>
  <c r="K124" i="7"/>
  <c r="I124" i="7"/>
  <c r="D124" i="7"/>
  <c r="C124" i="7"/>
  <c r="B124" i="7"/>
  <c r="A124" i="7"/>
  <c r="K123" i="7"/>
  <c r="I123" i="7"/>
  <c r="D123" i="7"/>
  <c r="C123" i="7"/>
  <c r="B123" i="7"/>
  <c r="A123" i="7"/>
  <c r="D122" i="7"/>
  <c r="C122" i="7"/>
  <c r="B122" i="7"/>
  <c r="A122" i="7"/>
  <c r="N121" i="7"/>
  <c r="D121" i="7"/>
  <c r="C121" i="7"/>
  <c r="B121" i="7"/>
  <c r="A121" i="7"/>
  <c r="N120" i="7"/>
  <c r="I120" i="7"/>
  <c r="D120" i="7"/>
  <c r="C120" i="7"/>
  <c r="B120" i="7"/>
  <c r="A120" i="7"/>
  <c r="K119" i="7"/>
  <c r="I119" i="7"/>
  <c r="D119" i="7"/>
  <c r="C119" i="7"/>
  <c r="B119" i="7"/>
  <c r="A119" i="7"/>
  <c r="D118" i="7"/>
  <c r="C118" i="7"/>
  <c r="B118" i="7"/>
  <c r="K118" i="7" s="1"/>
  <c r="A118" i="7"/>
  <c r="D117" i="7"/>
  <c r="C117" i="7"/>
  <c r="B117" i="7"/>
  <c r="A117" i="7"/>
  <c r="N116" i="7"/>
  <c r="K116" i="7"/>
  <c r="I116" i="7"/>
  <c r="D116" i="7"/>
  <c r="C116" i="7"/>
  <c r="B116" i="7"/>
  <c r="A116" i="7"/>
  <c r="N115" i="7"/>
  <c r="K115" i="7"/>
  <c r="I115" i="7"/>
  <c r="G115" i="7"/>
  <c r="D115" i="7"/>
  <c r="C115" i="7"/>
  <c r="B115" i="7"/>
  <c r="A115" i="7"/>
  <c r="N114" i="7"/>
  <c r="D114" i="7"/>
  <c r="C114" i="7"/>
  <c r="K114" i="7" s="1"/>
  <c r="B114" i="7"/>
  <c r="A114" i="7"/>
  <c r="D113" i="7"/>
  <c r="C113" i="7"/>
  <c r="G113" i="7" s="1"/>
  <c r="B113" i="7"/>
  <c r="A113" i="7"/>
  <c r="D112" i="7"/>
  <c r="C112" i="7"/>
  <c r="N112" i="7" s="1"/>
  <c r="B112" i="7"/>
  <c r="A112" i="7"/>
  <c r="N111" i="7"/>
  <c r="K111" i="7"/>
  <c r="I111" i="7"/>
  <c r="G111" i="7"/>
  <c r="D111" i="7"/>
  <c r="C111" i="7"/>
  <c r="B111" i="7"/>
  <c r="A111" i="7"/>
  <c r="D110" i="7"/>
  <c r="C110" i="7"/>
  <c r="B110" i="7"/>
  <c r="A110" i="7"/>
  <c r="D109" i="7"/>
  <c r="C109" i="7"/>
  <c r="B109" i="7"/>
  <c r="A109" i="7"/>
  <c r="D108" i="7"/>
  <c r="C108" i="7"/>
  <c r="B108" i="7"/>
  <c r="A108" i="7"/>
  <c r="N107" i="7"/>
  <c r="K107" i="7"/>
  <c r="I107" i="7"/>
  <c r="G107" i="7"/>
  <c r="D107" i="7"/>
  <c r="C107" i="7"/>
  <c r="B107" i="7"/>
  <c r="A107" i="7"/>
  <c r="N106" i="7"/>
  <c r="K106" i="7"/>
  <c r="I106" i="7"/>
  <c r="G106" i="7"/>
  <c r="D106" i="7"/>
  <c r="C106" i="7"/>
  <c r="B106" i="7"/>
  <c r="A106" i="7"/>
  <c r="D105" i="7"/>
  <c r="C105" i="7"/>
  <c r="B105" i="7"/>
  <c r="A105" i="7"/>
  <c r="N104" i="7"/>
  <c r="D104" i="7"/>
  <c r="C104" i="7"/>
  <c r="B104" i="7"/>
  <c r="A104" i="7"/>
  <c r="N103" i="7"/>
  <c r="K103" i="7"/>
  <c r="I103" i="7"/>
  <c r="D103" i="7"/>
  <c r="C103" i="7"/>
  <c r="B103" i="7"/>
  <c r="G103" i="7" s="1"/>
  <c r="A103" i="7"/>
  <c r="N102" i="7"/>
  <c r="I102" i="7"/>
  <c r="G102" i="7"/>
  <c r="D102" i="7"/>
  <c r="C102" i="7"/>
  <c r="K102" i="7" s="1"/>
  <c r="B102" i="7"/>
  <c r="A102" i="7"/>
  <c r="K101" i="7"/>
  <c r="D101" i="7"/>
  <c r="C101" i="7"/>
  <c r="B101" i="7"/>
  <c r="A101" i="7"/>
  <c r="D100" i="7"/>
  <c r="C100" i="7"/>
  <c r="B100" i="7"/>
  <c r="A100" i="7"/>
  <c r="D99" i="7"/>
  <c r="C99" i="7"/>
  <c r="N99" i="7" s="1"/>
  <c r="B99" i="7"/>
  <c r="A99" i="7"/>
  <c r="K98" i="7"/>
  <c r="G98" i="7"/>
  <c r="D98" i="7"/>
  <c r="C98" i="7"/>
  <c r="B98" i="7"/>
  <c r="N98" i="7" s="1"/>
  <c r="A98" i="7"/>
  <c r="N97" i="7"/>
  <c r="K97" i="7"/>
  <c r="I97" i="7"/>
  <c r="G97" i="7"/>
  <c r="D97" i="7"/>
  <c r="C97" i="7"/>
  <c r="B97" i="7"/>
  <c r="A97" i="7"/>
  <c r="D96" i="7"/>
  <c r="C96" i="7"/>
  <c r="B96" i="7"/>
  <c r="A96" i="7"/>
  <c r="I95" i="7"/>
  <c r="G95" i="7"/>
  <c r="D95" i="7"/>
  <c r="C95" i="7"/>
  <c r="B95" i="7"/>
  <c r="A95" i="7"/>
  <c r="D94" i="7"/>
  <c r="C94" i="7"/>
  <c r="B94" i="7"/>
  <c r="A94" i="7"/>
  <c r="N93" i="7"/>
  <c r="D93" i="7"/>
  <c r="C93" i="7"/>
  <c r="B93" i="7"/>
  <c r="A93" i="7"/>
  <c r="N92" i="7"/>
  <c r="K92" i="7"/>
  <c r="I92" i="7"/>
  <c r="G92" i="7"/>
  <c r="D92" i="7"/>
  <c r="C92" i="7"/>
  <c r="B92" i="7"/>
  <c r="A92" i="7"/>
  <c r="D91" i="7"/>
  <c r="C91" i="7"/>
  <c r="B91" i="7"/>
  <c r="N91" i="7" s="1"/>
  <c r="A91" i="7"/>
  <c r="K90" i="7"/>
  <c r="D90" i="7"/>
  <c r="C90" i="7"/>
  <c r="B90" i="7"/>
  <c r="A90" i="7"/>
  <c r="N89" i="7"/>
  <c r="G89" i="7"/>
  <c r="D89" i="7"/>
  <c r="C89" i="7"/>
  <c r="B89" i="7"/>
  <c r="A89" i="7"/>
  <c r="D88" i="7"/>
  <c r="C88" i="7"/>
  <c r="B88" i="7"/>
  <c r="A88" i="7"/>
  <c r="N87" i="7"/>
  <c r="K87" i="7"/>
  <c r="I87" i="7"/>
  <c r="D87" i="7"/>
  <c r="C87" i="7"/>
  <c r="B87" i="7"/>
  <c r="G87" i="7" s="1"/>
  <c r="A87" i="7"/>
  <c r="D86" i="7"/>
  <c r="C86" i="7"/>
  <c r="B86" i="7"/>
  <c r="A86" i="7"/>
  <c r="D85" i="7"/>
  <c r="C85" i="7"/>
  <c r="B85" i="7"/>
  <c r="A85" i="7"/>
  <c r="I84" i="7"/>
  <c r="G84" i="7"/>
  <c r="D84" i="7"/>
  <c r="C84" i="7"/>
  <c r="B84" i="7"/>
  <c r="A84" i="7"/>
  <c r="D83" i="7"/>
  <c r="C83" i="7"/>
  <c r="B83" i="7"/>
  <c r="A83" i="7"/>
  <c r="N82" i="7"/>
  <c r="G82" i="7"/>
  <c r="D82" i="7"/>
  <c r="C82" i="7"/>
  <c r="B82" i="7"/>
  <c r="A82" i="7"/>
  <c r="N81" i="7"/>
  <c r="K81" i="7"/>
  <c r="I81" i="7"/>
  <c r="G81" i="7"/>
  <c r="D81" i="7"/>
  <c r="C81" i="7"/>
  <c r="B81" i="7"/>
  <c r="A81" i="7"/>
  <c r="D80" i="7"/>
  <c r="C80" i="7"/>
  <c r="B80" i="7"/>
  <c r="A80" i="7"/>
  <c r="D79" i="7"/>
  <c r="C79" i="7"/>
  <c r="B79" i="7"/>
  <c r="A79" i="7"/>
  <c r="D78" i="7"/>
  <c r="C78" i="7"/>
  <c r="B78" i="7"/>
  <c r="A78" i="7"/>
  <c r="D77" i="7"/>
  <c r="C77" i="7"/>
  <c r="B77" i="7"/>
  <c r="A77" i="7"/>
  <c r="N76" i="7"/>
  <c r="K76" i="7"/>
  <c r="I76" i="7"/>
  <c r="G76" i="7"/>
  <c r="D76" i="7"/>
  <c r="C76" i="7"/>
  <c r="B76" i="7"/>
  <c r="A76" i="7"/>
  <c r="N75" i="7"/>
  <c r="K75" i="7"/>
  <c r="I75" i="7"/>
  <c r="G75" i="7"/>
  <c r="D75" i="7"/>
  <c r="C75" i="7"/>
  <c r="B75" i="7"/>
  <c r="A75" i="7"/>
  <c r="D74" i="7"/>
  <c r="C74" i="7"/>
  <c r="B74" i="7"/>
  <c r="A74" i="7"/>
  <c r="N73" i="7"/>
  <c r="G73" i="7"/>
  <c r="D73" i="7"/>
  <c r="C73" i="7"/>
  <c r="B73" i="7"/>
  <c r="A73" i="7"/>
  <c r="D72" i="7"/>
  <c r="C72" i="7"/>
  <c r="B72" i="7"/>
  <c r="A72" i="7"/>
  <c r="N71" i="7"/>
  <c r="K71" i="7"/>
  <c r="I71" i="7"/>
  <c r="D71" i="7"/>
  <c r="C71" i="7"/>
  <c r="B71" i="7"/>
  <c r="G71" i="7" s="1"/>
  <c r="A71" i="7"/>
  <c r="K70" i="7"/>
  <c r="I70" i="7"/>
  <c r="G70" i="7"/>
  <c r="D70" i="7"/>
  <c r="C70" i="7"/>
  <c r="N70" i="7" s="1"/>
  <c r="B70" i="7"/>
  <c r="A70" i="7"/>
  <c r="D69" i="7"/>
  <c r="C69" i="7"/>
  <c r="B69" i="7"/>
  <c r="A69" i="7"/>
  <c r="D68" i="7"/>
  <c r="C68" i="7"/>
  <c r="B68" i="7"/>
  <c r="A68" i="7"/>
  <c r="N67" i="7"/>
  <c r="G67" i="7"/>
  <c r="D67" i="7"/>
  <c r="C67" i="7"/>
  <c r="K67" i="7" s="1"/>
  <c r="B67" i="7"/>
  <c r="A67" i="7"/>
  <c r="D66" i="7"/>
  <c r="C66" i="7"/>
  <c r="B66" i="7"/>
  <c r="A66" i="7"/>
  <c r="N65" i="7"/>
  <c r="K65" i="7"/>
  <c r="I65" i="7"/>
  <c r="G65" i="7"/>
  <c r="D65" i="7"/>
  <c r="C65" i="7"/>
  <c r="B65" i="7"/>
  <c r="A65" i="7"/>
  <c r="N64" i="7"/>
  <c r="I64" i="7"/>
  <c r="G64" i="7"/>
  <c r="D64" i="7"/>
  <c r="C64" i="7"/>
  <c r="B64" i="7"/>
  <c r="A64" i="7"/>
  <c r="D63" i="7"/>
  <c r="C63" i="7"/>
  <c r="B63" i="7"/>
  <c r="A63" i="7"/>
  <c r="D62" i="7"/>
  <c r="C62" i="7"/>
  <c r="I62" i="7" s="1"/>
  <c r="B62" i="7"/>
  <c r="A62" i="7"/>
  <c r="K61" i="7"/>
  <c r="I61" i="7"/>
  <c r="D61" i="7"/>
  <c r="C61" i="7"/>
  <c r="B61" i="7"/>
  <c r="G61" i="7" s="1"/>
  <c r="A61" i="7"/>
  <c r="I60" i="7"/>
  <c r="G60" i="7"/>
  <c r="D60" i="7"/>
  <c r="C60" i="7"/>
  <c r="B60" i="7"/>
  <c r="A60" i="7"/>
  <c r="G59" i="7"/>
  <c r="D59" i="7"/>
  <c r="C59" i="7"/>
  <c r="B59" i="7"/>
  <c r="N59" i="7" s="1"/>
  <c r="A59" i="7"/>
  <c r="N58" i="7"/>
  <c r="D58" i="7"/>
  <c r="C58" i="7"/>
  <c r="K58" i="7" s="1"/>
  <c r="B58" i="7"/>
  <c r="I58" i="7" s="1"/>
  <c r="A58" i="7"/>
  <c r="N57" i="7"/>
  <c r="I57" i="7"/>
  <c r="G57" i="7"/>
  <c r="D57" i="7"/>
  <c r="C57" i="7"/>
  <c r="B57" i="7"/>
  <c r="K57" i="7" s="1"/>
  <c r="A57" i="7"/>
  <c r="D56" i="7"/>
  <c r="C56" i="7"/>
  <c r="B56" i="7"/>
  <c r="A56" i="7"/>
  <c r="D55" i="7"/>
  <c r="C55" i="7"/>
  <c r="B55" i="7"/>
  <c r="A55" i="7"/>
  <c r="N54" i="7"/>
  <c r="I54" i="7"/>
  <c r="G54" i="7"/>
  <c r="D54" i="7"/>
  <c r="C54" i="7"/>
  <c r="B54" i="7"/>
  <c r="A54" i="7"/>
  <c r="D53" i="7"/>
  <c r="C53" i="7"/>
  <c r="B53" i="7"/>
  <c r="A53" i="7"/>
  <c r="G52" i="7"/>
  <c r="D52" i="7"/>
  <c r="C52" i="7"/>
  <c r="B52" i="7"/>
  <c r="A52" i="7"/>
  <c r="N51" i="7"/>
  <c r="K51" i="7"/>
  <c r="D51" i="7"/>
  <c r="C51" i="7"/>
  <c r="B51" i="7"/>
  <c r="I51" i="7" s="1"/>
  <c r="A51" i="7"/>
  <c r="D50" i="7"/>
  <c r="C50" i="7"/>
  <c r="K50" i="7" s="1"/>
  <c r="B50" i="7"/>
  <c r="A50" i="7"/>
  <c r="N49" i="7"/>
  <c r="K49" i="7"/>
  <c r="I49" i="7"/>
  <c r="G49" i="7"/>
  <c r="D49" i="7"/>
  <c r="C49" i="7"/>
  <c r="B49" i="7"/>
  <c r="A49" i="7"/>
  <c r="D48" i="7"/>
  <c r="C48" i="7"/>
  <c r="B48" i="7"/>
  <c r="A48" i="7"/>
  <c r="I47" i="7"/>
  <c r="G47" i="7"/>
  <c r="D47" i="7"/>
  <c r="C47" i="7"/>
  <c r="K47" i="7" s="1"/>
  <c r="B47" i="7"/>
  <c r="A47" i="7"/>
  <c r="I46" i="7"/>
  <c r="D46" i="7"/>
  <c r="C46" i="7"/>
  <c r="B46" i="7"/>
  <c r="A46" i="7"/>
  <c r="K45" i="7"/>
  <c r="D45" i="7"/>
  <c r="C45" i="7"/>
  <c r="B45" i="7"/>
  <c r="A45" i="7"/>
  <c r="N44" i="7"/>
  <c r="K44" i="7"/>
  <c r="I44" i="7"/>
  <c r="G44" i="7"/>
  <c r="D44" i="7"/>
  <c r="C44" i="7"/>
  <c r="B44" i="7"/>
  <c r="A44" i="7"/>
  <c r="N43" i="7"/>
  <c r="K43" i="7"/>
  <c r="I43" i="7"/>
  <c r="G43" i="7"/>
  <c r="D43" i="7"/>
  <c r="C43" i="7"/>
  <c r="B43" i="7"/>
  <c r="A43" i="7"/>
  <c r="N42" i="7"/>
  <c r="I42" i="7"/>
  <c r="G42" i="7"/>
  <c r="D42" i="7"/>
  <c r="C42" i="7"/>
  <c r="B42" i="7"/>
  <c r="K42" i="7" s="1"/>
  <c r="A42" i="7"/>
  <c r="D41" i="7"/>
  <c r="C41" i="7"/>
  <c r="B41" i="7"/>
  <c r="A41" i="7"/>
  <c r="N40" i="7"/>
  <c r="I40" i="7"/>
  <c r="D40" i="7"/>
  <c r="C40" i="7"/>
  <c r="B40" i="7"/>
  <c r="A40" i="7"/>
  <c r="D39" i="7"/>
  <c r="C39" i="7"/>
  <c r="B39" i="7"/>
  <c r="A39" i="7"/>
  <c r="G38" i="7"/>
  <c r="D38" i="7"/>
  <c r="C38" i="7"/>
  <c r="B38" i="7"/>
  <c r="A38" i="7"/>
  <c r="D37" i="7"/>
  <c r="C37" i="7"/>
  <c r="B37" i="7"/>
  <c r="A37" i="7"/>
  <c r="N36" i="7"/>
  <c r="K36" i="7"/>
  <c r="I36" i="7"/>
  <c r="G36" i="7"/>
  <c r="D36" i="7"/>
  <c r="C36" i="7"/>
  <c r="B36" i="7"/>
  <c r="A36" i="7"/>
  <c r="G35" i="7"/>
  <c r="D35" i="7"/>
  <c r="C35" i="7"/>
  <c r="B35" i="7"/>
  <c r="A35" i="7"/>
  <c r="N34" i="7"/>
  <c r="G34" i="7"/>
  <c r="D34" i="7"/>
  <c r="C34" i="7"/>
  <c r="B34" i="7"/>
  <c r="A34" i="7"/>
  <c r="D33" i="7"/>
  <c r="C33" i="7"/>
  <c r="B33" i="7"/>
  <c r="A33" i="7"/>
  <c r="N32" i="7"/>
  <c r="K32" i="7"/>
  <c r="I32" i="7"/>
  <c r="D32" i="7"/>
  <c r="C32" i="7"/>
  <c r="B32" i="7"/>
  <c r="G32" i="7" s="1"/>
  <c r="A32" i="7"/>
  <c r="K31" i="7"/>
  <c r="I31" i="7"/>
  <c r="G31" i="7"/>
  <c r="D31" i="7"/>
  <c r="C31" i="7"/>
  <c r="B31" i="7"/>
  <c r="A31" i="7"/>
  <c r="N30" i="7"/>
  <c r="I30" i="7"/>
  <c r="G30" i="7"/>
  <c r="D30" i="7"/>
  <c r="C30" i="7"/>
  <c r="B30" i="7"/>
  <c r="K30" i="7" s="1"/>
  <c r="A30" i="7"/>
  <c r="D29" i="7"/>
  <c r="C29" i="7"/>
  <c r="B29" i="7"/>
  <c r="A29" i="7"/>
  <c r="D28" i="7"/>
  <c r="C28" i="7"/>
  <c r="K28" i="7" s="1"/>
  <c r="B28" i="7"/>
  <c r="A28" i="7"/>
  <c r="D27" i="7"/>
  <c r="C27" i="7"/>
  <c r="B27" i="7"/>
  <c r="K27" i="7" s="1"/>
  <c r="A27" i="7"/>
  <c r="N26" i="7"/>
  <c r="K26" i="7"/>
  <c r="I26" i="7"/>
  <c r="D26" i="7"/>
  <c r="C26" i="7"/>
  <c r="B26" i="7"/>
  <c r="G26" i="7" s="1"/>
  <c r="A26" i="7"/>
  <c r="K25" i="7"/>
  <c r="D25" i="7"/>
  <c r="C25" i="7"/>
  <c r="B25" i="7"/>
  <c r="A25" i="7"/>
  <c r="K24" i="7"/>
  <c r="I24" i="7"/>
  <c r="G24" i="7"/>
  <c r="D24" i="7"/>
  <c r="C24" i="7"/>
  <c r="N24" i="7" s="1"/>
  <c r="B24" i="7"/>
  <c r="A24" i="7"/>
  <c r="G23" i="7"/>
  <c r="D23" i="7"/>
  <c r="C23" i="7"/>
  <c r="B23" i="7"/>
  <c r="A23" i="7"/>
  <c r="G22" i="7"/>
  <c r="D22" i="7"/>
  <c r="C22" i="7"/>
  <c r="B22" i="7"/>
  <c r="A22" i="7"/>
  <c r="D21" i="7"/>
  <c r="C21" i="7"/>
  <c r="B21" i="7"/>
  <c r="A21" i="7"/>
  <c r="D20" i="7"/>
  <c r="C20" i="7"/>
  <c r="B20" i="7"/>
  <c r="A20" i="7"/>
  <c r="D19" i="7"/>
  <c r="C19" i="7"/>
  <c r="B19" i="7"/>
  <c r="A19" i="7"/>
  <c r="D18" i="7"/>
  <c r="C18" i="7"/>
  <c r="B18" i="7"/>
  <c r="A18" i="7"/>
  <c r="I17" i="7"/>
  <c r="D17" i="7"/>
  <c r="C17" i="7"/>
  <c r="B17" i="7"/>
  <c r="N17" i="7" s="1"/>
  <c r="A17" i="7"/>
  <c r="I16" i="7"/>
  <c r="D16" i="7"/>
  <c r="C16" i="7"/>
  <c r="B16" i="7"/>
  <c r="A16" i="7"/>
  <c r="N15" i="7"/>
  <c r="D15" i="7"/>
  <c r="C15" i="7"/>
  <c r="B15" i="7"/>
  <c r="A15" i="7"/>
  <c r="N14" i="7"/>
  <c r="I14" i="7"/>
  <c r="D14" i="7"/>
  <c r="C14" i="7"/>
  <c r="B14" i="7"/>
  <c r="A14" i="7"/>
  <c r="I13" i="7"/>
  <c r="D13" i="7"/>
  <c r="C13" i="7"/>
  <c r="B13" i="7"/>
  <c r="A13" i="7"/>
  <c r="D12" i="7"/>
  <c r="C12" i="7"/>
  <c r="B12" i="7"/>
  <c r="A12" i="7"/>
  <c r="N11" i="7"/>
  <c r="I11" i="7"/>
  <c r="D11" i="7"/>
  <c r="C11" i="7"/>
  <c r="B11" i="7"/>
  <c r="A11" i="7"/>
  <c r="D10" i="7"/>
  <c r="C10" i="7"/>
  <c r="B10" i="7"/>
  <c r="A10" i="7"/>
  <c r="D9" i="7"/>
  <c r="C9" i="7"/>
  <c r="B9" i="7"/>
  <c r="A9" i="7"/>
  <c r="N8" i="7"/>
  <c r="I8" i="7"/>
  <c r="D8" i="7"/>
  <c r="C8" i="7"/>
  <c r="B8" i="7"/>
  <c r="A8" i="7"/>
  <c r="N7" i="7"/>
  <c r="I7" i="7"/>
  <c r="D7" i="7"/>
  <c r="C7" i="7"/>
  <c r="B7" i="7"/>
  <c r="A7" i="7"/>
  <c r="N6" i="7"/>
  <c r="I6" i="7"/>
  <c r="D6" i="7"/>
  <c r="C6" i="7"/>
  <c r="B6" i="7"/>
  <c r="A6" i="7"/>
  <c r="I5" i="7"/>
  <c r="D5" i="7"/>
  <c r="C5" i="7"/>
  <c r="B5" i="7"/>
  <c r="N5" i="7" s="1"/>
  <c r="A5" i="7"/>
  <c r="N4" i="7"/>
  <c r="I4" i="7"/>
  <c r="D4" i="7"/>
  <c r="C4" i="7"/>
  <c r="B4" i="7"/>
  <c r="A4" i="7"/>
  <c r="D3" i="7"/>
  <c r="C3" i="7"/>
  <c r="B3" i="7"/>
  <c r="A3" i="7"/>
  <c r="N362" i="6"/>
  <c r="K362" i="6"/>
  <c r="I362" i="6"/>
  <c r="D362" i="6"/>
  <c r="C362" i="6"/>
  <c r="B362" i="6"/>
  <c r="A362" i="6"/>
  <c r="D361" i="6"/>
  <c r="C361" i="6"/>
  <c r="B361" i="6"/>
  <c r="A361" i="6"/>
  <c r="N360" i="6"/>
  <c r="K360" i="6"/>
  <c r="D360" i="6"/>
  <c r="C360" i="6"/>
  <c r="B360" i="6"/>
  <c r="A360" i="6"/>
  <c r="K359" i="6"/>
  <c r="I359" i="6"/>
  <c r="D359" i="6"/>
  <c r="C359" i="6"/>
  <c r="B359" i="6"/>
  <c r="N359" i="6" s="1"/>
  <c r="A359" i="6"/>
  <c r="N358" i="6"/>
  <c r="K358" i="6"/>
  <c r="I358" i="6"/>
  <c r="D358" i="6"/>
  <c r="C358" i="6"/>
  <c r="B358" i="6"/>
  <c r="A358" i="6"/>
  <c r="D357" i="6"/>
  <c r="C357" i="6"/>
  <c r="B357" i="6"/>
  <c r="A357" i="6"/>
  <c r="N356" i="6"/>
  <c r="K356" i="6"/>
  <c r="D356" i="6"/>
  <c r="C356" i="6"/>
  <c r="B356" i="6"/>
  <c r="A356" i="6"/>
  <c r="K355" i="6"/>
  <c r="I355" i="6"/>
  <c r="D355" i="6"/>
  <c r="C355" i="6"/>
  <c r="B355" i="6"/>
  <c r="N355" i="6" s="1"/>
  <c r="A355" i="6"/>
  <c r="N354" i="6"/>
  <c r="K354" i="6"/>
  <c r="I354" i="6"/>
  <c r="D354" i="6"/>
  <c r="C354" i="6"/>
  <c r="B354" i="6"/>
  <c r="A354" i="6"/>
  <c r="D353" i="6"/>
  <c r="C353" i="6"/>
  <c r="B353" i="6"/>
  <c r="A353" i="6"/>
  <c r="N352" i="6"/>
  <c r="K352" i="6"/>
  <c r="D352" i="6"/>
  <c r="C352" i="6"/>
  <c r="B352" i="6"/>
  <c r="A352" i="6"/>
  <c r="K351" i="6"/>
  <c r="I351" i="6"/>
  <c r="D351" i="6"/>
  <c r="C351" i="6"/>
  <c r="B351" i="6"/>
  <c r="N351" i="6" s="1"/>
  <c r="A351" i="6"/>
  <c r="N350" i="6"/>
  <c r="K350" i="6"/>
  <c r="I350" i="6"/>
  <c r="D350" i="6"/>
  <c r="C350" i="6"/>
  <c r="B350" i="6"/>
  <c r="A350" i="6"/>
  <c r="D349" i="6"/>
  <c r="C349" i="6"/>
  <c r="B349" i="6"/>
  <c r="A349" i="6"/>
  <c r="N348" i="6"/>
  <c r="K348" i="6"/>
  <c r="D348" i="6"/>
  <c r="C348" i="6"/>
  <c r="B348" i="6"/>
  <c r="A348" i="6"/>
  <c r="K347" i="6"/>
  <c r="I347" i="6"/>
  <c r="D347" i="6"/>
  <c r="C347" i="6"/>
  <c r="B347" i="6"/>
  <c r="N347" i="6" s="1"/>
  <c r="A347" i="6"/>
  <c r="D346" i="6"/>
  <c r="C346" i="6"/>
  <c r="B346" i="6"/>
  <c r="A346" i="6"/>
  <c r="D345" i="6"/>
  <c r="C345" i="6"/>
  <c r="B345" i="6"/>
  <c r="A345" i="6"/>
  <c r="N344" i="6"/>
  <c r="K344" i="6"/>
  <c r="D344" i="6"/>
  <c r="C344" i="6"/>
  <c r="B344" i="6"/>
  <c r="A344" i="6"/>
  <c r="K343" i="6"/>
  <c r="I343" i="6"/>
  <c r="D343" i="6"/>
  <c r="C343" i="6"/>
  <c r="B343" i="6"/>
  <c r="N343" i="6" s="1"/>
  <c r="A343" i="6"/>
  <c r="K342" i="6"/>
  <c r="D342" i="6"/>
  <c r="C342" i="6"/>
  <c r="B342" i="6"/>
  <c r="A342" i="6"/>
  <c r="D341" i="6"/>
  <c r="C341" i="6"/>
  <c r="B341" i="6"/>
  <c r="A341" i="6"/>
  <c r="N340" i="6"/>
  <c r="K340" i="6"/>
  <c r="D340" i="6"/>
  <c r="C340" i="6"/>
  <c r="B340" i="6"/>
  <c r="A340" i="6"/>
  <c r="K339" i="6"/>
  <c r="I339" i="6"/>
  <c r="D339" i="6"/>
  <c r="C339" i="6"/>
  <c r="B339" i="6"/>
  <c r="N339" i="6" s="1"/>
  <c r="A339" i="6"/>
  <c r="N338" i="6"/>
  <c r="K338" i="6"/>
  <c r="I338" i="6"/>
  <c r="D338" i="6"/>
  <c r="C338" i="6"/>
  <c r="B338" i="6"/>
  <c r="A338" i="6"/>
  <c r="D337" i="6"/>
  <c r="C337" i="6"/>
  <c r="B337" i="6"/>
  <c r="A337" i="6"/>
  <c r="N336" i="6"/>
  <c r="K336" i="6"/>
  <c r="D336" i="6"/>
  <c r="C336" i="6"/>
  <c r="B336" i="6"/>
  <c r="A336" i="6"/>
  <c r="K335" i="6"/>
  <c r="I335" i="6"/>
  <c r="D335" i="6"/>
  <c r="C335" i="6"/>
  <c r="B335" i="6"/>
  <c r="N335" i="6" s="1"/>
  <c r="A335" i="6"/>
  <c r="N334" i="6"/>
  <c r="K334" i="6"/>
  <c r="I334" i="6"/>
  <c r="D334" i="6"/>
  <c r="C334" i="6"/>
  <c r="B334" i="6"/>
  <c r="A334" i="6"/>
  <c r="D333" i="6"/>
  <c r="C333" i="6"/>
  <c r="B333" i="6"/>
  <c r="A333" i="6"/>
  <c r="N332" i="6"/>
  <c r="K332" i="6"/>
  <c r="D332" i="6"/>
  <c r="C332" i="6"/>
  <c r="B332" i="6"/>
  <c r="A332" i="6"/>
  <c r="K331" i="6"/>
  <c r="I331" i="6"/>
  <c r="D331" i="6"/>
  <c r="C331" i="6"/>
  <c r="B331" i="6"/>
  <c r="N331" i="6" s="1"/>
  <c r="A331" i="6"/>
  <c r="N330" i="6"/>
  <c r="K330" i="6"/>
  <c r="D330" i="6"/>
  <c r="C330" i="6"/>
  <c r="B330" i="6"/>
  <c r="A330" i="6"/>
  <c r="D329" i="6"/>
  <c r="C329" i="6"/>
  <c r="B329" i="6"/>
  <c r="A329" i="6"/>
  <c r="N328" i="6"/>
  <c r="K328" i="6"/>
  <c r="D328" i="6"/>
  <c r="C328" i="6"/>
  <c r="B328" i="6"/>
  <c r="A328" i="6"/>
  <c r="K327" i="6"/>
  <c r="I327" i="6"/>
  <c r="D327" i="6"/>
  <c r="C327" i="6"/>
  <c r="B327" i="6"/>
  <c r="N327" i="6" s="1"/>
  <c r="A327" i="6"/>
  <c r="K326" i="6"/>
  <c r="D326" i="6"/>
  <c r="C326" i="6"/>
  <c r="B326" i="6"/>
  <c r="A326" i="6"/>
  <c r="D325" i="6"/>
  <c r="C325" i="6"/>
  <c r="B325" i="6"/>
  <c r="A325" i="6"/>
  <c r="N324" i="6"/>
  <c r="K324" i="6"/>
  <c r="D324" i="6"/>
  <c r="C324" i="6"/>
  <c r="B324" i="6"/>
  <c r="A324" i="6"/>
  <c r="K323" i="6"/>
  <c r="I323" i="6"/>
  <c r="D323" i="6"/>
  <c r="C323" i="6"/>
  <c r="B323" i="6"/>
  <c r="N323" i="6" s="1"/>
  <c r="A323" i="6"/>
  <c r="N322" i="6"/>
  <c r="K322" i="6"/>
  <c r="I322" i="6"/>
  <c r="D322" i="6"/>
  <c r="C322" i="6"/>
  <c r="B322" i="6"/>
  <c r="A322" i="6"/>
  <c r="D321" i="6"/>
  <c r="C321" i="6"/>
  <c r="B321" i="6"/>
  <c r="A321" i="6"/>
  <c r="N320" i="6"/>
  <c r="K320" i="6"/>
  <c r="D320" i="6"/>
  <c r="C320" i="6"/>
  <c r="B320" i="6"/>
  <c r="A320" i="6"/>
  <c r="K319" i="6"/>
  <c r="I319" i="6"/>
  <c r="D319" i="6"/>
  <c r="C319" i="6"/>
  <c r="B319" i="6"/>
  <c r="N319" i="6" s="1"/>
  <c r="A319" i="6"/>
  <c r="N318" i="6"/>
  <c r="K318" i="6"/>
  <c r="D318" i="6"/>
  <c r="C318" i="6"/>
  <c r="I318" i="6" s="1"/>
  <c r="B318" i="6"/>
  <c r="A318" i="6"/>
  <c r="D317" i="6"/>
  <c r="C317" i="6"/>
  <c r="B317" i="6"/>
  <c r="A317" i="6"/>
  <c r="N316" i="6"/>
  <c r="D316" i="6"/>
  <c r="C316" i="6"/>
  <c r="K316" i="6" s="1"/>
  <c r="B316" i="6"/>
  <c r="A316" i="6"/>
  <c r="K315" i="6"/>
  <c r="I315" i="6"/>
  <c r="D315" i="6"/>
  <c r="C315" i="6"/>
  <c r="B315" i="6"/>
  <c r="N315" i="6" s="1"/>
  <c r="A315" i="6"/>
  <c r="D314" i="6"/>
  <c r="C314" i="6"/>
  <c r="B314" i="6"/>
  <c r="A314" i="6"/>
  <c r="D313" i="6"/>
  <c r="C313" i="6"/>
  <c r="B313" i="6"/>
  <c r="K313" i="6" s="1"/>
  <c r="A313" i="6"/>
  <c r="K312" i="6"/>
  <c r="D312" i="6"/>
  <c r="C312" i="6"/>
  <c r="N312" i="6" s="1"/>
  <c r="B312" i="6"/>
  <c r="A312" i="6"/>
  <c r="K311" i="6"/>
  <c r="I311" i="6"/>
  <c r="D311" i="6"/>
  <c r="C311" i="6"/>
  <c r="B311" i="6"/>
  <c r="N311" i="6" s="1"/>
  <c r="A311" i="6"/>
  <c r="D310" i="6"/>
  <c r="C310" i="6"/>
  <c r="B310" i="6"/>
  <c r="A310" i="6"/>
  <c r="D309" i="6"/>
  <c r="C309" i="6"/>
  <c r="B309" i="6"/>
  <c r="A309" i="6"/>
  <c r="K308" i="6"/>
  <c r="D308" i="6"/>
  <c r="C308" i="6"/>
  <c r="N308" i="6" s="1"/>
  <c r="B308" i="6"/>
  <c r="A308" i="6"/>
  <c r="K307" i="6"/>
  <c r="I307" i="6"/>
  <c r="D307" i="6"/>
  <c r="C307" i="6"/>
  <c r="B307" i="6"/>
  <c r="N307" i="6" s="1"/>
  <c r="A307" i="6"/>
  <c r="N306" i="6"/>
  <c r="I306" i="6"/>
  <c r="D306" i="6"/>
  <c r="C306" i="6"/>
  <c r="B306" i="6"/>
  <c r="A306" i="6"/>
  <c r="D305" i="6"/>
  <c r="C305" i="6"/>
  <c r="B305" i="6"/>
  <c r="A305" i="6"/>
  <c r="D304" i="6"/>
  <c r="C304" i="6"/>
  <c r="N304" i="6" s="1"/>
  <c r="B304" i="6"/>
  <c r="A304" i="6"/>
  <c r="K303" i="6"/>
  <c r="I303" i="6"/>
  <c r="D303" i="6"/>
  <c r="C303" i="6"/>
  <c r="B303" i="6"/>
  <c r="N303" i="6" s="1"/>
  <c r="A303" i="6"/>
  <c r="I302" i="6"/>
  <c r="D302" i="6"/>
  <c r="C302" i="6"/>
  <c r="B302" i="6"/>
  <c r="A302" i="6"/>
  <c r="K301" i="6"/>
  <c r="D301" i="6"/>
  <c r="C301" i="6"/>
  <c r="B301" i="6"/>
  <c r="A301" i="6"/>
  <c r="K300" i="6"/>
  <c r="D300" i="6"/>
  <c r="C300" i="6"/>
  <c r="N300" i="6" s="1"/>
  <c r="B300" i="6"/>
  <c r="A300" i="6"/>
  <c r="K299" i="6"/>
  <c r="I299" i="6"/>
  <c r="D299" i="6"/>
  <c r="C299" i="6"/>
  <c r="B299" i="6"/>
  <c r="N299" i="6" s="1"/>
  <c r="A299" i="6"/>
  <c r="I298" i="6"/>
  <c r="D298" i="6"/>
  <c r="C298" i="6"/>
  <c r="B298" i="6"/>
  <c r="N298" i="6" s="1"/>
  <c r="A298" i="6"/>
  <c r="D297" i="6"/>
  <c r="C297" i="6"/>
  <c r="B297" i="6"/>
  <c r="A297" i="6"/>
  <c r="D296" i="6"/>
  <c r="C296" i="6"/>
  <c r="N296" i="6" s="1"/>
  <c r="B296" i="6"/>
  <c r="A296" i="6"/>
  <c r="K295" i="6"/>
  <c r="I295" i="6"/>
  <c r="D295" i="6"/>
  <c r="C295" i="6"/>
  <c r="B295" i="6"/>
  <c r="N295" i="6" s="1"/>
  <c r="A295" i="6"/>
  <c r="D294" i="6"/>
  <c r="C294" i="6"/>
  <c r="B294" i="6"/>
  <c r="A294" i="6"/>
  <c r="D293" i="6"/>
  <c r="C293" i="6"/>
  <c r="B293" i="6"/>
  <c r="A293" i="6"/>
  <c r="D292" i="6"/>
  <c r="C292" i="6"/>
  <c r="N292" i="6" s="1"/>
  <c r="B292" i="6"/>
  <c r="A292" i="6"/>
  <c r="K291" i="6"/>
  <c r="I291" i="6"/>
  <c r="D291" i="6"/>
  <c r="C291" i="6"/>
  <c r="B291" i="6"/>
  <c r="N291" i="6" s="1"/>
  <c r="A291" i="6"/>
  <c r="D290" i="6"/>
  <c r="C290" i="6"/>
  <c r="B290" i="6"/>
  <c r="A290" i="6"/>
  <c r="D289" i="6"/>
  <c r="C289" i="6"/>
  <c r="B289" i="6"/>
  <c r="A289" i="6"/>
  <c r="D288" i="6"/>
  <c r="C288" i="6"/>
  <c r="B288" i="6"/>
  <c r="A288" i="6"/>
  <c r="N287" i="6"/>
  <c r="G287" i="6"/>
  <c r="D287" i="6"/>
  <c r="C287" i="6"/>
  <c r="B287" i="6"/>
  <c r="E287" i="6" s="1"/>
  <c r="F287" i="6" s="1"/>
  <c r="A287" i="6"/>
  <c r="N286" i="6"/>
  <c r="K286" i="6"/>
  <c r="I286" i="6"/>
  <c r="G286" i="6"/>
  <c r="D286" i="6"/>
  <c r="C286" i="6"/>
  <c r="B286" i="6"/>
  <c r="A286" i="6"/>
  <c r="D285" i="6"/>
  <c r="C285" i="6"/>
  <c r="B285" i="6"/>
  <c r="A285" i="6"/>
  <c r="D284" i="6"/>
  <c r="C284" i="6"/>
  <c r="K284" i="6" s="1"/>
  <c r="B284" i="6"/>
  <c r="A284" i="6"/>
  <c r="G283" i="6"/>
  <c r="D283" i="6"/>
  <c r="C283" i="6"/>
  <c r="N283" i="6" s="1"/>
  <c r="B283" i="6"/>
  <c r="A283" i="6"/>
  <c r="D282" i="6"/>
  <c r="C282" i="6"/>
  <c r="B282" i="6"/>
  <c r="A282" i="6"/>
  <c r="N281" i="6"/>
  <c r="L281" i="6"/>
  <c r="K281" i="6"/>
  <c r="I281" i="6"/>
  <c r="G281" i="6"/>
  <c r="F281" i="6"/>
  <c r="D281" i="6"/>
  <c r="C281" i="6"/>
  <c r="B281" i="6"/>
  <c r="E281" i="6" s="1"/>
  <c r="A281" i="6"/>
  <c r="K280" i="6"/>
  <c r="I280" i="6"/>
  <c r="D280" i="6"/>
  <c r="C280" i="6"/>
  <c r="G280" i="6" s="1"/>
  <c r="B280" i="6"/>
  <c r="A280" i="6"/>
  <c r="K279" i="6"/>
  <c r="G279" i="6"/>
  <c r="D279" i="6"/>
  <c r="C279" i="6"/>
  <c r="B279" i="6"/>
  <c r="A279" i="6"/>
  <c r="N278" i="6"/>
  <c r="I278" i="6"/>
  <c r="G278" i="6"/>
  <c r="D278" i="6"/>
  <c r="C278" i="6"/>
  <c r="K278" i="6" s="1"/>
  <c r="B278" i="6"/>
  <c r="A278" i="6"/>
  <c r="D277" i="6"/>
  <c r="C277" i="6"/>
  <c r="B277" i="6"/>
  <c r="A277" i="6"/>
  <c r="L276" i="6"/>
  <c r="K276" i="6"/>
  <c r="I276" i="6"/>
  <c r="G276" i="6"/>
  <c r="F276" i="6"/>
  <c r="D276" i="6"/>
  <c r="C276" i="6"/>
  <c r="B276" i="6"/>
  <c r="E276" i="6" s="1"/>
  <c r="A276" i="6"/>
  <c r="I275" i="6"/>
  <c r="D275" i="6"/>
  <c r="C275" i="6"/>
  <c r="B275" i="6"/>
  <c r="A275" i="6"/>
  <c r="D274" i="6"/>
  <c r="C274" i="6"/>
  <c r="N274" i="6" s="1"/>
  <c r="B274" i="6"/>
  <c r="A274" i="6"/>
  <c r="D273" i="6"/>
  <c r="C273" i="6"/>
  <c r="B273" i="6"/>
  <c r="A273" i="6"/>
  <c r="N272" i="6"/>
  <c r="G272" i="6"/>
  <c r="D272" i="6"/>
  <c r="C272" i="6"/>
  <c r="B272" i="6"/>
  <c r="A272" i="6"/>
  <c r="N271" i="6"/>
  <c r="G271" i="6"/>
  <c r="D271" i="6"/>
  <c r="C271" i="6"/>
  <c r="K271" i="6" s="1"/>
  <c r="B271" i="6"/>
  <c r="A271" i="6"/>
  <c r="N270" i="6"/>
  <c r="K270" i="6"/>
  <c r="I270" i="6"/>
  <c r="G270" i="6"/>
  <c r="E270" i="6"/>
  <c r="F270" i="6" s="1"/>
  <c r="D270" i="6"/>
  <c r="C270" i="6"/>
  <c r="B270" i="6"/>
  <c r="A270" i="6"/>
  <c r="D269" i="6"/>
  <c r="C269" i="6"/>
  <c r="B269" i="6"/>
  <c r="A269" i="6"/>
  <c r="N268" i="6"/>
  <c r="I268" i="6"/>
  <c r="D268" i="6"/>
  <c r="C268" i="6"/>
  <c r="B268" i="6"/>
  <c r="A268" i="6"/>
  <c r="K267" i="6"/>
  <c r="D267" i="6"/>
  <c r="C267" i="6"/>
  <c r="B267" i="6"/>
  <c r="A267" i="6"/>
  <c r="I266" i="6"/>
  <c r="G266" i="6"/>
  <c r="E266" i="6"/>
  <c r="F266" i="6" s="1"/>
  <c r="D266" i="6"/>
  <c r="C266" i="6"/>
  <c r="B266" i="6"/>
  <c r="K266" i="6" s="1"/>
  <c r="A266" i="6"/>
  <c r="N265" i="6"/>
  <c r="K265" i="6"/>
  <c r="G265" i="6"/>
  <c r="E265" i="6"/>
  <c r="F265" i="6" s="1"/>
  <c r="H265" i="6" s="1"/>
  <c r="D265" i="6"/>
  <c r="C265" i="6"/>
  <c r="B265" i="6"/>
  <c r="A265" i="6"/>
  <c r="N264" i="6"/>
  <c r="E264" i="6"/>
  <c r="F264" i="6" s="1"/>
  <c r="D264" i="6"/>
  <c r="C264" i="6"/>
  <c r="K264" i="6" s="1"/>
  <c r="B264" i="6"/>
  <c r="A264" i="6"/>
  <c r="I263" i="6"/>
  <c r="D263" i="6"/>
  <c r="C263" i="6"/>
  <c r="K263" i="6" s="1"/>
  <c r="B263" i="6"/>
  <c r="A263" i="6"/>
  <c r="N262" i="6"/>
  <c r="K262" i="6"/>
  <c r="I262" i="6"/>
  <c r="G262" i="6"/>
  <c r="E262" i="6"/>
  <c r="F262" i="6" s="1"/>
  <c r="D262" i="6"/>
  <c r="C262" i="6"/>
  <c r="B262" i="6"/>
  <c r="A262" i="6"/>
  <c r="N261" i="6"/>
  <c r="K261" i="6"/>
  <c r="I261" i="6"/>
  <c r="F261" i="6"/>
  <c r="E261" i="6"/>
  <c r="D261" i="6"/>
  <c r="C261" i="6"/>
  <c r="G261" i="6" s="1"/>
  <c r="B261" i="6"/>
  <c r="A261" i="6"/>
  <c r="N260" i="6"/>
  <c r="K260" i="6"/>
  <c r="G260" i="6"/>
  <c r="D260" i="6"/>
  <c r="F260" i="6" s="1"/>
  <c r="L260" i="6" s="1"/>
  <c r="C260" i="6"/>
  <c r="E260" i="6" s="1"/>
  <c r="B260" i="6"/>
  <c r="A260" i="6"/>
  <c r="N259" i="6"/>
  <c r="K259" i="6"/>
  <c r="I259" i="6"/>
  <c r="G259" i="6"/>
  <c r="E259" i="6"/>
  <c r="F259" i="6" s="1"/>
  <c r="D259" i="6"/>
  <c r="C259" i="6"/>
  <c r="B259" i="6"/>
  <c r="A259" i="6"/>
  <c r="D258" i="6"/>
  <c r="C258" i="6"/>
  <c r="B258" i="6"/>
  <c r="A258" i="6"/>
  <c r="N257" i="6"/>
  <c r="K257" i="6"/>
  <c r="I257" i="6"/>
  <c r="H257" i="6"/>
  <c r="F257" i="6"/>
  <c r="L257" i="6" s="1"/>
  <c r="E257" i="6"/>
  <c r="D257" i="6"/>
  <c r="C257" i="6"/>
  <c r="G257" i="6" s="1"/>
  <c r="B257" i="6"/>
  <c r="A257" i="6"/>
  <c r="N256" i="6"/>
  <c r="D256" i="6"/>
  <c r="C256" i="6"/>
  <c r="K256" i="6" s="1"/>
  <c r="B256" i="6"/>
  <c r="A256" i="6"/>
  <c r="N255" i="6"/>
  <c r="K255" i="6"/>
  <c r="I255" i="6"/>
  <c r="G255" i="6"/>
  <c r="E255" i="6"/>
  <c r="D255" i="6"/>
  <c r="F255" i="6" s="1"/>
  <c r="C255" i="6"/>
  <c r="B255" i="6"/>
  <c r="A255" i="6"/>
  <c r="N254" i="6"/>
  <c r="K254" i="6"/>
  <c r="D254" i="6"/>
  <c r="C254" i="6"/>
  <c r="I254" i="6" s="1"/>
  <c r="B254" i="6"/>
  <c r="A254" i="6"/>
  <c r="N253" i="6"/>
  <c r="K253" i="6"/>
  <c r="I253" i="6"/>
  <c r="F253" i="6"/>
  <c r="E253" i="6"/>
  <c r="D253" i="6"/>
  <c r="C253" i="6"/>
  <c r="G253" i="6" s="1"/>
  <c r="B253" i="6"/>
  <c r="A253" i="6"/>
  <c r="N252" i="6"/>
  <c r="K252" i="6"/>
  <c r="G252" i="6"/>
  <c r="D252" i="6"/>
  <c r="F252" i="6" s="1"/>
  <c r="C252" i="6"/>
  <c r="E252" i="6" s="1"/>
  <c r="B252" i="6"/>
  <c r="A252" i="6"/>
  <c r="N251" i="6"/>
  <c r="K251" i="6"/>
  <c r="I251" i="6"/>
  <c r="G251" i="6"/>
  <c r="F251" i="6"/>
  <c r="E251" i="6"/>
  <c r="D251" i="6"/>
  <c r="C251" i="6"/>
  <c r="B251" i="6"/>
  <c r="A251" i="6"/>
  <c r="D250" i="6"/>
  <c r="C250" i="6"/>
  <c r="B250" i="6"/>
  <c r="A250" i="6"/>
  <c r="N249" i="6"/>
  <c r="K249" i="6"/>
  <c r="I249" i="6"/>
  <c r="H249" i="6"/>
  <c r="F249" i="6"/>
  <c r="L249" i="6" s="1"/>
  <c r="E249" i="6"/>
  <c r="D249" i="6"/>
  <c r="C249" i="6"/>
  <c r="G249" i="6" s="1"/>
  <c r="B249" i="6"/>
  <c r="A249" i="6"/>
  <c r="N248" i="6"/>
  <c r="D248" i="6"/>
  <c r="C248" i="6"/>
  <c r="K248" i="6" s="1"/>
  <c r="B248" i="6"/>
  <c r="A248" i="6"/>
  <c r="N247" i="6"/>
  <c r="K247" i="6"/>
  <c r="I247" i="6"/>
  <c r="G247" i="6"/>
  <c r="E247" i="6"/>
  <c r="D247" i="6"/>
  <c r="F247" i="6" s="1"/>
  <c r="C247" i="6"/>
  <c r="B247" i="6"/>
  <c r="A247" i="6"/>
  <c r="N246" i="6"/>
  <c r="K246" i="6"/>
  <c r="D246" i="6"/>
  <c r="C246" i="6"/>
  <c r="I246" i="6" s="1"/>
  <c r="B246" i="6"/>
  <c r="A246" i="6"/>
  <c r="N245" i="6"/>
  <c r="K245" i="6"/>
  <c r="I245" i="6"/>
  <c r="F245" i="6"/>
  <c r="E245" i="6"/>
  <c r="D245" i="6"/>
  <c r="C245" i="6"/>
  <c r="G245" i="6" s="1"/>
  <c r="B245" i="6"/>
  <c r="A245" i="6"/>
  <c r="N244" i="6"/>
  <c r="K244" i="6"/>
  <c r="G244" i="6"/>
  <c r="D244" i="6"/>
  <c r="F244" i="6" s="1"/>
  <c r="L244" i="6" s="1"/>
  <c r="C244" i="6"/>
  <c r="E244" i="6" s="1"/>
  <c r="B244" i="6"/>
  <c r="A244" i="6"/>
  <c r="N243" i="6"/>
  <c r="K243" i="6"/>
  <c r="I243" i="6"/>
  <c r="G243" i="6"/>
  <c r="E243" i="6"/>
  <c r="F243" i="6" s="1"/>
  <c r="D243" i="6"/>
  <c r="C243" i="6"/>
  <c r="B243" i="6"/>
  <c r="A243" i="6"/>
  <c r="D242" i="6"/>
  <c r="C242" i="6"/>
  <c r="B242" i="6"/>
  <c r="A242" i="6"/>
  <c r="N241" i="6"/>
  <c r="K241" i="6"/>
  <c r="I241" i="6"/>
  <c r="F241" i="6"/>
  <c r="L241" i="6" s="1"/>
  <c r="E241" i="6"/>
  <c r="D241" i="6"/>
  <c r="C241" i="6"/>
  <c r="G241" i="6" s="1"/>
  <c r="H241" i="6" s="1"/>
  <c r="B241" i="6"/>
  <c r="A241" i="6"/>
  <c r="N240" i="6"/>
  <c r="D240" i="6"/>
  <c r="C240" i="6"/>
  <c r="K240" i="6" s="1"/>
  <c r="B240" i="6"/>
  <c r="A240" i="6"/>
  <c r="N239" i="6"/>
  <c r="K239" i="6"/>
  <c r="I239" i="6"/>
  <c r="G239" i="6"/>
  <c r="E239" i="6"/>
  <c r="D239" i="6"/>
  <c r="F239" i="6" s="1"/>
  <c r="C239" i="6"/>
  <c r="B239" i="6"/>
  <c r="A239" i="6"/>
  <c r="N238" i="6"/>
  <c r="K238" i="6"/>
  <c r="D238" i="6"/>
  <c r="C238" i="6"/>
  <c r="I238" i="6" s="1"/>
  <c r="B238" i="6"/>
  <c r="A238" i="6"/>
  <c r="N237" i="6"/>
  <c r="K237" i="6"/>
  <c r="I237" i="6"/>
  <c r="F237" i="6"/>
  <c r="E237" i="6"/>
  <c r="D237" i="6"/>
  <c r="C237" i="6"/>
  <c r="G237" i="6" s="1"/>
  <c r="B237" i="6"/>
  <c r="A237" i="6"/>
  <c r="N236" i="6"/>
  <c r="K236" i="6"/>
  <c r="G236" i="6"/>
  <c r="D236" i="6"/>
  <c r="C236" i="6"/>
  <c r="E236" i="6" s="1"/>
  <c r="B236" i="6"/>
  <c r="A236" i="6"/>
  <c r="N235" i="6"/>
  <c r="K235" i="6"/>
  <c r="I235" i="6"/>
  <c r="G235" i="6"/>
  <c r="F235" i="6"/>
  <c r="E235" i="6"/>
  <c r="D235" i="6"/>
  <c r="C235" i="6"/>
  <c r="B235" i="6"/>
  <c r="A235" i="6"/>
  <c r="K234" i="6"/>
  <c r="D234" i="6"/>
  <c r="C234" i="6"/>
  <c r="B234" i="6"/>
  <c r="A234" i="6"/>
  <c r="N233" i="6"/>
  <c r="K233" i="6"/>
  <c r="I233" i="6"/>
  <c r="H233" i="6"/>
  <c r="F233" i="6"/>
  <c r="L233" i="6" s="1"/>
  <c r="E233" i="6"/>
  <c r="D233" i="6"/>
  <c r="C233" i="6"/>
  <c r="G233" i="6" s="1"/>
  <c r="B233" i="6"/>
  <c r="A233" i="6"/>
  <c r="N232" i="6"/>
  <c r="D232" i="6"/>
  <c r="C232" i="6"/>
  <c r="K232" i="6" s="1"/>
  <c r="B232" i="6"/>
  <c r="A232" i="6"/>
  <c r="N231" i="6"/>
  <c r="K231" i="6"/>
  <c r="I231" i="6"/>
  <c r="G231" i="6"/>
  <c r="E231" i="6"/>
  <c r="D231" i="6"/>
  <c r="F231" i="6" s="1"/>
  <c r="C231" i="6"/>
  <c r="B231" i="6"/>
  <c r="A231" i="6"/>
  <c r="N230" i="6"/>
  <c r="K230" i="6"/>
  <c r="D230" i="6"/>
  <c r="C230" i="6"/>
  <c r="I230" i="6" s="1"/>
  <c r="B230" i="6"/>
  <c r="A230" i="6"/>
  <c r="N229" i="6"/>
  <c r="K229" i="6"/>
  <c r="I229" i="6"/>
  <c r="H229" i="6"/>
  <c r="F229" i="6"/>
  <c r="E229" i="6"/>
  <c r="D229" i="6"/>
  <c r="C229" i="6"/>
  <c r="G229" i="6" s="1"/>
  <c r="B229" i="6"/>
  <c r="A229" i="6"/>
  <c r="N228" i="6"/>
  <c r="K228" i="6"/>
  <c r="G228" i="6"/>
  <c r="D228" i="6"/>
  <c r="F228" i="6" s="1"/>
  <c r="C228" i="6"/>
  <c r="E228" i="6" s="1"/>
  <c r="B228" i="6"/>
  <c r="A228" i="6"/>
  <c r="N227" i="6"/>
  <c r="K227" i="6"/>
  <c r="I227" i="6"/>
  <c r="G227" i="6"/>
  <c r="E227" i="6"/>
  <c r="D227" i="6"/>
  <c r="F227" i="6" s="1"/>
  <c r="C227" i="6"/>
  <c r="B227" i="6"/>
  <c r="A227" i="6"/>
  <c r="K226" i="6"/>
  <c r="G226" i="6"/>
  <c r="D226" i="6"/>
  <c r="C226" i="6"/>
  <c r="B226" i="6"/>
  <c r="A226" i="6"/>
  <c r="N225" i="6"/>
  <c r="K225" i="6"/>
  <c r="I225" i="6"/>
  <c r="E225" i="6"/>
  <c r="D225" i="6"/>
  <c r="C225" i="6"/>
  <c r="G225" i="6" s="1"/>
  <c r="B225" i="6"/>
  <c r="A225" i="6"/>
  <c r="N224" i="6"/>
  <c r="G224" i="6"/>
  <c r="D224" i="6"/>
  <c r="C224" i="6"/>
  <c r="B224" i="6"/>
  <c r="A224" i="6"/>
  <c r="N223" i="6"/>
  <c r="K223" i="6"/>
  <c r="I223" i="6"/>
  <c r="G223" i="6"/>
  <c r="E223" i="6"/>
  <c r="D223" i="6"/>
  <c r="C223" i="6"/>
  <c r="B223" i="6"/>
  <c r="A223" i="6"/>
  <c r="K222" i="6"/>
  <c r="D222" i="6"/>
  <c r="C222" i="6"/>
  <c r="B222" i="6"/>
  <c r="A222" i="6"/>
  <c r="N221" i="6"/>
  <c r="K221" i="6"/>
  <c r="I221" i="6"/>
  <c r="E221" i="6"/>
  <c r="F221" i="6" s="1"/>
  <c r="D221" i="6"/>
  <c r="C221" i="6"/>
  <c r="G221" i="6" s="1"/>
  <c r="B221" i="6"/>
  <c r="A221" i="6"/>
  <c r="G220" i="6"/>
  <c r="D220" i="6"/>
  <c r="C220" i="6"/>
  <c r="N220" i="6" s="1"/>
  <c r="B220" i="6"/>
  <c r="A220" i="6"/>
  <c r="N219" i="6"/>
  <c r="K219" i="6"/>
  <c r="I219" i="6"/>
  <c r="G219" i="6"/>
  <c r="E219" i="6"/>
  <c r="F219" i="6" s="1"/>
  <c r="D219" i="6"/>
  <c r="C219" i="6"/>
  <c r="B219" i="6"/>
  <c r="A219" i="6"/>
  <c r="D218" i="6"/>
  <c r="C218" i="6"/>
  <c r="B218" i="6"/>
  <c r="A218" i="6"/>
  <c r="K217" i="6"/>
  <c r="I217" i="6"/>
  <c r="F217" i="6"/>
  <c r="L217" i="6" s="1"/>
  <c r="E217" i="6"/>
  <c r="D217" i="6"/>
  <c r="C217" i="6"/>
  <c r="N217" i="6" s="1"/>
  <c r="B217" i="6"/>
  <c r="A217" i="6"/>
  <c r="D216" i="6"/>
  <c r="C216" i="6"/>
  <c r="B216" i="6"/>
  <c r="A216" i="6"/>
  <c r="N215" i="6"/>
  <c r="K215" i="6"/>
  <c r="I215" i="6"/>
  <c r="G215" i="6"/>
  <c r="E215" i="6"/>
  <c r="D215" i="6"/>
  <c r="F215" i="6" s="1"/>
  <c r="C215" i="6"/>
  <c r="B215" i="6"/>
  <c r="A215" i="6"/>
  <c r="K214" i="6"/>
  <c r="G214" i="6"/>
  <c r="D214" i="6"/>
  <c r="C214" i="6"/>
  <c r="N214" i="6" s="1"/>
  <c r="B214" i="6"/>
  <c r="A214" i="6"/>
  <c r="N213" i="6"/>
  <c r="K213" i="6"/>
  <c r="I213" i="6"/>
  <c r="E213" i="6"/>
  <c r="F213" i="6" s="1"/>
  <c r="D213" i="6"/>
  <c r="C213" i="6"/>
  <c r="G213" i="6" s="1"/>
  <c r="B213" i="6"/>
  <c r="A213" i="6"/>
  <c r="D212" i="6"/>
  <c r="C212" i="6"/>
  <c r="B212" i="6"/>
  <c r="A212" i="6"/>
  <c r="N211" i="6"/>
  <c r="K211" i="6"/>
  <c r="I211" i="6"/>
  <c r="G211" i="6"/>
  <c r="E211" i="6"/>
  <c r="D211" i="6"/>
  <c r="F211" i="6" s="1"/>
  <c r="L211" i="6" s="1"/>
  <c r="C211" i="6"/>
  <c r="B211" i="6"/>
  <c r="A211" i="6"/>
  <c r="D210" i="6"/>
  <c r="C210" i="6"/>
  <c r="B210" i="6"/>
  <c r="A210" i="6"/>
  <c r="K209" i="6"/>
  <c r="I209" i="6"/>
  <c r="E209" i="6"/>
  <c r="D209" i="6"/>
  <c r="F209" i="6" s="1"/>
  <c r="C209" i="6"/>
  <c r="N209" i="6" s="1"/>
  <c r="B209" i="6"/>
  <c r="A209" i="6"/>
  <c r="D208" i="6"/>
  <c r="C208" i="6"/>
  <c r="N208" i="6" s="1"/>
  <c r="B208" i="6"/>
  <c r="A208" i="6"/>
  <c r="N207" i="6"/>
  <c r="K207" i="6"/>
  <c r="I207" i="6"/>
  <c r="G207" i="6"/>
  <c r="E207" i="6"/>
  <c r="D207" i="6"/>
  <c r="F207" i="6" s="1"/>
  <c r="C207" i="6"/>
  <c r="B207" i="6"/>
  <c r="A207" i="6"/>
  <c r="N206" i="6"/>
  <c r="D206" i="6"/>
  <c r="C206" i="6"/>
  <c r="B206" i="6"/>
  <c r="A206" i="6"/>
  <c r="N205" i="6"/>
  <c r="K205" i="6"/>
  <c r="I205" i="6"/>
  <c r="F205" i="6"/>
  <c r="E205" i="6"/>
  <c r="D205" i="6"/>
  <c r="C205" i="6"/>
  <c r="G205" i="6" s="1"/>
  <c r="B205" i="6"/>
  <c r="A205" i="6"/>
  <c r="D204" i="6"/>
  <c r="C204" i="6"/>
  <c r="B204" i="6"/>
  <c r="A204" i="6"/>
  <c r="N203" i="6"/>
  <c r="K203" i="6"/>
  <c r="I203" i="6"/>
  <c r="E203" i="6"/>
  <c r="D203" i="6"/>
  <c r="F203" i="6" s="1"/>
  <c r="C203" i="6"/>
  <c r="B203" i="6"/>
  <c r="G203" i="6" s="1"/>
  <c r="A203" i="6"/>
  <c r="D202" i="6"/>
  <c r="C202" i="6"/>
  <c r="K202" i="6" s="1"/>
  <c r="B202" i="6"/>
  <c r="G202" i="6" s="1"/>
  <c r="A202" i="6"/>
  <c r="I201" i="6"/>
  <c r="D201" i="6"/>
  <c r="C201" i="6"/>
  <c r="B201" i="6"/>
  <c r="A201" i="6"/>
  <c r="N200" i="6"/>
  <c r="G200" i="6"/>
  <c r="D200" i="6"/>
  <c r="C200" i="6"/>
  <c r="B200" i="6"/>
  <c r="A200" i="6"/>
  <c r="D199" i="6"/>
  <c r="C199" i="6"/>
  <c r="B199" i="6"/>
  <c r="A199" i="6"/>
  <c r="D198" i="6"/>
  <c r="C198" i="6"/>
  <c r="B198" i="6"/>
  <c r="A198" i="6"/>
  <c r="N197" i="6"/>
  <c r="K197" i="6"/>
  <c r="I197" i="6"/>
  <c r="H197" i="6"/>
  <c r="F197" i="6"/>
  <c r="L197" i="6" s="1"/>
  <c r="E197" i="6"/>
  <c r="D197" i="6"/>
  <c r="C197" i="6"/>
  <c r="B197" i="6"/>
  <c r="G197" i="6" s="1"/>
  <c r="A197" i="6"/>
  <c r="N196" i="6"/>
  <c r="D196" i="6"/>
  <c r="C196" i="6"/>
  <c r="B196" i="6"/>
  <c r="E196" i="6" s="1"/>
  <c r="F196" i="6" s="1"/>
  <c r="A196" i="6"/>
  <c r="N195" i="6"/>
  <c r="E195" i="6"/>
  <c r="F195" i="6" s="1"/>
  <c r="D195" i="6"/>
  <c r="C195" i="6"/>
  <c r="B195" i="6"/>
  <c r="G195" i="6" s="1"/>
  <c r="A195" i="6"/>
  <c r="G194" i="6"/>
  <c r="D194" i="6"/>
  <c r="C194" i="6"/>
  <c r="K194" i="6" s="1"/>
  <c r="B194" i="6"/>
  <c r="A194" i="6"/>
  <c r="I193" i="6"/>
  <c r="D193" i="6"/>
  <c r="C193" i="6"/>
  <c r="B193" i="6"/>
  <c r="A193" i="6"/>
  <c r="G192" i="6"/>
  <c r="D192" i="6"/>
  <c r="C192" i="6"/>
  <c r="N192" i="6" s="1"/>
  <c r="B192" i="6"/>
  <c r="A192" i="6"/>
  <c r="I191" i="6"/>
  <c r="D191" i="6"/>
  <c r="C191" i="6"/>
  <c r="B191" i="6"/>
  <c r="G191" i="6" s="1"/>
  <c r="A191" i="6"/>
  <c r="K190" i="6"/>
  <c r="G190" i="6"/>
  <c r="D190" i="6"/>
  <c r="C190" i="6"/>
  <c r="B190" i="6"/>
  <c r="A190" i="6"/>
  <c r="N189" i="6"/>
  <c r="K189" i="6"/>
  <c r="I189" i="6"/>
  <c r="F189" i="6"/>
  <c r="E189" i="6"/>
  <c r="D189" i="6"/>
  <c r="C189" i="6"/>
  <c r="B189" i="6"/>
  <c r="G189" i="6" s="1"/>
  <c r="A189" i="6"/>
  <c r="D188" i="6"/>
  <c r="C188" i="6"/>
  <c r="B188" i="6"/>
  <c r="A188" i="6"/>
  <c r="D187" i="6"/>
  <c r="C187" i="6"/>
  <c r="B187" i="6"/>
  <c r="A187" i="6"/>
  <c r="D186" i="6"/>
  <c r="C186" i="6"/>
  <c r="B186" i="6"/>
  <c r="A186" i="6"/>
  <c r="D185" i="6"/>
  <c r="C185" i="6"/>
  <c r="B185" i="6"/>
  <c r="A185" i="6"/>
  <c r="N184" i="6"/>
  <c r="D184" i="6"/>
  <c r="C184" i="6"/>
  <c r="G184" i="6" s="1"/>
  <c r="B184" i="6"/>
  <c r="A184" i="6"/>
  <c r="N183" i="6"/>
  <c r="K183" i="6"/>
  <c r="E183" i="6"/>
  <c r="F183" i="6" s="1"/>
  <c r="D183" i="6"/>
  <c r="C183" i="6"/>
  <c r="B183" i="6"/>
  <c r="A183" i="6"/>
  <c r="D182" i="6"/>
  <c r="C182" i="6"/>
  <c r="B182" i="6"/>
  <c r="A182" i="6"/>
  <c r="N181" i="6"/>
  <c r="K181" i="6"/>
  <c r="F181" i="6"/>
  <c r="E181" i="6"/>
  <c r="D181" i="6"/>
  <c r="C181" i="6"/>
  <c r="B181" i="6"/>
  <c r="A181" i="6"/>
  <c r="N180" i="6"/>
  <c r="K180" i="6"/>
  <c r="G180" i="6"/>
  <c r="E180" i="6"/>
  <c r="F180" i="6" s="1"/>
  <c r="D180" i="6"/>
  <c r="C180" i="6"/>
  <c r="B180" i="6"/>
  <c r="I180" i="6" s="1"/>
  <c r="A180" i="6"/>
  <c r="G179" i="6"/>
  <c r="E179" i="6"/>
  <c r="F179" i="6" s="1"/>
  <c r="D179" i="6"/>
  <c r="C179" i="6"/>
  <c r="B179" i="6"/>
  <c r="N179" i="6" s="1"/>
  <c r="A179" i="6"/>
  <c r="D178" i="6"/>
  <c r="C178" i="6"/>
  <c r="B178" i="6"/>
  <c r="A178" i="6"/>
  <c r="N177" i="6"/>
  <c r="K177" i="6"/>
  <c r="G177" i="6"/>
  <c r="F177" i="6"/>
  <c r="E177" i="6"/>
  <c r="D177" i="6"/>
  <c r="C177" i="6"/>
  <c r="B177" i="6"/>
  <c r="I177" i="6" s="1"/>
  <c r="A177" i="6"/>
  <c r="K176" i="6"/>
  <c r="G176" i="6"/>
  <c r="E176" i="6"/>
  <c r="F176" i="6" s="1"/>
  <c r="D176" i="6"/>
  <c r="C176" i="6"/>
  <c r="B176" i="6"/>
  <c r="I176" i="6" s="1"/>
  <c r="A176" i="6"/>
  <c r="G175" i="6"/>
  <c r="E175" i="6"/>
  <c r="F175" i="6" s="1"/>
  <c r="D175" i="6"/>
  <c r="C175" i="6"/>
  <c r="B175" i="6"/>
  <c r="N175" i="6" s="1"/>
  <c r="A175" i="6"/>
  <c r="D174" i="6"/>
  <c r="C174" i="6"/>
  <c r="K174" i="6" s="1"/>
  <c r="B174" i="6"/>
  <c r="A174" i="6"/>
  <c r="N173" i="6"/>
  <c r="K173" i="6"/>
  <c r="G173" i="6"/>
  <c r="F173" i="6"/>
  <c r="E173" i="6"/>
  <c r="D173" i="6"/>
  <c r="C173" i="6"/>
  <c r="B173" i="6"/>
  <c r="I173" i="6" s="1"/>
  <c r="A173" i="6"/>
  <c r="K172" i="6"/>
  <c r="G172" i="6"/>
  <c r="E172" i="6"/>
  <c r="F172" i="6" s="1"/>
  <c r="D172" i="6"/>
  <c r="C172" i="6"/>
  <c r="B172" i="6"/>
  <c r="I172" i="6" s="1"/>
  <c r="A172" i="6"/>
  <c r="G171" i="6"/>
  <c r="E171" i="6"/>
  <c r="F171" i="6" s="1"/>
  <c r="D171" i="6"/>
  <c r="C171" i="6"/>
  <c r="B171" i="6"/>
  <c r="N171" i="6" s="1"/>
  <c r="A171" i="6"/>
  <c r="D170" i="6"/>
  <c r="C170" i="6"/>
  <c r="K170" i="6" s="1"/>
  <c r="B170" i="6"/>
  <c r="A170" i="6"/>
  <c r="N169" i="6"/>
  <c r="K169" i="6"/>
  <c r="G169" i="6"/>
  <c r="F169" i="6"/>
  <c r="E169" i="6"/>
  <c r="D169" i="6"/>
  <c r="C169" i="6"/>
  <c r="B169" i="6"/>
  <c r="I169" i="6" s="1"/>
  <c r="A169" i="6"/>
  <c r="K168" i="6"/>
  <c r="G168" i="6"/>
  <c r="E168" i="6"/>
  <c r="F168" i="6" s="1"/>
  <c r="D168" i="6"/>
  <c r="C168" i="6"/>
  <c r="B168" i="6"/>
  <c r="I168" i="6" s="1"/>
  <c r="A168" i="6"/>
  <c r="G167" i="6"/>
  <c r="E167" i="6"/>
  <c r="F167" i="6" s="1"/>
  <c r="D167" i="6"/>
  <c r="C167" i="6"/>
  <c r="B167" i="6"/>
  <c r="N167" i="6" s="1"/>
  <c r="A167" i="6"/>
  <c r="D166" i="6"/>
  <c r="C166" i="6"/>
  <c r="B166" i="6"/>
  <c r="A166" i="6"/>
  <c r="N165" i="6"/>
  <c r="K165" i="6"/>
  <c r="G165" i="6"/>
  <c r="F165" i="6"/>
  <c r="E165" i="6"/>
  <c r="D165" i="6"/>
  <c r="C165" i="6"/>
  <c r="B165" i="6"/>
  <c r="I165" i="6" s="1"/>
  <c r="A165" i="6"/>
  <c r="K164" i="6"/>
  <c r="G164" i="6"/>
  <c r="E164" i="6"/>
  <c r="F164" i="6" s="1"/>
  <c r="D164" i="6"/>
  <c r="C164" i="6"/>
  <c r="B164" i="6"/>
  <c r="I164" i="6" s="1"/>
  <c r="A164" i="6"/>
  <c r="G163" i="6"/>
  <c r="E163" i="6"/>
  <c r="F163" i="6" s="1"/>
  <c r="D163" i="6"/>
  <c r="C163" i="6"/>
  <c r="B163" i="6"/>
  <c r="N163" i="6" s="1"/>
  <c r="A163" i="6"/>
  <c r="D162" i="6"/>
  <c r="C162" i="6"/>
  <c r="B162" i="6"/>
  <c r="A162" i="6"/>
  <c r="N161" i="6"/>
  <c r="K161" i="6"/>
  <c r="G161" i="6"/>
  <c r="F161" i="6"/>
  <c r="E161" i="6"/>
  <c r="D161" i="6"/>
  <c r="C161" i="6"/>
  <c r="B161" i="6"/>
  <c r="I161" i="6" s="1"/>
  <c r="A161" i="6"/>
  <c r="N160" i="6"/>
  <c r="K160" i="6"/>
  <c r="G160" i="6"/>
  <c r="D160" i="6"/>
  <c r="C160" i="6"/>
  <c r="B160" i="6"/>
  <c r="I160" i="6" s="1"/>
  <c r="A160" i="6"/>
  <c r="G159" i="6"/>
  <c r="D159" i="6"/>
  <c r="C159" i="6"/>
  <c r="E159" i="6" s="1"/>
  <c r="F159" i="6" s="1"/>
  <c r="B159" i="6"/>
  <c r="A159" i="6"/>
  <c r="K158" i="6"/>
  <c r="D158" i="6"/>
  <c r="C158" i="6"/>
  <c r="N158" i="6" s="1"/>
  <c r="B158" i="6"/>
  <c r="A158" i="6"/>
  <c r="N157" i="6"/>
  <c r="K157" i="6"/>
  <c r="G157" i="6"/>
  <c r="F157" i="6"/>
  <c r="E157" i="6"/>
  <c r="D157" i="6"/>
  <c r="C157" i="6"/>
  <c r="B157" i="6"/>
  <c r="I157" i="6" s="1"/>
  <c r="A157" i="6"/>
  <c r="N156" i="6"/>
  <c r="K156" i="6"/>
  <c r="D156" i="6"/>
  <c r="C156" i="6"/>
  <c r="B156" i="6"/>
  <c r="A156" i="6"/>
  <c r="G155" i="6"/>
  <c r="D155" i="6"/>
  <c r="C155" i="6"/>
  <c r="E155" i="6" s="1"/>
  <c r="F155" i="6" s="1"/>
  <c r="B155" i="6"/>
  <c r="N155" i="6" s="1"/>
  <c r="A155" i="6"/>
  <c r="N154" i="6"/>
  <c r="K154" i="6"/>
  <c r="D154" i="6"/>
  <c r="C154" i="6"/>
  <c r="B154" i="6"/>
  <c r="A154" i="6"/>
  <c r="N153" i="6"/>
  <c r="K153" i="6"/>
  <c r="G153" i="6"/>
  <c r="F153" i="6"/>
  <c r="E153" i="6"/>
  <c r="D153" i="6"/>
  <c r="C153" i="6"/>
  <c r="B153" i="6"/>
  <c r="I153" i="6" s="1"/>
  <c r="A153" i="6"/>
  <c r="N152" i="6"/>
  <c r="G152" i="6"/>
  <c r="E152" i="6"/>
  <c r="F152" i="6" s="1"/>
  <c r="D152" i="6"/>
  <c r="C152" i="6"/>
  <c r="B152" i="6"/>
  <c r="I152" i="6" s="1"/>
  <c r="A152" i="6"/>
  <c r="D151" i="6"/>
  <c r="C151" i="6"/>
  <c r="G151" i="6" s="1"/>
  <c r="B151" i="6"/>
  <c r="N151" i="6" s="1"/>
  <c r="A151" i="6"/>
  <c r="N150" i="6"/>
  <c r="D150" i="6"/>
  <c r="C150" i="6"/>
  <c r="K150" i="6" s="1"/>
  <c r="B150" i="6"/>
  <c r="A150" i="6"/>
  <c r="N149" i="6"/>
  <c r="K149" i="6"/>
  <c r="G149" i="6"/>
  <c r="E149" i="6"/>
  <c r="F149" i="6" s="1"/>
  <c r="D149" i="6"/>
  <c r="C149" i="6"/>
  <c r="B149" i="6"/>
  <c r="I149" i="6" s="1"/>
  <c r="A149" i="6"/>
  <c r="K148" i="6"/>
  <c r="G148" i="6"/>
  <c r="E148" i="6"/>
  <c r="F148" i="6" s="1"/>
  <c r="D148" i="6"/>
  <c r="C148" i="6"/>
  <c r="B148" i="6"/>
  <c r="A148" i="6"/>
  <c r="D147" i="6"/>
  <c r="C147" i="6"/>
  <c r="B147" i="6"/>
  <c r="N147" i="6" s="1"/>
  <c r="A147" i="6"/>
  <c r="K146" i="6"/>
  <c r="D146" i="6"/>
  <c r="C146" i="6"/>
  <c r="N146" i="6" s="1"/>
  <c r="B146" i="6"/>
  <c r="A146" i="6"/>
  <c r="N145" i="6"/>
  <c r="K145" i="6"/>
  <c r="G145" i="6"/>
  <c r="F145" i="6"/>
  <c r="E145" i="6"/>
  <c r="D145" i="6"/>
  <c r="C145" i="6"/>
  <c r="B145" i="6"/>
  <c r="I145" i="6" s="1"/>
  <c r="A145" i="6"/>
  <c r="N144" i="6"/>
  <c r="K144" i="6"/>
  <c r="G144" i="6"/>
  <c r="E144" i="6"/>
  <c r="F144" i="6" s="1"/>
  <c r="D144" i="6"/>
  <c r="C144" i="6"/>
  <c r="B144" i="6"/>
  <c r="A144" i="6"/>
  <c r="G143" i="6"/>
  <c r="E143" i="6"/>
  <c r="F143" i="6" s="1"/>
  <c r="D143" i="6"/>
  <c r="C143" i="6"/>
  <c r="B143" i="6"/>
  <c r="A143" i="6"/>
  <c r="N142" i="6"/>
  <c r="K142" i="6"/>
  <c r="D142" i="6"/>
  <c r="C142" i="6"/>
  <c r="B142" i="6"/>
  <c r="A142" i="6"/>
  <c r="N141" i="6"/>
  <c r="K141" i="6"/>
  <c r="G141" i="6"/>
  <c r="F141" i="6"/>
  <c r="E141" i="6"/>
  <c r="D141" i="6"/>
  <c r="C141" i="6"/>
  <c r="B141" i="6"/>
  <c r="I141" i="6" s="1"/>
  <c r="A141" i="6"/>
  <c r="D140" i="6"/>
  <c r="C140" i="6"/>
  <c r="B140" i="6"/>
  <c r="A140" i="6"/>
  <c r="D139" i="6"/>
  <c r="C139" i="6"/>
  <c r="G139" i="6" s="1"/>
  <c r="B139" i="6"/>
  <c r="A139" i="6"/>
  <c r="D138" i="6"/>
  <c r="C138" i="6"/>
  <c r="B138" i="6"/>
  <c r="A138" i="6"/>
  <c r="G137" i="6"/>
  <c r="F137" i="6"/>
  <c r="E137" i="6"/>
  <c r="D137" i="6"/>
  <c r="C137" i="6"/>
  <c r="B137" i="6"/>
  <c r="I137" i="6" s="1"/>
  <c r="A137" i="6"/>
  <c r="G136" i="6"/>
  <c r="D136" i="6"/>
  <c r="C136" i="6"/>
  <c r="B136" i="6"/>
  <c r="A136" i="6"/>
  <c r="G135" i="6"/>
  <c r="E135" i="6"/>
  <c r="F135" i="6" s="1"/>
  <c r="D135" i="6"/>
  <c r="C135" i="6"/>
  <c r="B135" i="6"/>
  <c r="A135" i="6"/>
  <c r="N134" i="6"/>
  <c r="K134" i="6"/>
  <c r="D134" i="6"/>
  <c r="C134" i="6"/>
  <c r="B134" i="6"/>
  <c r="A134" i="6"/>
  <c r="N133" i="6"/>
  <c r="K133" i="6"/>
  <c r="G133" i="6"/>
  <c r="D133" i="6"/>
  <c r="C133" i="6"/>
  <c r="B133" i="6"/>
  <c r="I133" i="6" s="1"/>
  <c r="A133" i="6"/>
  <c r="N132" i="6"/>
  <c r="K132" i="6"/>
  <c r="D132" i="6"/>
  <c r="C132" i="6"/>
  <c r="B132" i="6"/>
  <c r="A132" i="6"/>
  <c r="D131" i="6"/>
  <c r="C131" i="6"/>
  <c r="G131" i="6" s="1"/>
  <c r="B131" i="6"/>
  <c r="N131" i="6" s="1"/>
  <c r="A131" i="6"/>
  <c r="N130" i="6"/>
  <c r="D130" i="6"/>
  <c r="C130" i="6"/>
  <c r="K130" i="6" s="1"/>
  <c r="B130" i="6"/>
  <c r="A130" i="6"/>
  <c r="E129" i="6"/>
  <c r="F129" i="6" s="1"/>
  <c r="D129" i="6"/>
  <c r="C129" i="6"/>
  <c r="B129" i="6"/>
  <c r="A129" i="6"/>
  <c r="K128" i="6"/>
  <c r="G128" i="6"/>
  <c r="E128" i="6"/>
  <c r="F128" i="6" s="1"/>
  <c r="D128" i="6"/>
  <c r="C128" i="6"/>
  <c r="B128" i="6"/>
  <c r="A128" i="6"/>
  <c r="E127" i="6"/>
  <c r="F127" i="6" s="1"/>
  <c r="D127" i="6"/>
  <c r="C127" i="6"/>
  <c r="G127" i="6" s="1"/>
  <c r="B127" i="6"/>
  <c r="A127" i="6"/>
  <c r="N126" i="6"/>
  <c r="K126" i="6"/>
  <c r="D126" i="6"/>
  <c r="C126" i="6"/>
  <c r="B126" i="6"/>
  <c r="A126" i="6"/>
  <c r="D125" i="6"/>
  <c r="C125" i="6"/>
  <c r="B125" i="6"/>
  <c r="A125" i="6"/>
  <c r="D124" i="6"/>
  <c r="C124" i="6"/>
  <c r="B124" i="6"/>
  <c r="A124" i="6"/>
  <c r="E123" i="6"/>
  <c r="F123" i="6" s="1"/>
  <c r="D123" i="6"/>
  <c r="C123" i="6"/>
  <c r="B123" i="6"/>
  <c r="A123" i="6"/>
  <c r="D122" i="6"/>
  <c r="C122" i="6"/>
  <c r="B122" i="6"/>
  <c r="A122" i="6"/>
  <c r="K121" i="6"/>
  <c r="G121" i="6"/>
  <c r="E121" i="6"/>
  <c r="F121" i="6" s="1"/>
  <c r="D121" i="6"/>
  <c r="C121" i="6"/>
  <c r="B121" i="6"/>
  <c r="I121" i="6" s="1"/>
  <c r="A121" i="6"/>
  <c r="D120" i="6"/>
  <c r="C120" i="6"/>
  <c r="B120" i="6"/>
  <c r="A120" i="6"/>
  <c r="G119" i="6"/>
  <c r="D119" i="6"/>
  <c r="C119" i="6"/>
  <c r="B119" i="6"/>
  <c r="A119" i="6"/>
  <c r="D118" i="6"/>
  <c r="C118" i="6"/>
  <c r="N118" i="6" s="1"/>
  <c r="B118" i="6"/>
  <c r="A118" i="6"/>
  <c r="D117" i="6"/>
  <c r="C117" i="6"/>
  <c r="B117" i="6"/>
  <c r="A117" i="6"/>
  <c r="K116" i="6"/>
  <c r="G116" i="6"/>
  <c r="E116" i="6"/>
  <c r="F116" i="6" s="1"/>
  <c r="D116" i="6"/>
  <c r="C116" i="6"/>
  <c r="B116" i="6"/>
  <c r="I116" i="6" s="1"/>
  <c r="A116" i="6"/>
  <c r="G115" i="6"/>
  <c r="E115" i="6"/>
  <c r="F115" i="6" s="1"/>
  <c r="D115" i="6"/>
  <c r="C115" i="6"/>
  <c r="B115" i="6"/>
  <c r="A115" i="6"/>
  <c r="N114" i="6"/>
  <c r="K114" i="6"/>
  <c r="D114" i="6"/>
  <c r="C114" i="6"/>
  <c r="B114" i="6"/>
  <c r="A114" i="6"/>
  <c r="N113" i="6"/>
  <c r="K113" i="6"/>
  <c r="E113" i="6"/>
  <c r="F113" i="6" s="1"/>
  <c r="D113" i="6"/>
  <c r="C113" i="6"/>
  <c r="B113" i="6"/>
  <c r="I113" i="6" s="1"/>
  <c r="A113" i="6"/>
  <c r="D112" i="6"/>
  <c r="C112" i="6"/>
  <c r="E112" i="6" s="1"/>
  <c r="F112" i="6" s="1"/>
  <c r="B112" i="6"/>
  <c r="A112" i="6"/>
  <c r="D111" i="6"/>
  <c r="C111" i="6"/>
  <c r="G111" i="6" s="1"/>
  <c r="B111" i="6"/>
  <c r="A111" i="6"/>
  <c r="D110" i="6"/>
  <c r="C110" i="6"/>
  <c r="B110" i="6"/>
  <c r="A110" i="6"/>
  <c r="N109" i="6"/>
  <c r="K109" i="6"/>
  <c r="G109" i="6"/>
  <c r="D109" i="6"/>
  <c r="C109" i="6"/>
  <c r="B109" i="6"/>
  <c r="I109" i="6" s="1"/>
  <c r="A109" i="6"/>
  <c r="K108" i="6"/>
  <c r="E108" i="6"/>
  <c r="F108" i="6" s="1"/>
  <c r="D108" i="6"/>
  <c r="C108" i="6"/>
  <c r="N108" i="6" s="1"/>
  <c r="B108" i="6"/>
  <c r="A108" i="6"/>
  <c r="D107" i="6"/>
  <c r="C107" i="6"/>
  <c r="B107" i="6"/>
  <c r="A107" i="6"/>
  <c r="N106" i="6"/>
  <c r="D106" i="6"/>
  <c r="C106" i="6"/>
  <c r="K106" i="6" s="1"/>
  <c r="B106" i="6"/>
  <c r="A106" i="6"/>
  <c r="N105" i="6"/>
  <c r="K105" i="6"/>
  <c r="G105" i="6"/>
  <c r="E105" i="6"/>
  <c r="F105" i="6" s="1"/>
  <c r="D105" i="6"/>
  <c r="C105" i="6"/>
  <c r="B105" i="6"/>
  <c r="I105" i="6" s="1"/>
  <c r="A105" i="6"/>
  <c r="N104" i="6"/>
  <c r="K104" i="6"/>
  <c r="G104" i="6"/>
  <c r="D104" i="6"/>
  <c r="C104" i="6"/>
  <c r="B104" i="6"/>
  <c r="I104" i="6" s="1"/>
  <c r="A104" i="6"/>
  <c r="D103" i="6"/>
  <c r="C103" i="6"/>
  <c r="G103" i="6" s="1"/>
  <c r="B103" i="6"/>
  <c r="A103" i="6"/>
  <c r="N102" i="6"/>
  <c r="D102" i="6"/>
  <c r="C102" i="6"/>
  <c r="K102" i="6" s="1"/>
  <c r="B102" i="6"/>
  <c r="A102" i="6"/>
  <c r="N101" i="6"/>
  <c r="G101" i="6"/>
  <c r="E101" i="6"/>
  <c r="F101" i="6" s="1"/>
  <c r="D101" i="6"/>
  <c r="C101" i="6"/>
  <c r="B101" i="6"/>
  <c r="I101" i="6" s="1"/>
  <c r="A101" i="6"/>
  <c r="N100" i="6"/>
  <c r="K100" i="6"/>
  <c r="G100" i="6"/>
  <c r="E100" i="6"/>
  <c r="F100" i="6" s="1"/>
  <c r="D100" i="6"/>
  <c r="C100" i="6"/>
  <c r="B100" i="6"/>
  <c r="A100" i="6"/>
  <c r="G99" i="6"/>
  <c r="E99" i="6"/>
  <c r="F99" i="6" s="1"/>
  <c r="D99" i="6"/>
  <c r="C99" i="6"/>
  <c r="B99" i="6"/>
  <c r="A99" i="6"/>
  <c r="N98" i="6"/>
  <c r="K98" i="6"/>
  <c r="D98" i="6"/>
  <c r="C98" i="6"/>
  <c r="B98" i="6"/>
  <c r="A98" i="6"/>
  <c r="N97" i="6"/>
  <c r="D97" i="6"/>
  <c r="C97" i="6"/>
  <c r="B97" i="6"/>
  <c r="A97" i="6"/>
  <c r="E96" i="6"/>
  <c r="F96" i="6" s="1"/>
  <c r="D96" i="6"/>
  <c r="C96" i="6"/>
  <c r="N96" i="6" s="1"/>
  <c r="B96" i="6"/>
  <c r="A96" i="6"/>
  <c r="E95" i="6"/>
  <c r="F95" i="6" s="1"/>
  <c r="D95" i="6"/>
  <c r="C95" i="6"/>
  <c r="B95" i="6"/>
  <c r="A95" i="6"/>
  <c r="K94" i="6"/>
  <c r="D94" i="6"/>
  <c r="C94" i="6"/>
  <c r="B94" i="6"/>
  <c r="A94" i="6"/>
  <c r="G93" i="6"/>
  <c r="D93" i="6"/>
  <c r="C93" i="6"/>
  <c r="B93" i="6"/>
  <c r="A93" i="6"/>
  <c r="D92" i="6"/>
  <c r="C92" i="6"/>
  <c r="K92" i="6" s="1"/>
  <c r="B92" i="6"/>
  <c r="A92" i="6"/>
  <c r="K91" i="6"/>
  <c r="G91" i="6"/>
  <c r="D91" i="6"/>
  <c r="C91" i="6"/>
  <c r="B91" i="6"/>
  <c r="A91" i="6"/>
  <c r="D90" i="6"/>
  <c r="C90" i="6"/>
  <c r="B90" i="6"/>
  <c r="A90" i="6"/>
  <c r="D89" i="6"/>
  <c r="C89" i="6"/>
  <c r="B89" i="6"/>
  <c r="A89" i="6"/>
  <c r="N88" i="6"/>
  <c r="K88" i="6"/>
  <c r="G88" i="6"/>
  <c r="D88" i="6"/>
  <c r="C88" i="6"/>
  <c r="B88" i="6"/>
  <c r="A88" i="6"/>
  <c r="N87" i="6"/>
  <c r="D87" i="6"/>
  <c r="C87" i="6"/>
  <c r="B87" i="6"/>
  <c r="A87" i="6"/>
  <c r="K86" i="6"/>
  <c r="G86" i="6"/>
  <c r="F86" i="6"/>
  <c r="E86" i="6"/>
  <c r="D86" i="6"/>
  <c r="C86" i="6"/>
  <c r="N86" i="6" s="1"/>
  <c r="B86" i="6"/>
  <c r="A86" i="6"/>
  <c r="D85" i="6"/>
  <c r="C85" i="6"/>
  <c r="B85" i="6"/>
  <c r="A85" i="6"/>
  <c r="D84" i="6"/>
  <c r="C84" i="6"/>
  <c r="G84" i="6" s="1"/>
  <c r="B84" i="6"/>
  <c r="A84" i="6"/>
  <c r="D83" i="6"/>
  <c r="C83" i="6"/>
  <c r="B83" i="6"/>
  <c r="A83" i="6"/>
  <c r="D82" i="6"/>
  <c r="C82" i="6"/>
  <c r="B82" i="6"/>
  <c r="A82" i="6"/>
  <c r="K81" i="6"/>
  <c r="G81" i="6"/>
  <c r="D81" i="6"/>
  <c r="C81" i="6"/>
  <c r="B81" i="6"/>
  <c r="A81" i="6"/>
  <c r="D80" i="6"/>
  <c r="C80" i="6"/>
  <c r="B80" i="6"/>
  <c r="A80" i="6"/>
  <c r="K79" i="6"/>
  <c r="I79" i="6"/>
  <c r="G79" i="6"/>
  <c r="F79" i="6"/>
  <c r="E79" i="6"/>
  <c r="D79" i="6"/>
  <c r="C79" i="6"/>
  <c r="B79" i="6"/>
  <c r="A79" i="6"/>
  <c r="D78" i="6"/>
  <c r="C78" i="6"/>
  <c r="B78" i="6"/>
  <c r="A78" i="6"/>
  <c r="K77" i="6"/>
  <c r="G77" i="6"/>
  <c r="D77" i="6"/>
  <c r="C77" i="6"/>
  <c r="N77" i="6" s="1"/>
  <c r="B77" i="6"/>
  <c r="A77" i="6"/>
  <c r="I76" i="6"/>
  <c r="D76" i="6"/>
  <c r="C76" i="6"/>
  <c r="B76" i="6"/>
  <c r="A76" i="6"/>
  <c r="K75" i="6"/>
  <c r="I75" i="6"/>
  <c r="G75" i="6"/>
  <c r="F75" i="6"/>
  <c r="E75" i="6"/>
  <c r="D75" i="6"/>
  <c r="C75" i="6"/>
  <c r="N75" i="6" s="1"/>
  <c r="B75" i="6"/>
  <c r="A75" i="6"/>
  <c r="N74" i="6"/>
  <c r="D74" i="6"/>
  <c r="C74" i="6"/>
  <c r="B74" i="6"/>
  <c r="A74" i="6"/>
  <c r="K73" i="6"/>
  <c r="I73" i="6"/>
  <c r="G73" i="6"/>
  <c r="D73" i="6"/>
  <c r="C73" i="6"/>
  <c r="B73" i="6"/>
  <c r="A73" i="6"/>
  <c r="D72" i="6"/>
  <c r="C72" i="6"/>
  <c r="B72" i="6"/>
  <c r="A72" i="6"/>
  <c r="G71" i="6"/>
  <c r="D71" i="6"/>
  <c r="C71" i="6"/>
  <c r="B71" i="6"/>
  <c r="A71" i="6"/>
  <c r="D70" i="6"/>
  <c r="C70" i="6"/>
  <c r="B70" i="6"/>
  <c r="A70" i="6"/>
  <c r="K69" i="6"/>
  <c r="G69" i="6"/>
  <c r="D69" i="6"/>
  <c r="C69" i="6"/>
  <c r="B69" i="6"/>
  <c r="A69" i="6"/>
  <c r="E68" i="6"/>
  <c r="F68" i="6" s="1"/>
  <c r="D68" i="6"/>
  <c r="C68" i="6"/>
  <c r="B68" i="6"/>
  <c r="A68" i="6"/>
  <c r="D67" i="6"/>
  <c r="C67" i="6"/>
  <c r="B67" i="6"/>
  <c r="A67" i="6"/>
  <c r="D66" i="6"/>
  <c r="C66" i="6"/>
  <c r="N66" i="6" s="1"/>
  <c r="B66" i="6"/>
  <c r="A66" i="6"/>
  <c r="N65" i="6"/>
  <c r="K65" i="6"/>
  <c r="I65" i="6"/>
  <c r="D65" i="6"/>
  <c r="C65" i="6"/>
  <c r="B65" i="6"/>
  <c r="E65" i="6" s="1"/>
  <c r="F65" i="6" s="1"/>
  <c r="A65" i="6"/>
  <c r="N64" i="6"/>
  <c r="K64" i="6"/>
  <c r="G64" i="6"/>
  <c r="F64" i="6"/>
  <c r="E64" i="6"/>
  <c r="D64" i="6"/>
  <c r="C64" i="6"/>
  <c r="B64" i="6"/>
  <c r="I64" i="6" s="1"/>
  <c r="A64" i="6"/>
  <c r="G63" i="6"/>
  <c r="D63" i="6"/>
  <c r="C63" i="6"/>
  <c r="B63" i="6"/>
  <c r="A63" i="6"/>
  <c r="E62" i="6"/>
  <c r="F62" i="6" s="1"/>
  <c r="D62" i="6"/>
  <c r="C62" i="6"/>
  <c r="B62" i="6"/>
  <c r="A62" i="6"/>
  <c r="N61" i="6"/>
  <c r="K61" i="6"/>
  <c r="G61" i="6"/>
  <c r="D61" i="6"/>
  <c r="C61" i="6"/>
  <c r="B61" i="6"/>
  <c r="A61" i="6"/>
  <c r="N60" i="6"/>
  <c r="K60" i="6"/>
  <c r="G60" i="6"/>
  <c r="D60" i="6"/>
  <c r="C60" i="6"/>
  <c r="B60" i="6"/>
  <c r="I60" i="6" s="1"/>
  <c r="A60" i="6"/>
  <c r="D59" i="6"/>
  <c r="C59" i="6"/>
  <c r="G59" i="6" s="1"/>
  <c r="B59" i="6"/>
  <c r="A59" i="6"/>
  <c r="D58" i="6"/>
  <c r="C58" i="6"/>
  <c r="B58" i="6"/>
  <c r="A58" i="6"/>
  <c r="N57" i="6"/>
  <c r="K57" i="6"/>
  <c r="D57" i="6"/>
  <c r="C57" i="6"/>
  <c r="B57" i="6"/>
  <c r="A57" i="6"/>
  <c r="N56" i="6"/>
  <c r="K56" i="6"/>
  <c r="I56" i="6"/>
  <c r="G56" i="6"/>
  <c r="E56" i="6"/>
  <c r="F56" i="6" s="1"/>
  <c r="D56" i="6"/>
  <c r="C56" i="6"/>
  <c r="B56" i="6"/>
  <c r="A56" i="6"/>
  <c r="K55" i="6"/>
  <c r="I55" i="6"/>
  <c r="G55" i="6"/>
  <c r="D55" i="6"/>
  <c r="C55" i="6"/>
  <c r="B55" i="6"/>
  <c r="A55" i="6"/>
  <c r="D54" i="6"/>
  <c r="C54" i="6"/>
  <c r="B54" i="6"/>
  <c r="A54" i="6"/>
  <c r="N53" i="6"/>
  <c r="K53" i="6"/>
  <c r="D53" i="6"/>
  <c r="C53" i="6"/>
  <c r="B53" i="6"/>
  <c r="A53" i="6"/>
  <c r="N52" i="6"/>
  <c r="I52" i="6"/>
  <c r="G52" i="6"/>
  <c r="E52" i="6"/>
  <c r="F52" i="6" s="1"/>
  <c r="D52" i="6"/>
  <c r="C52" i="6"/>
  <c r="B52" i="6"/>
  <c r="K52" i="6" s="1"/>
  <c r="A52" i="6"/>
  <c r="N51" i="6"/>
  <c r="I51" i="6"/>
  <c r="G51" i="6"/>
  <c r="D51" i="6"/>
  <c r="C51" i="6"/>
  <c r="B51" i="6"/>
  <c r="E51" i="6" s="1"/>
  <c r="F51" i="6" s="1"/>
  <c r="A51" i="6"/>
  <c r="K50" i="6"/>
  <c r="I50" i="6"/>
  <c r="E50" i="6"/>
  <c r="F50" i="6" s="1"/>
  <c r="D50" i="6"/>
  <c r="C50" i="6"/>
  <c r="G50" i="6" s="1"/>
  <c r="B50" i="6"/>
  <c r="A50" i="6"/>
  <c r="D49" i="6"/>
  <c r="C49" i="6"/>
  <c r="B49" i="6"/>
  <c r="A49" i="6"/>
  <c r="I48" i="6"/>
  <c r="G48" i="6"/>
  <c r="E48" i="6"/>
  <c r="F48" i="6" s="1"/>
  <c r="D48" i="6"/>
  <c r="C48" i="6"/>
  <c r="B48" i="6"/>
  <c r="N48" i="6" s="1"/>
  <c r="A48" i="6"/>
  <c r="I47" i="6"/>
  <c r="E47" i="6"/>
  <c r="F47" i="6" s="1"/>
  <c r="D47" i="6"/>
  <c r="C47" i="6"/>
  <c r="B47" i="6"/>
  <c r="A47" i="6"/>
  <c r="N46" i="6"/>
  <c r="I46" i="6"/>
  <c r="E46" i="6"/>
  <c r="F46" i="6" s="1"/>
  <c r="D46" i="6"/>
  <c r="C46" i="6"/>
  <c r="B46" i="6"/>
  <c r="A46" i="6"/>
  <c r="N45" i="6"/>
  <c r="K45" i="6"/>
  <c r="D45" i="6"/>
  <c r="C45" i="6"/>
  <c r="B45" i="6"/>
  <c r="A45" i="6"/>
  <c r="K44" i="6"/>
  <c r="I44" i="6"/>
  <c r="G44" i="6"/>
  <c r="E44" i="6"/>
  <c r="F44" i="6" s="1"/>
  <c r="D44" i="6"/>
  <c r="C44" i="6"/>
  <c r="B44" i="6"/>
  <c r="N44" i="6" s="1"/>
  <c r="A44" i="6"/>
  <c r="N43" i="6"/>
  <c r="K43" i="6"/>
  <c r="E43" i="6"/>
  <c r="F43" i="6" s="1"/>
  <c r="D43" i="6"/>
  <c r="C43" i="6"/>
  <c r="B43" i="6"/>
  <c r="A43" i="6"/>
  <c r="D42" i="6"/>
  <c r="C42" i="6"/>
  <c r="B42" i="6"/>
  <c r="A42" i="6"/>
  <c r="I41" i="6"/>
  <c r="D41" i="6"/>
  <c r="C41" i="6"/>
  <c r="B41" i="6"/>
  <c r="A41" i="6"/>
  <c r="K40" i="6"/>
  <c r="D40" i="6"/>
  <c r="C40" i="6"/>
  <c r="B40" i="6"/>
  <c r="N40" i="6" s="1"/>
  <c r="A40" i="6"/>
  <c r="K39" i="6"/>
  <c r="I39" i="6"/>
  <c r="G39" i="6"/>
  <c r="F39" i="6"/>
  <c r="E39" i="6"/>
  <c r="D39" i="6"/>
  <c r="C39" i="6"/>
  <c r="B39" i="6"/>
  <c r="A39" i="6"/>
  <c r="D38" i="6"/>
  <c r="C38" i="6"/>
  <c r="G38" i="6" s="1"/>
  <c r="B38" i="6"/>
  <c r="A38" i="6"/>
  <c r="D37" i="6"/>
  <c r="C37" i="6"/>
  <c r="G37" i="6" s="1"/>
  <c r="B37" i="6"/>
  <c r="A37" i="6"/>
  <c r="D36" i="6"/>
  <c r="C36" i="6"/>
  <c r="B36" i="6"/>
  <c r="A36" i="6"/>
  <c r="K35" i="6"/>
  <c r="I35" i="6"/>
  <c r="D35" i="6"/>
  <c r="C35" i="6"/>
  <c r="B35" i="6"/>
  <c r="N35" i="6" s="1"/>
  <c r="A35" i="6"/>
  <c r="N34" i="6"/>
  <c r="K34" i="6"/>
  <c r="I34" i="6"/>
  <c r="E34" i="6"/>
  <c r="F34" i="6" s="1"/>
  <c r="D34" i="6"/>
  <c r="C34" i="6"/>
  <c r="G34" i="6" s="1"/>
  <c r="B34" i="6"/>
  <c r="A34" i="6"/>
  <c r="D33" i="6"/>
  <c r="C33" i="6"/>
  <c r="B33" i="6"/>
  <c r="A33" i="6"/>
  <c r="I32" i="6"/>
  <c r="G32" i="6"/>
  <c r="D32" i="6"/>
  <c r="C32" i="6"/>
  <c r="B32" i="6"/>
  <c r="K32" i="6" s="1"/>
  <c r="A32" i="6"/>
  <c r="F31" i="6"/>
  <c r="E31" i="6"/>
  <c r="D31" i="6"/>
  <c r="C31" i="6"/>
  <c r="I31" i="6" s="1"/>
  <c r="B31" i="6"/>
  <c r="K31" i="6" s="1"/>
  <c r="A31" i="6"/>
  <c r="N30" i="6"/>
  <c r="D30" i="6"/>
  <c r="C30" i="6"/>
  <c r="B30" i="6"/>
  <c r="A30" i="6"/>
  <c r="K29" i="6"/>
  <c r="G29" i="6"/>
  <c r="E29" i="6"/>
  <c r="F29" i="6" s="1"/>
  <c r="D29" i="6"/>
  <c r="C29" i="6"/>
  <c r="B29" i="6"/>
  <c r="I29" i="6" s="1"/>
  <c r="A29" i="6"/>
  <c r="N28" i="6"/>
  <c r="D28" i="6"/>
  <c r="C28" i="6"/>
  <c r="B28" i="6"/>
  <c r="A28" i="6"/>
  <c r="I27" i="6"/>
  <c r="E27" i="6"/>
  <c r="F27" i="6" s="1"/>
  <c r="D27" i="6"/>
  <c r="C27" i="6"/>
  <c r="B27" i="6"/>
  <c r="N27" i="6" s="1"/>
  <c r="A27" i="6"/>
  <c r="D26" i="6"/>
  <c r="C26" i="6"/>
  <c r="B26" i="6"/>
  <c r="A26" i="6"/>
  <c r="N25" i="6"/>
  <c r="K25" i="6"/>
  <c r="D25" i="6"/>
  <c r="C25" i="6"/>
  <c r="B25" i="6"/>
  <c r="A25" i="6"/>
  <c r="N24" i="6"/>
  <c r="I24" i="6"/>
  <c r="G24" i="6"/>
  <c r="E24" i="6"/>
  <c r="F24" i="6" s="1"/>
  <c r="D24" i="6"/>
  <c r="C24" i="6"/>
  <c r="B24" i="6"/>
  <c r="K24" i="6" s="1"/>
  <c r="A24" i="6"/>
  <c r="D23" i="6"/>
  <c r="C23" i="6"/>
  <c r="B23" i="6"/>
  <c r="A23" i="6"/>
  <c r="I22" i="6"/>
  <c r="G22" i="6"/>
  <c r="D22" i="6"/>
  <c r="C22" i="6"/>
  <c r="B22" i="6"/>
  <c r="A22" i="6"/>
  <c r="N21" i="6"/>
  <c r="K21" i="6"/>
  <c r="I21" i="6"/>
  <c r="G21" i="6"/>
  <c r="E21" i="6"/>
  <c r="F21" i="6" s="1"/>
  <c r="D21" i="6"/>
  <c r="C21" i="6"/>
  <c r="B21" i="6"/>
  <c r="A21" i="6"/>
  <c r="D20" i="6"/>
  <c r="C20" i="6"/>
  <c r="B20" i="6"/>
  <c r="N20" i="6" s="1"/>
  <c r="A20" i="6"/>
  <c r="I19" i="6"/>
  <c r="G19" i="6"/>
  <c r="D19" i="6"/>
  <c r="C19" i="6"/>
  <c r="B19" i="6"/>
  <c r="A19" i="6"/>
  <c r="I18" i="6"/>
  <c r="D18" i="6"/>
  <c r="C18" i="6"/>
  <c r="K18" i="6" s="1"/>
  <c r="B18" i="6"/>
  <c r="A18" i="6"/>
  <c r="N17" i="6"/>
  <c r="E17" i="6"/>
  <c r="F17" i="6" s="1"/>
  <c r="D17" i="6"/>
  <c r="C17" i="6"/>
  <c r="B17" i="6"/>
  <c r="A17" i="6"/>
  <c r="I16" i="6"/>
  <c r="G16" i="6"/>
  <c r="D16" i="6"/>
  <c r="C16" i="6"/>
  <c r="B16" i="6"/>
  <c r="A16" i="6"/>
  <c r="G15" i="6"/>
  <c r="E15" i="6"/>
  <c r="F15" i="6" s="1"/>
  <c r="D15" i="6"/>
  <c r="C15" i="6"/>
  <c r="N15" i="6" s="1"/>
  <c r="B15" i="6"/>
  <c r="A15" i="6"/>
  <c r="N14" i="6"/>
  <c r="K14" i="6"/>
  <c r="D14" i="6"/>
  <c r="C14" i="6"/>
  <c r="B14" i="6"/>
  <c r="A14" i="6"/>
  <c r="K13" i="6"/>
  <c r="I13" i="6"/>
  <c r="E13" i="6"/>
  <c r="F13" i="6" s="1"/>
  <c r="D13" i="6"/>
  <c r="C13" i="6"/>
  <c r="G13" i="6" s="1"/>
  <c r="B13" i="6"/>
  <c r="A13" i="6"/>
  <c r="D12" i="6"/>
  <c r="C12" i="6"/>
  <c r="B12" i="6"/>
  <c r="A12" i="6"/>
  <c r="D11" i="6"/>
  <c r="C11" i="6"/>
  <c r="B11" i="6"/>
  <c r="K11" i="6" s="1"/>
  <c r="A11" i="6"/>
  <c r="N10" i="6"/>
  <c r="I10" i="6"/>
  <c r="G10" i="6"/>
  <c r="F10" i="6"/>
  <c r="L10" i="6" s="1"/>
  <c r="E10" i="6"/>
  <c r="D10" i="6"/>
  <c r="C10" i="6"/>
  <c r="B10" i="6"/>
  <c r="K10" i="6" s="1"/>
  <c r="A10" i="6"/>
  <c r="D9" i="6"/>
  <c r="C9" i="6"/>
  <c r="B9" i="6"/>
  <c r="A9" i="6"/>
  <c r="K8" i="6"/>
  <c r="F8" i="6"/>
  <c r="E8" i="6"/>
  <c r="D8" i="6"/>
  <c r="C8" i="6"/>
  <c r="B8" i="6"/>
  <c r="A8" i="6"/>
  <c r="K7" i="6"/>
  <c r="I7" i="6"/>
  <c r="D7" i="6"/>
  <c r="C7" i="6"/>
  <c r="G7" i="6" s="1"/>
  <c r="B7" i="6"/>
  <c r="A7" i="6"/>
  <c r="E6" i="6"/>
  <c r="F6" i="6" s="1"/>
  <c r="D6" i="6"/>
  <c r="C6" i="6"/>
  <c r="B6" i="6"/>
  <c r="A6" i="6"/>
  <c r="I5" i="6"/>
  <c r="G5" i="6"/>
  <c r="D5" i="6"/>
  <c r="C5" i="6"/>
  <c r="N5" i="6" s="1"/>
  <c r="B5" i="6"/>
  <c r="K5" i="6" s="1"/>
  <c r="A5" i="6"/>
  <c r="D4" i="6"/>
  <c r="C4" i="6"/>
  <c r="B4" i="6"/>
  <c r="A4" i="6"/>
  <c r="K3" i="6"/>
  <c r="I3" i="6"/>
  <c r="G3" i="6"/>
  <c r="D3" i="6"/>
  <c r="C3" i="6"/>
  <c r="B3" i="6"/>
  <c r="A3" i="6"/>
  <c r="B30" i="5"/>
  <c r="B29" i="5"/>
  <c r="B28" i="5"/>
  <c r="B27" i="5"/>
  <c r="B26" i="5"/>
  <c r="B21" i="5"/>
  <c r="B20" i="5"/>
  <c r="B19" i="5"/>
  <c r="J18" i="5"/>
  <c r="B18" i="5"/>
  <c r="B17" i="5"/>
  <c r="B16" i="5"/>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32" i="3"/>
  <c r="C31" i="3"/>
  <c r="C30" i="3"/>
  <c r="C29" i="3"/>
  <c r="C28" i="3"/>
  <c r="C27" i="3"/>
  <c r="C26" i="3"/>
  <c r="C25" i="3"/>
  <c r="C24" i="3"/>
  <c r="C23" i="3"/>
  <c r="C22" i="3"/>
  <c r="C21" i="3"/>
  <c r="C20" i="3"/>
  <c r="C19" i="3"/>
  <c r="C18" i="3"/>
  <c r="C17" i="3"/>
  <c r="E257" i="7" s="1"/>
  <c r="F257" i="7" s="1"/>
  <c r="C16" i="3"/>
  <c r="C15" i="3"/>
  <c r="C14" i="3"/>
  <c r="C13" i="3"/>
  <c r="C12" i="3"/>
  <c r="C11" i="3"/>
  <c r="C10" i="3"/>
  <c r="C9" i="3"/>
  <c r="C8" i="3"/>
  <c r="C7" i="3"/>
  <c r="C6" i="3"/>
  <c r="C5" i="3"/>
  <c r="C4" i="3"/>
  <c r="C3" i="3"/>
  <c r="V405" i="1"/>
  <c r="L404" i="1"/>
  <c r="L28" i="5" s="1"/>
  <c r="AD402" i="1"/>
  <c r="AC402" i="1"/>
  <c r="AC26" i="5" s="1"/>
  <c r="Z402" i="1"/>
  <c r="R402" i="1"/>
  <c r="AD400" i="1"/>
  <c r="R400" i="1"/>
  <c r="R21" i="5" s="1"/>
  <c r="L400" i="1"/>
  <c r="L21" i="5" s="1"/>
  <c r="I400" i="1"/>
  <c r="I21" i="5" s="1"/>
  <c r="Z398" i="1"/>
  <c r="Q398" i="1"/>
  <c r="Q19" i="5" s="1"/>
  <c r="N397" i="1"/>
  <c r="L397" i="1"/>
  <c r="L18" i="5" s="1"/>
  <c r="AC395" i="1"/>
  <c r="AC16" i="5" s="1"/>
  <c r="AE393" i="1"/>
  <c r="AD393" i="1"/>
  <c r="AC393" i="1"/>
  <c r="AB393" i="1"/>
  <c r="Z393" i="1"/>
  <c r="AA393" i="1" s="1"/>
  <c r="Y393" i="1"/>
  <c r="X393" i="1"/>
  <c r="W393" i="1"/>
  <c r="V393" i="1"/>
  <c r="U393" i="1"/>
  <c r="T393" i="1"/>
  <c r="R393" i="1"/>
  <c r="S393" i="1" s="1"/>
  <c r="Q393" i="1"/>
  <c r="P393" i="1"/>
  <c r="O393" i="1"/>
  <c r="N393" i="1"/>
  <c r="M393" i="1"/>
  <c r="L393" i="1"/>
  <c r="J393" i="1"/>
  <c r="I393" i="1"/>
  <c r="K393" i="1" s="1"/>
  <c r="H393" i="1"/>
  <c r="G393" i="1"/>
  <c r="F393" i="1"/>
  <c r="E393" i="1"/>
  <c r="D393" i="1"/>
  <c r="AD392" i="1"/>
  <c r="AE392" i="1" s="1"/>
  <c r="AC392" i="1"/>
  <c r="AB392" i="1"/>
  <c r="AA392" i="1"/>
  <c r="Z392" i="1"/>
  <c r="Y392" i="1"/>
  <c r="X392" i="1"/>
  <c r="V392" i="1"/>
  <c r="W392" i="1" s="1"/>
  <c r="U392" i="1"/>
  <c r="T392" i="1"/>
  <c r="S392" i="1"/>
  <c r="R392" i="1"/>
  <c r="Q392" i="1"/>
  <c r="P392" i="1"/>
  <c r="N392" i="1"/>
  <c r="O392" i="1" s="1"/>
  <c r="M392" i="1"/>
  <c r="L392" i="1"/>
  <c r="K392" i="1"/>
  <c r="J392" i="1"/>
  <c r="I392" i="1"/>
  <c r="H392" i="1"/>
  <c r="F392" i="1"/>
  <c r="G392" i="1" s="1"/>
  <c r="E392" i="1"/>
  <c r="D392" i="1"/>
  <c r="AE391" i="1"/>
  <c r="AD391" i="1"/>
  <c r="AC391" i="1"/>
  <c r="AB391" i="1"/>
  <c r="Z391" i="1"/>
  <c r="AA391" i="1" s="1"/>
  <c r="Y391" i="1"/>
  <c r="X391" i="1"/>
  <c r="W391" i="1"/>
  <c r="V391" i="1"/>
  <c r="U391" i="1"/>
  <c r="T391" i="1"/>
  <c r="R391" i="1"/>
  <c r="S391" i="1" s="1"/>
  <c r="Q391" i="1"/>
  <c r="P391" i="1"/>
  <c r="P404" i="1" s="1"/>
  <c r="P28" i="5" s="1"/>
  <c r="O391" i="1"/>
  <c r="N391" i="1"/>
  <c r="M391" i="1"/>
  <c r="L391" i="1"/>
  <c r="J391" i="1"/>
  <c r="K391" i="1" s="1"/>
  <c r="I391" i="1"/>
  <c r="H391" i="1"/>
  <c r="G391" i="1"/>
  <c r="F391" i="1"/>
  <c r="E391" i="1"/>
  <c r="D391" i="1"/>
  <c r="AE390" i="1"/>
  <c r="AD390" i="1"/>
  <c r="AC390" i="1"/>
  <c r="AB390" i="1"/>
  <c r="AA390" i="1"/>
  <c r="Z390" i="1"/>
  <c r="Y390" i="1"/>
  <c r="X390" i="1"/>
  <c r="X400" i="1" s="1"/>
  <c r="X21" i="5" s="1"/>
  <c r="V390" i="1"/>
  <c r="W390" i="1" s="1"/>
  <c r="U390" i="1"/>
  <c r="U400" i="1" s="1"/>
  <c r="U21" i="5" s="1"/>
  <c r="T390" i="1"/>
  <c r="S390" i="1"/>
  <c r="R390" i="1"/>
  <c r="Q390" i="1"/>
  <c r="P390" i="1"/>
  <c r="N390" i="1"/>
  <c r="O390" i="1" s="1"/>
  <c r="M390" i="1"/>
  <c r="L390" i="1"/>
  <c r="K390" i="1"/>
  <c r="J390" i="1"/>
  <c r="I390" i="1"/>
  <c r="H390" i="1"/>
  <c r="F390" i="1"/>
  <c r="G390" i="1" s="1"/>
  <c r="E390" i="1"/>
  <c r="D390" i="1"/>
  <c r="AE389" i="1"/>
  <c r="AD389" i="1"/>
  <c r="AC389" i="1"/>
  <c r="AC400" i="1" s="1"/>
  <c r="AC21" i="5" s="1"/>
  <c r="AB389" i="1"/>
  <c r="Z389" i="1"/>
  <c r="Y389" i="1"/>
  <c r="X389" i="1"/>
  <c r="W389" i="1"/>
  <c r="V389" i="1"/>
  <c r="U389" i="1"/>
  <c r="T389" i="1"/>
  <c r="R389" i="1"/>
  <c r="S389" i="1" s="1"/>
  <c r="Q389" i="1"/>
  <c r="P389" i="1"/>
  <c r="O389" i="1"/>
  <c r="N389" i="1"/>
  <c r="M389" i="1"/>
  <c r="M400" i="1" s="1"/>
  <c r="M21" i="5" s="1"/>
  <c r="L389" i="1"/>
  <c r="J389" i="1"/>
  <c r="J400" i="1" s="1"/>
  <c r="I389" i="1"/>
  <c r="H389" i="1"/>
  <c r="G389" i="1"/>
  <c r="F389" i="1"/>
  <c r="E389" i="1"/>
  <c r="D389" i="1"/>
  <c r="D400" i="1" s="1"/>
  <c r="D21" i="5" s="1"/>
  <c r="AD388" i="1"/>
  <c r="AE388" i="1" s="1"/>
  <c r="AC388" i="1"/>
  <c r="AB388" i="1"/>
  <c r="AA388" i="1"/>
  <c r="Z388" i="1"/>
  <c r="Y388" i="1"/>
  <c r="X388" i="1"/>
  <c r="W388" i="1"/>
  <c r="V388" i="1"/>
  <c r="U388" i="1"/>
  <c r="T388" i="1"/>
  <c r="S388" i="1"/>
  <c r="R388" i="1"/>
  <c r="Q388" i="1"/>
  <c r="P388" i="1"/>
  <c r="N388" i="1"/>
  <c r="O388" i="1" s="1"/>
  <c r="M388" i="1"/>
  <c r="L388" i="1"/>
  <c r="L406" i="1" s="1"/>
  <c r="L30" i="5" s="1"/>
  <c r="K388" i="1"/>
  <c r="J388" i="1"/>
  <c r="I388" i="1"/>
  <c r="H388" i="1"/>
  <c r="F388" i="1"/>
  <c r="G388" i="1" s="1"/>
  <c r="E388" i="1"/>
  <c r="D388" i="1"/>
  <c r="AE387" i="1"/>
  <c r="AD387" i="1"/>
  <c r="AC387" i="1"/>
  <c r="AB387" i="1"/>
  <c r="Z387" i="1"/>
  <c r="AA387" i="1" s="1"/>
  <c r="Y387" i="1"/>
  <c r="X387" i="1"/>
  <c r="W387" i="1"/>
  <c r="V387" i="1"/>
  <c r="U387" i="1"/>
  <c r="T387" i="1"/>
  <c r="R387" i="1"/>
  <c r="S387" i="1" s="1"/>
  <c r="Q387" i="1"/>
  <c r="P387" i="1"/>
  <c r="O387" i="1"/>
  <c r="N387" i="1"/>
  <c r="M387" i="1"/>
  <c r="L387" i="1"/>
  <c r="J387" i="1"/>
  <c r="K387" i="1" s="1"/>
  <c r="I387" i="1"/>
  <c r="H387" i="1"/>
  <c r="G387" i="1"/>
  <c r="F387" i="1"/>
  <c r="E387" i="1"/>
  <c r="D387" i="1"/>
  <c r="AE386" i="1"/>
  <c r="AD386" i="1"/>
  <c r="AC386" i="1"/>
  <c r="AB386" i="1"/>
  <c r="AA386" i="1"/>
  <c r="Z386" i="1"/>
  <c r="Y386" i="1"/>
  <c r="X386" i="1"/>
  <c r="X399" i="1" s="1"/>
  <c r="X20" i="5" s="1"/>
  <c r="V386" i="1"/>
  <c r="W386" i="1" s="1"/>
  <c r="U386" i="1"/>
  <c r="T386" i="1"/>
  <c r="S386" i="1"/>
  <c r="R386" i="1"/>
  <c r="Q386" i="1"/>
  <c r="P386" i="1"/>
  <c r="O386" i="1"/>
  <c r="N386" i="1"/>
  <c r="M386" i="1"/>
  <c r="L386" i="1"/>
  <c r="K386" i="1"/>
  <c r="J386" i="1"/>
  <c r="I386" i="1"/>
  <c r="H386" i="1"/>
  <c r="F386" i="1"/>
  <c r="G386" i="1" s="1"/>
  <c r="E386" i="1"/>
  <c r="D386" i="1"/>
  <c r="AE385" i="1"/>
  <c r="AD385" i="1"/>
  <c r="AC385" i="1"/>
  <c r="AB385" i="1"/>
  <c r="AA385" i="1"/>
  <c r="Z385" i="1"/>
  <c r="Z399" i="1" s="1"/>
  <c r="Y385" i="1"/>
  <c r="Y399" i="1" s="1"/>
  <c r="Y20" i="5" s="1"/>
  <c r="X385" i="1"/>
  <c r="W385" i="1"/>
  <c r="V385" i="1"/>
  <c r="U385" i="1"/>
  <c r="T385" i="1"/>
  <c r="R385" i="1"/>
  <c r="S385" i="1" s="1"/>
  <c r="Q385" i="1"/>
  <c r="Q399" i="1" s="1"/>
  <c r="Q20" i="5" s="1"/>
  <c r="P385" i="1"/>
  <c r="O385" i="1"/>
  <c r="N385" i="1"/>
  <c r="M385" i="1"/>
  <c r="L385" i="1"/>
  <c r="J385" i="1"/>
  <c r="K385" i="1" s="1"/>
  <c r="I385" i="1"/>
  <c r="I399" i="1" s="1"/>
  <c r="I20" i="5" s="1"/>
  <c r="H385" i="1"/>
  <c r="G385" i="1"/>
  <c r="F385" i="1"/>
  <c r="E385" i="1"/>
  <c r="D385" i="1"/>
  <c r="AD384" i="1"/>
  <c r="AE384" i="1" s="1"/>
  <c r="AC384" i="1"/>
  <c r="AC399" i="1" s="1"/>
  <c r="AC20" i="5" s="1"/>
  <c r="AB384" i="1"/>
  <c r="AA384" i="1"/>
  <c r="Z384" i="1"/>
  <c r="Y384" i="1"/>
  <c r="X384" i="1"/>
  <c r="V384" i="1"/>
  <c r="V399" i="1" s="1"/>
  <c r="U384" i="1"/>
  <c r="U399" i="1" s="1"/>
  <c r="U20" i="5" s="1"/>
  <c r="T384" i="1"/>
  <c r="T399" i="1" s="1"/>
  <c r="T20" i="5" s="1"/>
  <c r="S384" i="1"/>
  <c r="R384" i="1"/>
  <c r="Q384" i="1"/>
  <c r="P384" i="1"/>
  <c r="P399" i="1" s="1"/>
  <c r="P20" i="5" s="1"/>
  <c r="N384" i="1"/>
  <c r="O384" i="1" s="1"/>
  <c r="M384" i="1"/>
  <c r="M399" i="1" s="1"/>
  <c r="M20" i="5" s="1"/>
  <c r="L384" i="1"/>
  <c r="K384" i="1"/>
  <c r="J384" i="1"/>
  <c r="I384" i="1"/>
  <c r="H384" i="1"/>
  <c r="F384" i="1"/>
  <c r="E384" i="1"/>
  <c r="E399" i="1" s="1"/>
  <c r="E20" i="5" s="1"/>
  <c r="D384" i="1"/>
  <c r="D399" i="1" s="1"/>
  <c r="D20" i="5" s="1"/>
  <c r="AE383" i="1"/>
  <c r="AD383" i="1"/>
  <c r="AC383" i="1"/>
  <c r="AB383" i="1"/>
  <c r="Z383" i="1"/>
  <c r="AA383" i="1" s="1"/>
  <c r="Y383" i="1"/>
  <c r="X383" i="1"/>
  <c r="W383" i="1"/>
  <c r="V383" i="1"/>
  <c r="U383" i="1"/>
  <c r="T383" i="1"/>
  <c r="R383" i="1"/>
  <c r="S383" i="1" s="1"/>
  <c r="Q383" i="1"/>
  <c r="P383" i="1"/>
  <c r="O383" i="1"/>
  <c r="N383" i="1"/>
  <c r="M383" i="1"/>
  <c r="L383" i="1"/>
  <c r="J383" i="1"/>
  <c r="K383" i="1" s="1"/>
  <c r="I383" i="1"/>
  <c r="H383" i="1"/>
  <c r="G383" i="1"/>
  <c r="F383" i="1"/>
  <c r="E383" i="1"/>
  <c r="D383" i="1"/>
  <c r="AD382" i="1"/>
  <c r="AE382" i="1" s="1"/>
  <c r="AC382" i="1"/>
  <c r="AC398" i="1" s="1"/>
  <c r="AC19" i="5" s="1"/>
  <c r="AB382" i="1"/>
  <c r="AA382" i="1"/>
  <c r="Z382" i="1"/>
  <c r="Y382" i="1"/>
  <c r="X382" i="1"/>
  <c r="V382" i="1"/>
  <c r="W382" i="1" s="1"/>
  <c r="U382" i="1"/>
  <c r="T382" i="1"/>
  <c r="S382" i="1"/>
  <c r="R382" i="1"/>
  <c r="Q382" i="1"/>
  <c r="P382" i="1"/>
  <c r="N382" i="1"/>
  <c r="N405" i="1" s="1"/>
  <c r="M382" i="1"/>
  <c r="L382" i="1"/>
  <c r="K382" i="1"/>
  <c r="J382" i="1"/>
  <c r="I382" i="1"/>
  <c r="H382" i="1"/>
  <c r="F382" i="1"/>
  <c r="G382" i="1" s="1"/>
  <c r="E382" i="1"/>
  <c r="D382" i="1"/>
  <c r="AE381" i="1"/>
  <c r="AD381" i="1"/>
  <c r="AC381" i="1"/>
  <c r="AB381" i="1"/>
  <c r="AA381" i="1"/>
  <c r="Z381" i="1"/>
  <c r="Z404" i="1" s="1"/>
  <c r="Y381" i="1"/>
  <c r="X381" i="1"/>
  <c r="W381" i="1"/>
  <c r="V381" i="1"/>
  <c r="U381" i="1"/>
  <c r="T381" i="1"/>
  <c r="R381" i="1"/>
  <c r="S381" i="1" s="1"/>
  <c r="Q381" i="1"/>
  <c r="P381" i="1"/>
  <c r="O381" i="1"/>
  <c r="N381" i="1"/>
  <c r="M381" i="1"/>
  <c r="L381" i="1"/>
  <c r="J381" i="1"/>
  <c r="J398" i="1" s="1"/>
  <c r="I381" i="1"/>
  <c r="H381" i="1"/>
  <c r="G381" i="1"/>
  <c r="F381" i="1"/>
  <c r="E381" i="1"/>
  <c r="D381" i="1"/>
  <c r="D404" i="1" s="1"/>
  <c r="D28" i="5" s="1"/>
  <c r="AD380" i="1"/>
  <c r="AE380" i="1" s="1"/>
  <c r="AC380" i="1"/>
  <c r="AB380" i="1"/>
  <c r="AA380" i="1"/>
  <c r="Z380" i="1"/>
  <c r="Y380" i="1"/>
  <c r="X380" i="1"/>
  <c r="V380" i="1"/>
  <c r="V403" i="1" s="1"/>
  <c r="U380" i="1"/>
  <c r="T380" i="1"/>
  <c r="S380" i="1"/>
  <c r="R380" i="1"/>
  <c r="Q380" i="1"/>
  <c r="P380" i="1"/>
  <c r="N380" i="1"/>
  <c r="M380" i="1"/>
  <c r="M398" i="1" s="1"/>
  <c r="M19" i="5" s="1"/>
  <c r="L380" i="1"/>
  <c r="K380" i="1"/>
  <c r="J380" i="1"/>
  <c r="I380" i="1"/>
  <c r="H380" i="1"/>
  <c r="F380" i="1"/>
  <c r="G380" i="1" s="1"/>
  <c r="E380" i="1"/>
  <c r="E403" i="1" s="1"/>
  <c r="E27" i="5" s="1"/>
  <c r="D380" i="1"/>
  <c r="AE379" i="1"/>
  <c r="AD379" i="1"/>
  <c r="AC379" i="1"/>
  <c r="AB379" i="1"/>
  <c r="AB398" i="1" s="1"/>
  <c r="AB19" i="5" s="1"/>
  <c r="Z379" i="1"/>
  <c r="Y379" i="1"/>
  <c r="Y398" i="1" s="1"/>
  <c r="Y19" i="5" s="1"/>
  <c r="X379" i="1"/>
  <c r="X402" i="1" s="1"/>
  <c r="W379" i="1"/>
  <c r="V379" i="1"/>
  <c r="U379" i="1"/>
  <c r="T379" i="1"/>
  <c r="S379" i="1"/>
  <c r="R379" i="1"/>
  <c r="Q379" i="1"/>
  <c r="P379" i="1"/>
  <c r="O379" i="1"/>
  <c r="N379" i="1"/>
  <c r="M379" i="1"/>
  <c r="L379" i="1"/>
  <c r="L398" i="1" s="1"/>
  <c r="L19" i="5" s="1"/>
  <c r="J379" i="1"/>
  <c r="K379" i="1" s="1"/>
  <c r="I379" i="1"/>
  <c r="I398" i="1" s="1"/>
  <c r="I19" i="5" s="1"/>
  <c r="H379" i="1"/>
  <c r="H398" i="1" s="1"/>
  <c r="H19" i="5" s="1"/>
  <c r="G379" i="1"/>
  <c r="F379" i="1"/>
  <c r="E379" i="1"/>
  <c r="D379" i="1"/>
  <c r="AD378" i="1"/>
  <c r="AD406" i="1" s="1"/>
  <c r="AC378" i="1"/>
  <c r="AB378" i="1"/>
  <c r="AA378" i="1"/>
  <c r="Z378" i="1"/>
  <c r="Y378" i="1"/>
  <c r="X378" i="1"/>
  <c r="V378" i="1"/>
  <c r="U378" i="1"/>
  <c r="T378" i="1"/>
  <c r="S378" i="1"/>
  <c r="R378" i="1"/>
  <c r="Q378" i="1"/>
  <c r="P378" i="1"/>
  <c r="N378" i="1"/>
  <c r="O378" i="1" s="1"/>
  <c r="M378" i="1"/>
  <c r="L378" i="1"/>
  <c r="K378" i="1"/>
  <c r="J378" i="1"/>
  <c r="I378" i="1"/>
  <c r="H378" i="1"/>
  <c r="F378" i="1"/>
  <c r="E378" i="1"/>
  <c r="E406" i="1" s="1"/>
  <c r="E30" i="5" s="1"/>
  <c r="D378" i="1"/>
  <c r="AE377" i="1"/>
  <c r="AD377" i="1"/>
  <c r="AC377" i="1"/>
  <c r="AB377" i="1"/>
  <c r="AA377" i="1"/>
  <c r="Z377" i="1"/>
  <c r="Z405" i="1" s="1"/>
  <c r="Z29" i="5" s="1"/>
  <c r="Y377" i="1"/>
  <c r="X377" i="1"/>
  <c r="W377" i="1"/>
  <c r="V377" i="1"/>
  <c r="U377" i="1"/>
  <c r="T377" i="1"/>
  <c r="T397" i="1" s="1"/>
  <c r="T18" i="5" s="1"/>
  <c r="R377" i="1"/>
  <c r="Q377" i="1"/>
  <c r="P377" i="1"/>
  <c r="O377" i="1"/>
  <c r="N377" i="1"/>
  <c r="M377" i="1"/>
  <c r="L377" i="1"/>
  <c r="K377" i="1"/>
  <c r="J377" i="1"/>
  <c r="J405" i="1" s="1"/>
  <c r="I377" i="1"/>
  <c r="H377" i="1"/>
  <c r="G377" i="1"/>
  <c r="F377" i="1"/>
  <c r="E377" i="1"/>
  <c r="D377" i="1"/>
  <c r="AD376" i="1"/>
  <c r="AE376" i="1" s="1"/>
  <c r="AC376" i="1"/>
  <c r="AB376" i="1"/>
  <c r="AA376" i="1"/>
  <c r="Z376" i="1"/>
  <c r="Y376" i="1"/>
  <c r="X376" i="1"/>
  <c r="W376" i="1"/>
  <c r="V376" i="1"/>
  <c r="U376" i="1"/>
  <c r="U397" i="1" s="1"/>
  <c r="U18" i="5" s="1"/>
  <c r="T376" i="1"/>
  <c r="S376" i="1"/>
  <c r="R376" i="1"/>
  <c r="Q376" i="1"/>
  <c r="P376" i="1"/>
  <c r="N376" i="1"/>
  <c r="M376" i="1"/>
  <c r="L376" i="1"/>
  <c r="K376" i="1"/>
  <c r="J376" i="1"/>
  <c r="I376" i="1"/>
  <c r="H376" i="1"/>
  <c r="F376" i="1"/>
  <c r="F397" i="1" s="1"/>
  <c r="E376" i="1"/>
  <c r="D376" i="1"/>
  <c r="AE375" i="1"/>
  <c r="AD375" i="1"/>
  <c r="AC375" i="1"/>
  <c r="AB375" i="1"/>
  <c r="Z375" i="1"/>
  <c r="Y375" i="1"/>
  <c r="Y397" i="1" s="1"/>
  <c r="X375" i="1"/>
  <c r="W375" i="1"/>
  <c r="V375" i="1"/>
  <c r="U375" i="1"/>
  <c r="T375" i="1"/>
  <c r="R375" i="1"/>
  <c r="R403" i="1" s="1"/>
  <c r="Q375" i="1"/>
  <c r="P375" i="1"/>
  <c r="P403" i="1" s="1"/>
  <c r="P27" i="5" s="1"/>
  <c r="O375" i="1"/>
  <c r="N375" i="1"/>
  <c r="M375" i="1"/>
  <c r="L375" i="1"/>
  <c r="J375" i="1"/>
  <c r="I375" i="1"/>
  <c r="I397" i="1" s="1"/>
  <c r="I18" i="5" s="1"/>
  <c r="H375" i="1"/>
  <c r="G375" i="1"/>
  <c r="F375" i="1"/>
  <c r="E375" i="1"/>
  <c r="D375" i="1"/>
  <c r="AD374" i="1"/>
  <c r="AC374" i="1"/>
  <c r="AC397" i="1" s="1"/>
  <c r="AC18" i="5" s="1"/>
  <c r="AB374" i="1"/>
  <c r="AB397" i="1" s="1"/>
  <c r="AB18" i="5" s="1"/>
  <c r="AA374" i="1"/>
  <c r="Z374" i="1"/>
  <c r="Z397" i="1" s="1"/>
  <c r="Z18" i="5" s="1"/>
  <c r="Y374" i="1"/>
  <c r="X374" i="1"/>
  <c r="V374" i="1"/>
  <c r="W374" i="1" s="1"/>
  <c r="U374" i="1"/>
  <c r="T374" i="1"/>
  <c r="S374" i="1"/>
  <c r="R374" i="1"/>
  <c r="Q374" i="1"/>
  <c r="P374" i="1"/>
  <c r="N374" i="1"/>
  <c r="O374" i="1" s="1"/>
  <c r="M374" i="1"/>
  <c r="L374" i="1"/>
  <c r="K374" i="1"/>
  <c r="J374" i="1"/>
  <c r="J397" i="1" s="1"/>
  <c r="K397" i="1" s="1"/>
  <c r="K18" i="5" s="1"/>
  <c r="I374" i="1"/>
  <c r="H374" i="1"/>
  <c r="F374" i="1"/>
  <c r="E374" i="1"/>
  <c r="D374" i="1"/>
  <c r="AE373" i="1"/>
  <c r="AD373" i="1"/>
  <c r="AC373" i="1"/>
  <c r="AB373" i="1"/>
  <c r="Z373" i="1"/>
  <c r="Z406" i="1" s="1"/>
  <c r="Y373" i="1"/>
  <c r="Y406" i="1" s="1"/>
  <c r="Y30" i="5" s="1"/>
  <c r="X373" i="1"/>
  <c r="W373" i="1"/>
  <c r="V373" i="1"/>
  <c r="U373" i="1"/>
  <c r="T373" i="1"/>
  <c r="R373" i="1"/>
  <c r="Q373" i="1"/>
  <c r="P373" i="1"/>
  <c r="O373" i="1"/>
  <c r="N373" i="1"/>
  <c r="M373" i="1"/>
  <c r="L373" i="1"/>
  <c r="J373" i="1"/>
  <c r="J406" i="1" s="1"/>
  <c r="I373" i="1"/>
  <c r="H373" i="1"/>
  <c r="G373" i="1"/>
  <c r="F373" i="1"/>
  <c r="E373" i="1"/>
  <c r="D373" i="1"/>
  <c r="D406" i="1" s="1"/>
  <c r="D30" i="5" s="1"/>
  <c r="AD372" i="1"/>
  <c r="AE372" i="1" s="1"/>
  <c r="AC372" i="1"/>
  <c r="AB372" i="1"/>
  <c r="AA372" i="1"/>
  <c r="Z372" i="1"/>
  <c r="Y372" i="1"/>
  <c r="X372" i="1"/>
  <c r="W372" i="1"/>
  <c r="V372" i="1"/>
  <c r="U372" i="1"/>
  <c r="T372" i="1"/>
  <c r="S372" i="1"/>
  <c r="R372" i="1"/>
  <c r="Q372" i="1"/>
  <c r="P372" i="1"/>
  <c r="P396" i="1" s="1"/>
  <c r="P17" i="5" s="1"/>
  <c r="N372" i="1"/>
  <c r="O372" i="1" s="1"/>
  <c r="M372" i="1"/>
  <c r="L372" i="1"/>
  <c r="K372" i="1"/>
  <c r="J372" i="1"/>
  <c r="I372" i="1"/>
  <c r="H372" i="1"/>
  <c r="F372" i="1"/>
  <c r="G372" i="1" s="1"/>
  <c r="E372" i="1"/>
  <c r="D372" i="1"/>
  <c r="D405" i="1" s="1"/>
  <c r="D29" i="5" s="1"/>
  <c r="AE371" i="1"/>
  <c r="AD371" i="1"/>
  <c r="AC371" i="1"/>
  <c r="AB371" i="1"/>
  <c r="Z371" i="1"/>
  <c r="AA371" i="1" s="1"/>
  <c r="Y371" i="1"/>
  <c r="Y404" i="1" s="1"/>
  <c r="Y28" i="5" s="1"/>
  <c r="X371" i="1"/>
  <c r="W371" i="1"/>
  <c r="V371" i="1"/>
  <c r="U371" i="1"/>
  <c r="T371" i="1"/>
  <c r="R371" i="1"/>
  <c r="S371" i="1" s="1"/>
  <c r="Q371" i="1"/>
  <c r="P371" i="1"/>
  <c r="O371" i="1"/>
  <c r="N371" i="1"/>
  <c r="M371" i="1"/>
  <c r="L371" i="1"/>
  <c r="J371" i="1"/>
  <c r="I371" i="1"/>
  <c r="I404" i="1" s="1"/>
  <c r="I28" i="5" s="1"/>
  <c r="H371" i="1"/>
  <c r="G371" i="1"/>
  <c r="F371" i="1"/>
  <c r="E371" i="1"/>
  <c r="D371" i="1"/>
  <c r="AD370" i="1"/>
  <c r="AD403" i="1" s="1"/>
  <c r="AD27" i="5" s="1"/>
  <c r="AC370" i="1"/>
  <c r="AB370" i="1"/>
  <c r="AB396" i="1" s="1"/>
  <c r="AB17" i="5" s="1"/>
  <c r="AA370" i="1"/>
  <c r="Z370" i="1"/>
  <c r="Y370" i="1"/>
  <c r="X370" i="1"/>
  <c r="V370" i="1"/>
  <c r="U370" i="1"/>
  <c r="U396" i="1" s="1"/>
  <c r="U17" i="5" s="1"/>
  <c r="T370" i="1"/>
  <c r="S370" i="1"/>
  <c r="R370" i="1"/>
  <c r="Q370" i="1"/>
  <c r="P370" i="1"/>
  <c r="O370" i="1"/>
  <c r="N370" i="1"/>
  <c r="M370" i="1"/>
  <c r="L370" i="1"/>
  <c r="K370" i="1"/>
  <c r="J370" i="1"/>
  <c r="I370" i="1"/>
  <c r="H370" i="1"/>
  <c r="H396" i="1" s="1"/>
  <c r="H17" i="5" s="1"/>
  <c r="F370" i="1"/>
  <c r="G370" i="1" s="1"/>
  <c r="E370" i="1"/>
  <c r="E396" i="1" s="1"/>
  <c r="E17" i="5" s="1"/>
  <c r="D370" i="1"/>
  <c r="AE369" i="1"/>
  <c r="AD369" i="1"/>
  <c r="AC369" i="1"/>
  <c r="AB369" i="1"/>
  <c r="Z369" i="1"/>
  <c r="AA369" i="1" s="1"/>
  <c r="Y369" i="1"/>
  <c r="Y396" i="1" s="1"/>
  <c r="Y17" i="5" s="1"/>
  <c r="X369" i="1"/>
  <c r="W369" i="1"/>
  <c r="V369" i="1"/>
  <c r="V396" i="1" s="1"/>
  <c r="V17" i="5" s="1"/>
  <c r="U369" i="1"/>
  <c r="T369" i="1"/>
  <c r="T396" i="1" s="1"/>
  <c r="T17" i="5" s="1"/>
  <c r="R369" i="1"/>
  <c r="Q369" i="1"/>
  <c r="Q396" i="1" s="1"/>
  <c r="Q17" i="5" s="1"/>
  <c r="P369" i="1"/>
  <c r="O369" i="1"/>
  <c r="N369" i="1"/>
  <c r="M369" i="1"/>
  <c r="L369" i="1"/>
  <c r="J369" i="1"/>
  <c r="J402" i="1" s="1"/>
  <c r="I369" i="1"/>
  <c r="I402" i="1" s="1"/>
  <c r="H369" i="1"/>
  <c r="H402" i="1" s="1"/>
  <c r="G369" i="1"/>
  <c r="F369" i="1"/>
  <c r="E369" i="1"/>
  <c r="D369" i="1"/>
  <c r="AD368" i="1"/>
  <c r="AC368" i="1"/>
  <c r="AC406" i="1" s="1"/>
  <c r="AC30" i="5" s="1"/>
  <c r="AB368" i="1"/>
  <c r="AB406" i="1" s="1"/>
  <c r="AB30" i="5" s="1"/>
  <c r="AA368" i="1"/>
  <c r="Z368" i="1"/>
  <c r="Y368" i="1"/>
  <c r="X368" i="1"/>
  <c r="W368" i="1"/>
  <c r="V368" i="1"/>
  <c r="V406" i="1" s="1"/>
  <c r="V30" i="5" s="1"/>
  <c r="U368" i="1"/>
  <c r="U406" i="1" s="1"/>
  <c r="U30" i="5" s="1"/>
  <c r="T368" i="1"/>
  <c r="T406" i="1" s="1"/>
  <c r="T30" i="5" s="1"/>
  <c r="S368" i="1"/>
  <c r="R368" i="1"/>
  <c r="Q368" i="1"/>
  <c r="P368" i="1"/>
  <c r="N368" i="1"/>
  <c r="M368" i="1"/>
  <c r="M406" i="1" s="1"/>
  <c r="M30" i="5" s="1"/>
  <c r="L368" i="1"/>
  <c r="K368" i="1"/>
  <c r="J368" i="1"/>
  <c r="I368" i="1"/>
  <c r="I406" i="1" s="1"/>
  <c r="I30" i="5" s="1"/>
  <c r="H368" i="1"/>
  <c r="G368" i="1"/>
  <c r="F368" i="1"/>
  <c r="F406" i="1" s="1"/>
  <c r="E368" i="1"/>
  <c r="D368" i="1"/>
  <c r="AE367" i="1"/>
  <c r="AD367" i="1"/>
  <c r="AC367" i="1"/>
  <c r="AB367" i="1"/>
  <c r="AB405" i="1" s="1"/>
  <c r="AB29" i="5" s="1"/>
  <c r="Z367" i="1"/>
  <c r="AA367" i="1" s="1"/>
  <c r="Y367" i="1"/>
  <c r="X367" i="1"/>
  <c r="X405" i="1" s="1"/>
  <c r="X29" i="5" s="1"/>
  <c r="W367" i="1"/>
  <c r="V367" i="1"/>
  <c r="U367" i="1"/>
  <c r="T367" i="1"/>
  <c r="T405" i="1" s="1"/>
  <c r="T29" i="5" s="1"/>
  <c r="S367" i="1"/>
  <c r="R367" i="1"/>
  <c r="R405" i="1" s="1"/>
  <c r="Q367" i="1"/>
  <c r="Q405" i="1" s="1"/>
  <c r="Q29" i="5" s="1"/>
  <c r="P367" i="1"/>
  <c r="O367" i="1"/>
  <c r="N367" i="1"/>
  <c r="M367" i="1"/>
  <c r="L367" i="1"/>
  <c r="L405" i="1" s="1"/>
  <c r="L29" i="5" s="1"/>
  <c r="J367" i="1"/>
  <c r="I367" i="1"/>
  <c r="I405" i="1" s="1"/>
  <c r="I29" i="5" s="1"/>
  <c r="H367" i="1"/>
  <c r="H405" i="1" s="1"/>
  <c r="H29" i="5" s="1"/>
  <c r="G367" i="1"/>
  <c r="F367" i="1"/>
  <c r="E367" i="1"/>
  <c r="E405" i="1" s="1"/>
  <c r="E29" i="5" s="1"/>
  <c r="D367" i="1"/>
  <c r="AD366" i="1"/>
  <c r="AD404" i="1" s="1"/>
  <c r="AC366" i="1"/>
  <c r="AC404" i="1" s="1"/>
  <c r="AC28" i="5" s="1"/>
  <c r="AB366" i="1"/>
  <c r="AA366" i="1"/>
  <c r="Z366" i="1"/>
  <c r="Y366" i="1"/>
  <c r="X366" i="1"/>
  <c r="X404" i="1" s="1"/>
  <c r="X28" i="5" s="1"/>
  <c r="V366" i="1"/>
  <c r="U366" i="1"/>
  <c r="U404" i="1" s="1"/>
  <c r="U28" i="5" s="1"/>
  <c r="T366" i="1"/>
  <c r="S366" i="1"/>
  <c r="R366" i="1"/>
  <c r="Q366" i="1"/>
  <c r="P366" i="1"/>
  <c r="N366" i="1"/>
  <c r="N395" i="1" s="1"/>
  <c r="M366" i="1"/>
  <c r="M404" i="1" s="1"/>
  <c r="M28" i="5" s="1"/>
  <c r="L366" i="1"/>
  <c r="K366" i="1"/>
  <c r="J366" i="1"/>
  <c r="I366" i="1"/>
  <c r="H366" i="1"/>
  <c r="F366" i="1"/>
  <c r="E366" i="1"/>
  <c r="D366" i="1"/>
  <c r="AE365" i="1"/>
  <c r="AD365" i="1"/>
  <c r="AC365" i="1"/>
  <c r="AB365" i="1"/>
  <c r="Z365" i="1"/>
  <c r="Y365" i="1"/>
  <c r="AA365" i="1" s="1"/>
  <c r="X365" i="1"/>
  <c r="X395" i="1" s="1"/>
  <c r="X16" i="5" s="1"/>
  <c r="W365" i="1"/>
  <c r="V365" i="1"/>
  <c r="U365" i="1"/>
  <c r="T365" i="1"/>
  <c r="R365" i="1"/>
  <c r="S365" i="1" s="1"/>
  <c r="Q365" i="1"/>
  <c r="P365" i="1"/>
  <c r="O365" i="1"/>
  <c r="N365" i="1"/>
  <c r="M365" i="1"/>
  <c r="L365" i="1"/>
  <c r="J365" i="1"/>
  <c r="J403" i="1" s="1"/>
  <c r="I365" i="1"/>
  <c r="I403" i="1" s="1"/>
  <c r="I27" i="5" s="1"/>
  <c r="H365" i="1"/>
  <c r="H403" i="1" s="1"/>
  <c r="H27" i="5" s="1"/>
  <c r="G365" i="1"/>
  <c r="F365" i="1"/>
  <c r="E365" i="1"/>
  <c r="D365" i="1"/>
  <c r="AD364" i="1"/>
  <c r="AC364" i="1"/>
  <c r="AB364" i="1"/>
  <c r="AA364" i="1"/>
  <c r="Z364" i="1"/>
  <c r="Y364" i="1"/>
  <c r="X364" i="1"/>
  <c r="V364" i="1"/>
  <c r="U364" i="1"/>
  <c r="T364" i="1"/>
  <c r="S364" i="1"/>
  <c r="R364" i="1"/>
  <c r="R395" i="1" s="1"/>
  <c r="Q364" i="1"/>
  <c r="P364" i="1"/>
  <c r="P395" i="1" s="1"/>
  <c r="P16" i="5" s="1"/>
  <c r="N364" i="1"/>
  <c r="M364" i="1"/>
  <c r="L364" i="1"/>
  <c r="L395" i="1" s="1"/>
  <c r="L16" i="5" s="1"/>
  <c r="K364" i="1"/>
  <c r="J364" i="1"/>
  <c r="I364" i="1"/>
  <c r="H364" i="1"/>
  <c r="F364" i="1"/>
  <c r="E364" i="1"/>
  <c r="D364" i="1"/>
  <c r="D395" i="1" s="1"/>
  <c r="D16" i="5" s="1"/>
  <c r="N16" i="5" l="1"/>
  <c r="K405" i="1"/>
  <c r="K29" i="5" s="1"/>
  <c r="J29" i="5"/>
  <c r="X26" i="5"/>
  <c r="F18" i="5"/>
  <c r="K403" i="1"/>
  <c r="K27" i="5" s="1"/>
  <c r="J27" i="5"/>
  <c r="S403" i="1"/>
  <c r="S27" i="5" s="1"/>
  <c r="R27" i="5"/>
  <c r="J19" i="5"/>
  <c r="K398" i="1"/>
  <c r="K19" i="5" s="1"/>
  <c r="H26" i="5"/>
  <c r="V27" i="5"/>
  <c r="J26" i="5"/>
  <c r="K402" i="1"/>
  <c r="K26" i="5" s="1"/>
  <c r="W399" i="1"/>
  <c r="W20" i="5" s="1"/>
  <c r="V20" i="5"/>
  <c r="AA406" i="1"/>
  <c r="AA30" i="5" s="1"/>
  <c r="Z30" i="5"/>
  <c r="Y18" i="5"/>
  <c r="AA397" i="1"/>
  <c r="AA18" i="5" s="1"/>
  <c r="R29" i="5"/>
  <c r="S405" i="1"/>
  <c r="S29" i="5" s="1"/>
  <c r="K406" i="1"/>
  <c r="K30" i="5" s="1"/>
  <c r="J30" i="5"/>
  <c r="AD28" i="5"/>
  <c r="AE404" i="1"/>
  <c r="AE28" i="5" s="1"/>
  <c r="I26" i="5"/>
  <c r="I408" i="1"/>
  <c r="C5" i="5" s="1"/>
  <c r="H101" i="6"/>
  <c r="AA399" i="1"/>
  <c r="AA20" i="5" s="1"/>
  <c r="Z20" i="5"/>
  <c r="P400" i="1"/>
  <c r="P21" i="5" s="1"/>
  <c r="E400" i="1"/>
  <c r="E21" i="5" s="1"/>
  <c r="R398" i="1"/>
  <c r="S402" i="1"/>
  <c r="S26" i="5" s="1"/>
  <c r="E340" i="7"/>
  <c r="F340" i="7" s="1"/>
  <c r="E160" i="7"/>
  <c r="F160" i="7" s="1"/>
  <c r="E70" i="7"/>
  <c r="F70" i="7" s="1"/>
  <c r="E10" i="7"/>
  <c r="E296" i="7"/>
  <c r="F296" i="7" s="1"/>
  <c r="E176" i="7"/>
  <c r="F176" i="7" s="1"/>
  <c r="E26" i="7"/>
  <c r="F26" i="7" s="1"/>
  <c r="E86" i="7"/>
  <c r="F86" i="7" s="1"/>
  <c r="E192" i="8"/>
  <c r="F192" i="8" s="1"/>
  <c r="E102" i="8"/>
  <c r="F102" i="8" s="1"/>
  <c r="E298" i="8"/>
  <c r="E178" i="8"/>
  <c r="F178" i="8" s="1"/>
  <c r="E88" i="8"/>
  <c r="E58" i="8"/>
  <c r="L21" i="6"/>
  <c r="H21" i="6"/>
  <c r="N54" i="6"/>
  <c r="L56" i="6"/>
  <c r="H56" i="6"/>
  <c r="G87" i="6"/>
  <c r="K87" i="6"/>
  <c r="E87" i="6"/>
  <c r="F87" i="6" s="1"/>
  <c r="I117" i="6"/>
  <c r="N117" i="6"/>
  <c r="K117" i="6"/>
  <c r="G117" i="6"/>
  <c r="E117" i="6"/>
  <c r="F117" i="6" s="1"/>
  <c r="Z19" i="5"/>
  <c r="AA398" i="1"/>
  <c r="AA19" i="5" s="1"/>
  <c r="I72" i="6"/>
  <c r="G72" i="6"/>
  <c r="K72" i="6"/>
  <c r="I85" i="6"/>
  <c r="K85" i="6"/>
  <c r="G85" i="6"/>
  <c r="E85" i="6"/>
  <c r="F85" i="6" s="1"/>
  <c r="N85" i="6"/>
  <c r="T402" i="1"/>
  <c r="T395" i="1"/>
  <c r="T16" i="5" s="1"/>
  <c r="C44" i="5"/>
  <c r="B44" i="5" s="1"/>
  <c r="Z403" i="1"/>
  <c r="O366" i="1"/>
  <c r="U405" i="1"/>
  <c r="U29" i="5" s="1"/>
  <c r="W370" i="1"/>
  <c r="M397" i="1"/>
  <c r="M18" i="5" s="1"/>
  <c r="AD397" i="1"/>
  <c r="S375" i="1"/>
  <c r="AA379" i="1"/>
  <c r="F399" i="1"/>
  <c r="W384" i="1"/>
  <c r="T400" i="1"/>
  <c r="T21" i="5" s="1"/>
  <c r="P397" i="1"/>
  <c r="P18" i="5" s="1"/>
  <c r="N400" i="1"/>
  <c r="AB402" i="1"/>
  <c r="N404" i="1"/>
  <c r="AD405" i="1"/>
  <c r="G26" i="6"/>
  <c r="K26" i="6"/>
  <c r="I26" i="6"/>
  <c r="N26" i="6"/>
  <c r="E26" i="6"/>
  <c r="F26" i="6" s="1"/>
  <c r="N36" i="6"/>
  <c r="K36" i="6"/>
  <c r="I36" i="6"/>
  <c r="G36" i="6"/>
  <c r="E36" i="6"/>
  <c r="F36" i="6" s="1"/>
  <c r="V402" i="1"/>
  <c r="S369" i="1"/>
  <c r="H399" i="1"/>
  <c r="H20" i="5" s="1"/>
  <c r="AE402" i="1"/>
  <c r="AE26" i="5" s="1"/>
  <c r="AD408" i="1"/>
  <c r="AD26" i="5"/>
  <c r="L24" i="6"/>
  <c r="H24" i="6"/>
  <c r="L50" i="6"/>
  <c r="H50" i="6"/>
  <c r="L52" i="6"/>
  <c r="H52" i="6"/>
  <c r="E72" i="6"/>
  <c r="F72" i="6" s="1"/>
  <c r="H159" i="6"/>
  <c r="V29" i="5"/>
  <c r="N166" i="6"/>
  <c r="K166" i="6"/>
  <c r="W378" i="1"/>
  <c r="AE368" i="1"/>
  <c r="N29" i="5"/>
  <c r="O405" i="1"/>
  <c r="O29" i="5" s="1"/>
  <c r="I4" i="6"/>
  <c r="K4" i="6"/>
  <c r="G4" i="6"/>
  <c r="E4" i="6"/>
  <c r="F4" i="6" s="1"/>
  <c r="N4" i="6"/>
  <c r="L29" i="6"/>
  <c r="H29" i="6"/>
  <c r="E66" i="6"/>
  <c r="F66" i="6" s="1"/>
  <c r="N72" i="6"/>
  <c r="I125" i="6"/>
  <c r="E125" i="6"/>
  <c r="F125" i="6" s="1"/>
  <c r="N125" i="6"/>
  <c r="K125" i="6"/>
  <c r="G125" i="6"/>
  <c r="L164" i="6"/>
  <c r="H164" i="6"/>
  <c r="X398" i="1"/>
  <c r="X19" i="5" s="1"/>
  <c r="G12" i="6"/>
  <c r="E12" i="6"/>
  <c r="F12" i="6" s="1"/>
  <c r="N12" i="6"/>
  <c r="K12" i="6"/>
  <c r="H127" i="6"/>
  <c r="E402" i="1"/>
  <c r="E395" i="1"/>
  <c r="E16" i="5" s="1"/>
  <c r="K365" i="1"/>
  <c r="F402" i="1"/>
  <c r="F395" i="1"/>
  <c r="W364" i="1"/>
  <c r="AA373" i="1"/>
  <c r="G378" i="1"/>
  <c r="AD398" i="1"/>
  <c r="I396" i="1"/>
  <c r="I17" i="5" s="1"/>
  <c r="E286" i="7"/>
  <c r="F286" i="7" s="1"/>
  <c r="E256" i="7"/>
  <c r="F256" i="7" s="1"/>
  <c r="E316" i="7"/>
  <c r="F316" i="7" s="1"/>
  <c r="E196" i="7"/>
  <c r="F196" i="7" s="1"/>
  <c r="E76" i="7"/>
  <c r="E226" i="7"/>
  <c r="E16" i="7"/>
  <c r="E272" i="7"/>
  <c r="F272" i="7" s="1"/>
  <c r="E212" i="7"/>
  <c r="E182" i="7"/>
  <c r="F182" i="7" s="1"/>
  <c r="E92" i="7"/>
  <c r="E32" i="7"/>
  <c r="F32" i="7" s="1"/>
  <c r="E122" i="7"/>
  <c r="F122" i="7" s="1"/>
  <c r="E288" i="8"/>
  <c r="F288" i="8" s="1"/>
  <c r="E78" i="8"/>
  <c r="F78" i="8" s="1"/>
  <c r="E18" i="8"/>
  <c r="E48" i="8"/>
  <c r="F48" i="8" s="1"/>
  <c r="G364" i="1"/>
  <c r="M403" i="1"/>
  <c r="M27" i="5" s="1"/>
  <c r="Y405" i="1"/>
  <c r="D396" i="1"/>
  <c r="D17" i="5" s="1"/>
  <c r="K373" i="1"/>
  <c r="S377" i="1"/>
  <c r="N398" i="1"/>
  <c r="AA404" i="1"/>
  <c r="AA28" i="5" s="1"/>
  <c r="O382" i="1"/>
  <c r="H257" i="7"/>
  <c r="L257" i="7"/>
  <c r="H10" i="6"/>
  <c r="L34" i="6"/>
  <c r="H34" i="6"/>
  <c r="L39" i="6"/>
  <c r="H39" i="6"/>
  <c r="H48" i="6"/>
  <c r="L64" i="6"/>
  <c r="H64" i="6"/>
  <c r="K371" i="1"/>
  <c r="U402" i="1"/>
  <c r="U395" i="1"/>
  <c r="U16" i="5" s="1"/>
  <c r="L79" i="6"/>
  <c r="H79" i="6"/>
  <c r="L399" i="1"/>
  <c r="L20" i="5" s="1"/>
  <c r="AC408" i="1"/>
  <c r="C10" i="5" s="1"/>
  <c r="P398" i="1"/>
  <c r="P19" i="5" s="1"/>
  <c r="Z400" i="1"/>
  <c r="H395" i="1"/>
  <c r="H16" i="5" s="1"/>
  <c r="R26" i="5"/>
  <c r="L13" i="6"/>
  <c r="H13" i="6"/>
  <c r="H15" i="6"/>
  <c r="G42" i="6"/>
  <c r="E42" i="6"/>
  <c r="F42" i="6" s="1"/>
  <c r="N42" i="6"/>
  <c r="K42" i="6"/>
  <c r="I42" i="6"/>
  <c r="L46" i="6"/>
  <c r="H46" i="6"/>
  <c r="N67" i="6"/>
  <c r="K67" i="6"/>
  <c r="I67" i="6"/>
  <c r="G67" i="6"/>
  <c r="E67" i="6"/>
  <c r="F67" i="6" s="1"/>
  <c r="K70" i="6"/>
  <c r="G70" i="6"/>
  <c r="I70" i="6"/>
  <c r="E70" i="6"/>
  <c r="F70" i="6" s="1"/>
  <c r="N70" i="6"/>
  <c r="G80" i="6"/>
  <c r="N80" i="6"/>
  <c r="K80" i="6"/>
  <c r="I80" i="6"/>
  <c r="E80" i="6"/>
  <c r="F80" i="6" s="1"/>
  <c r="I83" i="6"/>
  <c r="N83" i="6"/>
  <c r="K83" i="6"/>
  <c r="G83" i="6"/>
  <c r="N110" i="6"/>
  <c r="K110" i="6"/>
  <c r="I140" i="6"/>
  <c r="N140" i="6"/>
  <c r="K140" i="6"/>
  <c r="G140" i="6"/>
  <c r="E140" i="6"/>
  <c r="F140" i="6" s="1"/>
  <c r="G147" i="6"/>
  <c r="E147" i="6"/>
  <c r="F147" i="6" s="1"/>
  <c r="K367" i="1"/>
  <c r="F396" i="1"/>
  <c r="K381" i="1"/>
  <c r="E404" i="1"/>
  <c r="E28" i="5" s="1"/>
  <c r="W366" i="1"/>
  <c r="X396" i="1"/>
  <c r="X17" i="5" s="1"/>
  <c r="W380" i="1"/>
  <c r="K400" i="1"/>
  <c r="K21" i="5" s="1"/>
  <c r="J21" i="5"/>
  <c r="AA389" i="1"/>
  <c r="W396" i="1"/>
  <c r="W17" i="5" s="1"/>
  <c r="R399" i="1"/>
  <c r="D402" i="1"/>
  <c r="L44" i="6"/>
  <c r="H44" i="6"/>
  <c r="L100" i="6"/>
  <c r="H100" i="6"/>
  <c r="N122" i="6"/>
  <c r="K122" i="6"/>
  <c r="AD395" i="1"/>
  <c r="C36" i="5"/>
  <c r="B36" i="5" s="1"/>
  <c r="L43" i="6"/>
  <c r="I54" i="6"/>
  <c r="E54" i="6"/>
  <c r="F54" i="6" s="1"/>
  <c r="H400" i="1"/>
  <c r="H21" i="5" s="1"/>
  <c r="O376" i="1"/>
  <c r="AE400" i="1"/>
  <c r="AE21" i="5" s="1"/>
  <c r="AD21" i="5"/>
  <c r="AA375" i="1"/>
  <c r="AB395" i="1"/>
  <c r="AB16" i="5" s="1"/>
  <c r="Q403" i="1"/>
  <c r="Q27" i="5" s="1"/>
  <c r="G366" i="1"/>
  <c r="N403" i="1"/>
  <c r="AE370" i="1"/>
  <c r="D397" i="1"/>
  <c r="D18" i="5" s="1"/>
  <c r="K375" i="1"/>
  <c r="K389" i="1"/>
  <c r="AB400" i="1"/>
  <c r="AB21" i="5" s="1"/>
  <c r="W406" i="1"/>
  <c r="W30" i="5" s="1"/>
  <c r="E245" i="7"/>
  <c r="F245" i="7" s="1"/>
  <c r="E215" i="7"/>
  <c r="F215" i="7" s="1"/>
  <c r="E275" i="7"/>
  <c r="F275" i="7" s="1"/>
  <c r="E291" i="7"/>
  <c r="F291" i="7" s="1"/>
  <c r="E261" i="7"/>
  <c r="F261" i="7" s="1"/>
  <c r="E231" i="7"/>
  <c r="E51" i="7"/>
  <c r="F51" i="7" s="1"/>
  <c r="E141" i="7"/>
  <c r="F141" i="7" s="1"/>
  <c r="E171" i="7"/>
  <c r="F171" i="7" s="1"/>
  <c r="E307" i="8"/>
  <c r="F307" i="8" s="1"/>
  <c r="E337" i="8"/>
  <c r="F337" i="8" s="1"/>
  <c r="E97" i="8"/>
  <c r="F97" i="8" s="1"/>
  <c r="E323" i="8"/>
  <c r="F323" i="8" s="1"/>
  <c r="E83" i="8"/>
  <c r="F83" i="8" s="1"/>
  <c r="E23" i="8"/>
  <c r="F23" i="8" s="1"/>
  <c r="E53" i="8"/>
  <c r="F53" i="8" s="1"/>
  <c r="Z28" i="5"/>
  <c r="I9" i="6"/>
  <c r="I89" i="6"/>
  <c r="E89" i="6"/>
  <c r="F89" i="6" s="1"/>
  <c r="N89" i="6"/>
  <c r="K89" i="6"/>
  <c r="G89" i="6"/>
  <c r="R16" i="5"/>
  <c r="L96" i="6"/>
  <c r="H96" i="6"/>
  <c r="H406" i="1"/>
  <c r="H30" i="5" s="1"/>
  <c r="I12" i="6"/>
  <c r="G66" i="6"/>
  <c r="K66" i="6"/>
  <c r="I66" i="6"/>
  <c r="T404" i="1"/>
  <c r="T28" i="5" s="1"/>
  <c r="L402" i="1"/>
  <c r="AD30" i="5"/>
  <c r="AE406" i="1"/>
  <c r="AE30" i="5" s="1"/>
  <c r="Z396" i="1"/>
  <c r="C37" i="5"/>
  <c r="B37" i="5" s="1"/>
  <c r="N9" i="6"/>
  <c r="G9" i="6"/>
  <c r="E83" i="6"/>
  <c r="F83" i="6" s="1"/>
  <c r="L95" i="6"/>
  <c r="H95" i="6"/>
  <c r="L105" i="6"/>
  <c r="H105" i="6"/>
  <c r="N18" i="5"/>
  <c r="G384" i="1"/>
  <c r="H404" i="1"/>
  <c r="H28" i="5" s="1"/>
  <c r="E397" i="1"/>
  <c r="E18" i="5" s="1"/>
  <c r="M402" i="1"/>
  <c r="M395" i="1"/>
  <c r="M16" i="5" s="1"/>
  <c r="AE364" i="1"/>
  <c r="T403" i="1"/>
  <c r="T27" i="5" s="1"/>
  <c r="G374" i="1"/>
  <c r="X397" i="1"/>
  <c r="X18" i="5" s="1"/>
  <c r="AE378" i="1"/>
  <c r="T398" i="1"/>
  <c r="T19" i="5" s="1"/>
  <c r="X403" i="1"/>
  <c r="X27" i="5" s="1"/>
  <c r="E307" i="7"/>
  <c r="F307" i="7" s="1"/>
  <c r="E247" i="7"/>
  <c r="F247" i="7" s="1"/>
  <c r="E217" i="7"/>
  <c r="F217" i="7" s="1"/>
  <c r="E7" i="7"/>
  <c r="E323" i="7"/>
  <c r="F323" i="7" s="1"/>
  <c r="E263" i="7"/>
  <c r="F263" i="7" s="1"/>
  <c r="E233" i="7"/>
  <c r="E99" i="8"/>
  <c r="F99" i="8" s="1"/>
  <c r="E9" i="8"/>
  <c r="F9" i="8" s="1"/>
  <c r="E69" i="8"/>
  <c r="F69" i="8" s="1"/>
  <c r="E205" i="8"/>
  <c r="E85" i="8"/>
  <c r="F85" i="8" s="1"/>
  <c r="E55" i="8"/>
  <c r="F55" i="8" s="1"/>
  <c r="N23" i="6"/>
  <c r="I23" i="6"/>
  <c r="G23" i="6"/>
  <c r="K23" i="6"/>
  <c r="E23" i="6"/>
  <c r="F23" i="6" s="1"/>
  <c r="E49" i="6"/>
  <c r="F49" i="6" s="1"/>
  <c r="I49" i="6"/>
  <c r="G49" i="6"/>
  <c r="N49" i="6"/>
  <c r="K49" i="6"/>
  <c r="L108" i="6"/>
  <c r="I120" i="6"/>
  <c r="E120" i="6"/>
  <c r="F120" i="6" s="1"/>
  <c r="N120" i="6"/>
  <c r="K120" i="6"/>
  <c r="G120" i="6"/>
  <c r="L189" i="6"/>
  <c r="H189" i="6"/>
  <c r="AE366" i="1"/>
  <c r="O380" i="1"/>
  <c r="P406" i="1"/>
  <c r="P30" i="5" s="1"/>
  <c r="AB399" i="1"/>
  <c r="AB20" i="5" s="1"/>
  <c r="Y400" i="1"/>
  <c r="Y21" i="5" s="1"/>
  <c r="J396" i="1"/>
  <c r="D403" i="1"/>
  <c r="D27" i="5" s="1"/>
  <c r="J404" i="1"/>
  <c r="P405" i="1"/>
  <c r="P29" i="5" s="1"/>
  <c r="K369" i="1"/>
  <c r="AC405" i="1"/>
  <c r="AC29" i="5" s="1"/>
  <c r="R406" i="1"/>
  <c r="H397" i="1"/>
  <c r="H18" i="5" s="1"/>
  <c r="Q395" i="1"/>
  <c r="Q16" i="5" s="1"/>
  <c r="Y403" i="1"/>
  <c r="Y27" i="5" s="1"/>
  <c r="N3" i="6"/>
  <c r="E3" i="6"/>
  <c r="F3" i="6" s="1"/>
  <c r="C6" i="11" s="1"/>
  <c r="E9" i="6"/>
  <c r="F9" i="6" s="1"/>
  <c r="N63" i="6"/>
  <c r="E63" i="6"/>
  <c r="F63" i="6" s="1"/>
  <c r="K63" i="6"/>
  <c r="I63" i="6"/>
  <c r="G376" i="1"/>
  <c r="Z26" i="5"/>
  <c r="Z408" i="1"/>
  <c r="AE374" i="1"/>
  <c r="D398" i="1"/>
  <c r="D19" i="5" s="1"/>
  <c r="P402" i="1"/>
  <c r="AB404" i="1"/>
  <c r="AB28" i="5" s="1"/>
  <c r="F30" i="5"/>
  <c r="G406" i="1"/>
  <c r="G30" i="5" s="1"/>
  <c r="L396" i="1"/>
  <c r="L17" i="5" s="1"/>
  <c r="M405" i="1"/>
  <c r="M29" i="5" s="1"/>
  <c r="V395" i="1"/>
  <c r="Q402" i="1"/>
  <c r="E279" i="7"/>
  <c r="F279" i="7" s="1"/>
  <c r="E249" i="7"/>
  <c r="F249" i="7" s="1"/>
  <c r="E309" i="7"/>
  <c r="F309" i="7" s="1"/>
  <c r="E159" i="7"/>
  <c r="F159" i="7" s="1"/>
  <c r="E189" i="7"/>
  <c r="F189" i="7" s="1"/>
  <c r="E129" i="7"/>
  <c r="F129" i="7" s="1"/>
  <c r="E9" i="7"/>
  <c r="E69" i="7"/>
  <c r="F69" i="7" s="1"/>
  <c r="E355" i="7"/>
  <c r="F355" i="7" s="1"/>
  <c r="E235" i="7"/>
  <c r="F235" i="7" s="1"/>
  <c r="E175" i="7"/>
  <c r="F175" i="7" s="1"/>
  <c r="E145" i="7"/>
  <c r="F145" i="7" s="1"/>
  <c r="E341" i="8"/>
  <c r="E281" i="8"/>
  <c r="E191" i="8"/>
  <c r="F191" i="8" s="1"/>
  <c r="E101" i="8"/>
  <c r="F101" i="8" s="1"/>
  <c r="E71" i="8"/>
  <c r="F71" i="8" s="1"/>
  <c r="E11" i="8"/>
  <c r="F11" i="8" s="1"/>
  <c r="E87" i="8"/>
  <c r="F87" i="8" s="1"/>
  <c r="E27" i="8"/>
  <c r="K9" i="6"/>
  <c r="E33" i="6"/>
  <c r="F33" i="6" s="1"/>
  <c r="I33" i="6"/>
  <c r="N33" i="6"/>
  <c r="K33" i="6"/>
  <c r="G33" i="6"/>
  <c r="G58" i="6"/>
  <c r="N58" i="6"/>
  <c r="K58" i="6"/>
  <c r="I58" i="6"/>
  <c r="E58" i="6"/>
  <c r="F58" i="6" s="1"/>
  <c r="I90" i="6"/>
  <c r="N90" i="6"/>
  <c r="K90" i="6"/>
  <c r="G90" i="6"/>
  <c r="E90" i="6"/>
  <c r="F90" i="6" s="1"/>
  <c r="E93" i="6"/>
  <c r="F93" i="6" s="1"/>
  <c r="N93" i="6"/>
  <c r="N19" i="6"/>
  <c r="E19" i="6"/>
  <c r="F19" i="6" s="1"/>
  <c r="K22" i="6"/>
  <c r="E22" i="6"/>
  <c r="F22" i="6" s="1"/>
  <c r="N22" i="6"/>
  <c r="E278" i="7"/>
  <c r="F278" i="7" s="1"/>
  <c r="E188" i="7"/>
  <c r="F188" i="7" s="1"/>
  <c r="E308" i="7"/>
  <c r="F308" i="7" s="1"/>
  <c r="E8" i="7"/>
  <c r="E324" i="7"/>
  <c r="F324" i="7" s="1"/>
  <c r="E204" i="7"/>
  <c r="F204" i="7" s="1"/>
  <c r="E234" i="7"/>
  <c r="F234" i="7" s="1"/>
  <c r="E24" i="7"/>
  <c r="F24" i="7" s="1"/>
  <c r="E310" i="8"/>
  <c r="E220" i="8"/>
  <c r="F220" i="8" s="1"/>
  <c r="E160" i="8"/>
  <c r="F160" i="8" s="1"/>
  <c r="E100" i="8"/>
  <c r="E190" i="8"/>
  <c r="F190" i="8" s="1"/>
  <c r="E10" i="8"/>
  <c r="E326" i="8"/>
  <c r="E206" i="8"/>
  <c r="F206" i="8" s="1"/>
  <c r="E86" i="8"/>
  <c r="F86" i="8" s="1"/>
  <c r="K6" i="6"/>
  <c r="L6" i="6" s="1"/>
  <c r="N6" i="6"/>
  <c r="E16" i="6"/>
  <c r="F16" i="6" s="1"/>
  <c r="N16" i="6"/>
  <c r="I37" i="6"/>
  <c r="E37" i="6"/>
  <c r="F37" i="6" s="1"/>
  <c r="N37" i="6"/>
  <c r="N38" i="6"/>
  <c r="N47" i="6"/>
  <c r="G47" i="6"/>
  <c r="H47" i="6" s="1"/>
  <c r="E59" i="6"/>
  <c r="F59" i="6" s="1"/>
  <c r="N59" i="6"/>
  <c r="I68" i="6"/>
  <c r="G68" i="6"/>
  <c r="H68" i="6" s="1"/>
  <c r="L75" i="6"/>
  <c r="H75" i="6"/>
  <c r="I95" i="6"/>
  <c r="N95" i="6"/>
  <c r="K95" i="6"/>
  <c r="G95" i="6"/>
  <c r="H99" i="6"/>
  <c r="L149" i="6"/>
  <c r="H149" i="6"/>
  <c r="L180" i="6"/>
  <c r="H180" i="6"/>
  <c r="L403" i="1"/>
  <c r="L27" i="5" s="1"/>
  <c r="AB403" i="1"/>
  <c r="AB27" i="5" s="1"/>
  <c r="X406" i="1"/>
  <c r="X30" i="5" s="1"/>
  <c r="V397" i="1"/>
  <c r="F403" i="1"/>
  <c r="E43" i="7"/>
  <c r="F43" i="7" s="1"/>
  <c r="E73" i="7"/>
  <c r="F73" i="7" s="1"/>
  <c r="E299" i="7"/>
  <c r="F299" i="7" s="1"/>
  <c r="E269" i="7"/>
  <c r="F269" i="7" s="1"/>
  <c r="E89" i="7"/>
  <c r="E105" i="8"/>
  <c r="F105" i="8" s="1"/>
  <c r="E45" i="8"/>
  <c r="E331" i="8"/>
  <c r="F331" i="8" s="1"/>
  <c r="E271" i="8"/>
  <c r="E301" i="8"/>
  <c r="F301" i="8" s="1"/>
  <c r="E61" i="8"/>
  <c r="F61" i="8" s="1"/>
  <c r="E91" i="8"/>
  <c r="F91" i="8" s="1"/>
  <c r="C35" i="5"/>
  <c r="B35" i="5" s="1"/>
  <c r="G6" i="6"/>
  <c r="H6" i="6" s="1"/>
  <c r="K15" i="6"/>
  <c r="L15" i="6" s="1"/>
  <c r="G27" i="6"/>
  <c r="H27" i="6" s="1"/>
  <c r="K47" i="6"/>
  <c r="L47" i="6" s="1"/>
  <c r="I59" i="6"/>
  <c r="K68" i="6"/>
  <c r="L68" i="6" s="1"/>
  <c r="G74" i="6"/>
  <c r="K74" i="6"/>
  <c r="I74" i="6"/>
  <c r="E74" i="6"/>
  <c r="F74" i="6" s="1"/>
  <c r="L113" i="6"/>
  <c r="L176" i="6"/>
  <c r="H176" i="6"/>
  <c r="H183" i="6"/>
  <c r="L183" i="6"/>
  <c r="I395" i="1"/>
  <c r="I16" i="5" s="1"/>
  <c r="Q404" i="1"/>
  <c r="Q28" i="5" s="1"/>
  <c r="AC396" i="1"/>
  <c r="AC17" i="5" s="1"/>
  <c r="U398" i="1"/>
  <c r="U19" i="5" s="1"/>
  <c r="E360" i="7"/>
  <c r="F360" i="7" s="1"/>
  <c r="E270" i="7"/>
  <c r="F270" i="7" s="1"/>
  <c r="E300" i="7"/>
  <c r="F300" i="7" s="1"/>
  <c r="E30" i="7"/>
  <c r="F30" i="7" s="1"/>
  <c r="E362" i="8"/>
  <c r="E332" i="8"/>
  <c r="F332" i="8" s="1"/>
  <c r="E272" i="8"/>
  <c r="E212" i="8"/>
  <c r="E92" i="8"/>
  <c r="N8" i="6"/>
  <c r="G8" i="6"/>
  <c r="H8" i="6" s="1"/>
  <c r="K19" i="6"/>
  <c r="K37" i="6"/>
  <c r="H51" i="6"/>
  <c r="K59" i="6"/>
  <c r="N68" i="6"/>
  <c r="G76" i="6"/>
  <c r="E76" i="6"/>
  <c r="F76" i="6" s="1"/>
  <c r="H115" i="6"/>
  <c r="H155" i="6"/>
  <c r="Y395" i="1"/>
  <c r="Y16" i="5" s="1"/>
  <c r="AC403" i="1"/>
  <c r="AC27" i="5" s="1"/>
  <c r="M396" i="1"/>
  <c r="M17" i="5" s="1"/>
  <c r="Q397" i="1"/>
  <c r="Q18" i="5" s="1"/>
  <c r="E398" i="1"/>
  <c r="E19" i="5" s="1"/>
  <c r="E284" i="7"/>
  <c r="F284" i="7" s="1"/>
  <c r="E254" i="7"/>
  <c r="F254" i="7" s="1"/>
  <c r="E344" i="7"/>
  <c r="E224" i="7"/>
  <c r="E14" i="7"/>
  <c r="E346" i="8"/>
  <c r="F346" i="8" s="1"/>
  <c r="E196" i="8"/>
  <c r="F196" i="8" s="1"/>
  <c r="E106" i="8"/>
  <c r="F106" i="8" s="1"/>
  <c r="E16" i="8"/>
  <c r="F16" i="8" s="1"/>
  <c r="N13" i="6"/>
  <c r="J395" i="1"/>
  <c r="R404" i="1"/>
  <c r="R408" i="1" s="1"/>
  <c r="F405" i="1"/>
  <c r="N396" i="1"/>
  <c r="AD396" i="1"/>
  <c r="R397" i="1"/>
  <c r="F398" i="1"/>
  <c r="V398" i="1"/>
  <c r="J399" i="1"/>
  <c r="AD399" i="1"/>
  <c r="V400" i="1"/>
  <c r="V404" i="1"/>
  <c r="E315" i="7"/>
  <c r="F315" i="7" s="1"/>
  <c r="E225" i="7"/>
  <c r="E165" i="7"/>
  <c r="F165" i="7" s="1"/>
  <c r="E135" i="7"/>
  <c r="F135" i="7" s="1"/>
  <c r="E75" i="7"/>
  <c r="F75" i="7" s="1"/>
  <c r="E15" i="7"/>
  <c r="E105" i="7"/>
  <c r="E361" i="7"/>
  <c r="F361" i="7" s="1"/>
  <c r="E151" i="7"/>
  <c r="F151" i="7" s="1"/>
  <c r="E91" i="7"/>
  <c r="F91" i="7" s="1"/>
  <c r="E61" i="7"/>
  <c r="E287" i="8"/>
  <c r="F287" i="8" s="1"/>
  <c r="E47" i="8"/>
  <c r="E17" i="8"/>
  <c r="F17" i="8" s="1"/>
  <c r="E5" i="6"/>
  <c r="F5" i="6" s="1"/>
  <c r="I6" i="6"/>
  <c r="K16" i="6"/>
  <c r="E18" i="6"/>
  <c r="F18" i="6" s="1"/>
  <c r="K27" i="6"/>
  <c r="L27" i="6" s="1"/>
  <c r="L65" i="6"/>
  <c r="K78" i="6"/>
  <c r="G78" i="6"/>
  <c r="I78" i="6"/>
  <c r="E78" i="6"/>
  <c r="F78" i="6" s="1"/>
  <c r="N162" i="6"/>
  <c r="K162" i="6"/>
  <c r="H143" i="6"/>
  <c r="L145" i="6"/>
  <c r="H145" i="6"/>
  <c r="G187" i="6"/>
  <c r="N187" i="6"/>
  <c r="I187" i="6"/>
  <c r="E187" i="6"/>
  <c r="K187" i="6"/>
  <c r="E273" i="8"/>
  <c r="E213" i="8"/>
  <c r="F213" i="8" s="1"/>
  <c r="E183" i="8"/>
  <c r="F183" i="8" s="1"/>
  <c r="E93" i="8"/>
  <c r="F93" i="8" s="1"/>
  <c r="E63" i="8"/>
  <c r="F63" i="8" s="1"/>
  <c r="E153" i="8"/>
  <c r="F153" i="8" s="1"/>
  <c r="E289" i="8"/>
  <c r="E349" i="8"/>
  <c r="E229" i="8"/>
  <c r="F229" i="8" s="1"/>
  <c r="E199" i="8"/>
  <c r="F199" i="8" s="1"/>
  <c r="E49" i="8"/>
  <c r="E19" i="8"/>
  <c r="F19" i="8" s="1"/>
  <c r="N11" i="6"/>
  <c r="E11" i="6"/>
  <c r="F11" i="6" s="1"/>
  <c r="I14" i="6"/>
  <c r="G14" i="6"/>
  <c r="I20" i="6"/>
  <c r="G20" i="6"/>
  <c r="I28" i="6"/>
  <c r="G28" i="6"/>
  <c r="N41" i="6"/>
  <c r="K41" i="6"/>
  <c r="I53" i="6"/>
  <c r="E53" i="6"/>
  <c r="F53" i="6" s="1"/>
  <c r="G53" i="6"/>
  <c r="N71" i="6"/>
  <c r="K71" i="6"/>
  <c r="N92" i="6"/>
  <c r="E111" i="6"/>
  <c r="F111" i="6" s="1"/>
  <c r="N138" i="6"/>
  <c r="K138" i="6"/>
  <c r="L8" i="6"/>
  <c r="I43" i="6"/>
  <c r="G43" i="6"/>
  <c r="H43" i="6" s="1"/>
  <c r="N55" i="6"/>
  <c r="E55" i="6"/>
  <c r="F55" i="6" s="1"/>
  <c r="I82" i="6"/>
  <c r="K82" i="6"/>
  <c r="G82" i="6"/>
  <c r="E82" i="6"/>
  <c r="F82" i="6" s="1"/>
  <c r="G96" i="6"/>
  <c r="K118" i="6"/>
  <c r="L141" i="6"/>
  <c r="H141" i="6"/>
  <c r="L172" i="6"/>
  <c r="H172" i="6"/>
  <c r="Q400" i="1"/>
  <c r="Q21" i="5" s="1"/>
  <c r="K17" i="6"/>
  <c r="L17" i="6" s="1"/>
  <c r="G17" i="6"/>
  <c r="H17" i="6" s="1"/>
  <c r="L31" i="6"/>
  <c r="N402" i="1"/>
  <c r="R396" i="1"/>
  <c r="N399" i="1"/>
  <c r="F400" i="1"/>
  <c r="F404" i="1"/>
  <c r="E273" i="7"/>
  <c r="F273" i="7" s="1"/>
  <c r="E333" i="7"/>
  <c r="E243" i="7"/>
  <c r="F243" i="7" s="1"/>
  <c r="E183" i="7"/>
  <c r="F183" i="7" s="1"/>
  <c r="E153" i="7"/>
  <c r="F153" i="7" s="1"/>
  <c r="E289" i="7"/>
  <c r="F289" i="7" s="1"/>
  <c r="E349" i="7"/>
  <c r="F349" i="7" s="1"/>
  <c r="E229" i="7"/>
  <c r="F229" i="7" s="1"/>
  <c r="E199" i="7"/>
  <c r="F199" i="7" s="1"/>
  <c r="E95" i="8"/>
  <c r="F95" i="8" s="1"/>
  <c r="E185" i="8"/>
  <c r="F185" i="8" s="1"/>
  <c r="E65" i="8"/>
  <c r="E321" i="8"/>
  <c r="E171" i="8"/>
  <c r="F171" i="8" s="1"/>
  <c r="I8" i="6"/>
  <c r="N18" i="6"/>
  <c r="G31" i="6"/>
  <c r="H31" i="6" s="1"/>
  <c r="K51" i="6"/>
  <c r="L51" i="6" s="1"/>
  <c r="K76" i="6"/>
  <c r="N78" i="6"/>
  <c r="I107" i="6"/>
  <c r="N107" i="6"/>
  <c r="K107" i="6"/>
  <c r="G107" i="6"/>
  <c r="E107" i="6"/>
  <c r="F107" i="6" s="1"/>
  <c r="N136" i="6"/>
  <c r="K136" i="6"/>
  <c r="N406" i="1"/>
  <c r="O364" i="1"/>
  <c r="O368" i="1"/>
  <c r="S373" i="1"/>
  <c r="E7" i="6"/>
  <c r="F7" i="6" s="1"/>
  <c r="N7" i="6"/>
  <c r="G11" i="6"/>
  <c r="E14" i="6"/>
  <c r="F14" i="6" s="1"/>
  <c r="E20" i="6"/>
  <c r="F20" i="6" s="1"/>
  <c r="E28" i="6"/>
  <c r="F28" i="6" s="1"/>
  <c r="E38" i="6"/>
  <c r="F38" i="6" s="1"/>
  <c r="G41" i="6"/>
  <c r="E60" i="6"/>
  <c r="F60" i="6" s="1"/>
  <c r="K62" i="6"/>
  <c r="L62" i="6" s="1"/>
  <c r="G62" i="6"/>
  <c r="H62" i="6" s="1"/>
  <c r="N62" i="6"/>
  <c r="I62" i="6"/>
  <c r="E71" i="6"/>
  <c r="F71" i="6" s="1"/>
  <c r="N76" i="6"/>
  <c r="E84" i="6"/>
  <c r="F84" i="6" s="1"/>
  <c r="E92" i="6"/>
  <c r="F92" i="6" s="1"/>
  <c r="G199" i="6"/>
  <c r="N199" i="6"/>
  <c r="K199" i="6"/>
  <c r="I199" i="6"/>
  <c r="E199" i="6"/>
  <c r="F199" i="6" s="1"/>
  <c r="K30" i="6"/>
  <c r="I30" i="6"/>
  <c r="G30" i="6"/>
  <c r="E30" i="6"/>
  <c r="F30" i="6" s="1"/>
  <c r="N82" i="6"/>
  <c r="G92" i="6"/>
  <c r="I97" i="6"/>
  <c r="K97" i="6"/>
  <c r="G97" i="6"/>
  <c r="E97" i="6"/>
  <c r="F97" i="6" s="1"/>
  <c r="I103" i="6"/>
  <c r="N103" i="6"/>
  <c r="K103" i="6"/>
  <c r="E103" i="6"/>
  <c r="F103" i="6" s="1"/>
  <c r="I112" i="6"/>
  <c r="N112" i="6"/>
  <c r="K112" i="6"/>
  <c r="L112" i="6" s="1"/>
  <c r="G112" i="6"/>
  <c r="H112" i="6" s="1"/>
  <c r="L116" i="6"/>
  <c r="H116" i="6"/>
  <c r="I124" i="6"/>
  <c r="N124" i="6"/>
  <c r="K124" i="6"/>
  <c r="G124" i="6"/>
  <c r="E124" i="6"/>
  <c r="F124" i="6" s="1"/>
  <c r="E136" i="6"/>
  <c r="F136" i="6" s="1"/>
  <c r="U403" i="1"/>
  <c r="U27" i="5" s="1"/>
  <c r="Y402" i="1"/>
  <c r="AA402" i="1" s="1"/>
  <c r="AA26" i="5" s="1"/>
  <c r="E336" i="7"/>
  <c r="E186" i="7"/>
  <c r="F186" i="7" s="1"/>
  <c r="E36" i="7"/>
  <c r="E6" i="7"/>
  <c r="E352" i="7"/>
  <c r="F352" i="7" s="1"/>
  <c r="E292" i="7"/>
  <c r="F292" i="7" s="1"/>
  <c r="E322" i="7"/>
  <c r="F322" i="7" s="1"/>
  <c r="E172" i="7"/>
  <c r="F172" i="7" s="1"/>
  <c r="E202" i="7"/>
  <c r="F202" i="7" s="1"/>
  <c r="E338" i="8"/>
  <c r="E218" i="8"/>
  <c r="E188" i="8"/>
  <c r="F188" i="8" s="1"/>
  <c r="E98" i="8"/>
  <c r="F98" i="8" s="1"/>
  <c r="E68" i="8"/>
  <c r="E8" i="8"/>
  <c r="F8" i="8" s="1"/>
  <c r="E324" i="8"/>
  <c r="E84" i="8"/>
  <c r="F84" i="8" s="1"/>
  <c r="E24" i="8"/>
  <c r="I11" i="6"/>
  <c r="I17" i="6"/>
  <c r="K20" i="6"/>
  <c r="E25" i="6"/>
  <c r="F25" i="6" s="1"/>
  <c r="I25" i="6"/>
  <c r="G25" i="6"/>
  <c r="K28" i="6"/>
  <c r="E57" i="6"/>
  <c r="F57" i="6" s="1"/>
  <c r="I57" i="6"/>
  <c r="G57" i="6"/>
  <c r="L86" i="6"/>
  <c r="H86" i="6"/>
  <c r="L121" i="6"/>
  <c r="H121" i="6"/>
  <c r="I129" i="6"/>
  <c r="N129" i="6"/>
  <c r="K129" i="6"/>
  <c r="L129" i="6" s="1"/>
  <c r="G129" i="6"/>
  <c r="H129" i="6" s="1"/>
  <c r="I182" i="6"/>
  <c r="G182" i="6"/>
  <c r="N182" i="6"/>
  <c r="K182" i="6"/>
  <c r="E182" i="6"/>
  <c r="F182" i="6" s="1"/>
  <c r="L228" i="6"/>
  <c r="H228" i="6"/>
  <c r="E32" i="6"/>
  <c r="F32" i="6" s="1"/>
  <c r="N32" i="6"/>
  <c r="G35" i="6"/>
  <c r="E35" i="6"/>
  <c r="F35" i="6" s="1"/>
  <c r="I40" i="6"/>
  <c r="G40" i="6"/>
  <c r="E40" i="6"/>
  <c r="F40" i="6" s="1"/>
  <c r="I45" i="6"/>
  <c r="G45" i="6"/>
  <c r="E45" i="6"/>
  <c r="F45" i="6" s="1"/>
  <c r="I71" i="6"/>
  <c r="L168" i="6"/>
  <c r="H168" i="6"/>
  <c r="I204" i="6"/>
  <c r="N204" i="6"/>
  <c r="G204" i="6"/>
  <c r="L213" i="6"/>
  <c r="H213" i="6"/>
  <c r="I91" i="6"/>
  <c r="N91" i="6"/>
  <c r="I119" i="6"/>
  <c r="N119" i="6"/>
  <c r="K119" i="6"/>
  <c r="N164" i="6"/>
  <c r="N168" i="6"/>
  <c r="N172" i="6"/>
  <c r="N176" i="6"/>
  <c r="N185" i="6"/>
  <c r="K185" i="6"/>
  <c r="G185" i="6"/>
  <c r="I185" i="6"/>
  <c r="F187" i="6"/>
  <c r="N39" i="6"/>
  <c r="I61" i="6"/>
  <c r="E61" i="6"/>
  <c r="F61" i="6" s="1"/>
  <c r="E73" i="6"/>
  <c r="F73" i="6" s="1"/>
  <c r="I144" i="6"/>
  <c r="E151" i="6"/>
  <c r="F151" i="6" s="1"/>
  <c r="N159" i="6"/>
  <c r="K204" i="6"/>
  <c r="L243" i="6"/>
  <c r="H243" i="6"/>
  <c r="I69" i="6"/>
  <c r="E69" i="6"/>
  <c r="F69" i="6" s="1"/>
  <c r="I81" i="6"/>
  <c r="E81" i="6"/>
  <c r="F81" i="6" s="1"/>
  <c r="I99" i="6"/>
  <c r="N99" i="6"/>
  <c r="K99" i="6"/>
  <c r="L99" i="6" s="1"/>
  <c r="E131" i="6"/>
  <c r="F131" i="6" s="1"/>
  <c r="L153" i="6"/>
  <c r="H153" i="6"/>
  <c r="H211" i="6"/>
  <c r="J241" i="6"/>
  <c r="M241" i="6" s="1"/>
  <c r="P241" i="6" s="1"/>
  <c r="O241" i="6"/>
  <c r="E3" i="7"/>
  <c r="C42" i="5"/>
  <c r="B42" i="5" s="1"/>
  <c r="E334" i="7"/>
  <c r="F334" i="7" s="1"/>
  <c r="E274" i="7"/>
  <c r="F274" i="7" s="1"/>
  <c r="E304" i="7"/>
  <c r="F304" i="7" s="1"/>
  <c r="E214" i="7"/>
  <c r="E124" i="7"/>
  <c r="F124" i="7" s="1"/>
  <c r="E4" i="7"/>
  <c r="E290" i="7"/>
  <c r="F290" i="7" s="1"/>
  <c r="E350" i="7"/>
  <c r="F350" i="7" s="1"/>
  <c r="E320" i="7"/>
  <c r="F320" i="7" s="1"/>
  <c r="E200" i="7"/>
  <c r="F200" i="7" s="1"/>
  <c r="E230" i="7"/>
  <c r="E140" i="7"/>
  <c r="F140" i="7" s="1"/>
  <c r="E20" i="7"/>
  <c r="E80" i="7"/>
  <c r="F80" i="7" s="1"/>
  <c r="E186" i="8"/>
  <c r="F186" i="8" s="1"/>
  <c r="E96" i="8"/>
  <c r="E36" i="8"/>
  <c r="E172" i="8"/>
  <c r="F172" i="8" s="1"/>
  <c r="E202" i="8"/>
  <c r="F202" i="8" s="1"/>
  <c r="E82" i="8"/>
  <c r="F82" i="8" s="1"/>
  <c r="G18" i="6"/>
  <c r="N50" i="6"/>
  <c r="I77" i="6"/>
  <c r="E77" i="6"/>
  <c r="F77" i="6" s="1"/>
  <c r="E91" i="6"/>
  <c r="F91" i="6" s="1"/>
  <c r="I94" i="6"/>
  <c r="G94" i="6"/>
  <c r="E94" i="6"/>
  <c r="F94" i="6" s="1"/>
  <c r="E104" i="6"/>
  <c r="F104" i="6" s="1"/>
  <c r="E109" i="6"/>
  <c r="F109" i="6" s="1"/>
  <c r="E119" i="6"/>
  <c r="F119" i="6" s="1"/>
  <c r="I128" i="6"/>
  <c r="E133" i="6"/>
  <c r="F133" i="6" s="1"/>
  <c r="N135" i="6"/>
  <c r="I148" i="6"/>
  <c r="E185" i="6"/>
  <c r="F185" i="6" s="1"/>
  <c r="J197" i="6"/>
  <c r="M197" i="6" s="1"/>
  <c r="P197" i="6" s="1"/>
  <c r="O197" i="6"/>
  <c r="L209" i="6"/>
  <c r="K38" i="6"/>
  <c r="G65" i="6"/>
  <c r="H65" i="6" s="1"/>
  <c r="I84" i="6"/>
  <c r="K84" i="6"/>
  <c r="I96" i="6"/>
  <c r="I111" i="6"/>
  <c r="N111" i="6"/>
  <c r="K111" i="6"/>
  <c r="L144" i="6"/>
  <c r="H144" i="6"/>
  <c r="L157" i="6"/>
  <c r="H157" i="6"/>
  <c r="L161" i="6"/>
  <c r="H161" i="6"/>
  <c r="L163" i="6"/>
  <c r="H163" i="6"/>
  <c r="L167" i="6"/>
  <c r="H167" i="6"/>
  <c r="L171" i="6"/>
  <c r="H171" i="6"/>
  <c r="H175" i="6"/>
  <c r="H179" i="6"/>
  <c r="I188" i="6"/>
  <c r="N188" i="6"/>
  <c r="K188" i="6"/>
  <c r="G188" i="6"/>
  <c r="H195" i="6"/>
  <c r="L227" i="6"/>
  <c r="H227" i="6"/>
  <c r="L239" i="6"/>
  <c r="H239" i="6"/>
  <c r="I108" i="6"/>
  <c r="I123" i="6"/>
  <c r="N123" i="6"/>
  <c r="K123" i="6"/>
  <c r="L123" i="6" s="1"/>
  <c r="L128" i="6"/>
  <c r="H128" i="6"/>
  <c r="H135" i="6"/>
  <c r="L148" i="6"/>
  <c r="H148" i="6"/>
  <c r="L165" i="6"/>
  <c r="H165" i="6"/>
  <c r="L169" i="6"/>
  <c r="H169" i="6"/>
  <c r="L173" i="6"/>
  <c r="H173" i="6"/>
  <c r="L177" i="6"/>
  <c r="H177" i="6"/>
  <c r="L181" i="6"/>
  <c r="N186" i="6"/>
  <c r="I186" i="6"/>
  <c r="E186" i="6"/>
  <c r="F186" i="6" s="1"/>
  <c r="G186" i="6"/>
  <c r="F225" i="6"/>
  <c r="I132" i="6"/>
  <c r="N139" i="6"/>
  <c r="I156" i="6"/>
  <c r="L203" i="6"/>
  <c r="H203" i="6"/>
  <c r="L205" i="6"/>
  <c r="H205" i="6"/>
  <c r="F216" i="6"/>
  <c r="L252" i="6"/>
  <c r="H252" i="6"/>
  <c r="H137" i="6"/>
  <c r="H152" i="6"/>
  <c r="N250" i="6"/>
  <c r="I250" i="6"/>
  <c r="G250" i="6"/>
  <c r="E250" i="6"/>
  <c r="F250" i="6" s="1"/>
  <c r="K250" i="6"/>
  <c r="I196" i="6"/>
  <c r="K196" i="6"/>
  <c r="L196" i="6" s="1"/>
  <c r="G196" i="6"/>
  <c r="H196" i="6" s="1"/>
  <c r="N198" i="6"/>
  <c r="K198" i="6"/>
  <c r="G198" i="6"/>
  <c r="L219" i="6"/>
  <c r="H219" i="6"/>
  <c r="L221" i="6"/>
  <c r="H221" i="6"/>
  <c r="J233" i="6"/>
  <c r="M233" i="6" s="1"/>
  <c r="P233" i="6" s="1"/>
  <c r="O233" i="6"/>
  <c r="Q406" i="1"/>
  <c r="Q30" i="5" s="1"/>
  <c r="I38" i="6"/>
  <c r="K46" i="6"/>
  <c r="G46" i="6"/>
  <c r="K48" i="6"/>
  <c r="L48" i="6" s="1"/>
  <c r="N69" i="6"/>
  <c r="N73" i="6"/>
  <c r="N79" i="6"/>
  <c r="N81" i="6"/>
  <c r="I86" i="6"/>
  <c r="N94" i="6"/>
  <c r="I100" i="6"/>
  <c r="K101" i="6"/>
  <c r="L101" i="6" s="1"/>
  <c r="I115" i="6"/>
  <c r="N115" i="6"/>
  <c r="K115" i="6"/>
  <c r="L115" i="6" s="1"/>
  <c r="N116" i="6"/>
  <c r="N121" i="6"/>
  <c r="G123" i="6"/>
  <c r="H123" i="6" s="1"/>
  <c r="N128" i="6"/>
  <c r="E132" i="6"/>
  <c r="F132" i="6" s="1"/>
  <c r="K137" i="6"/>
  <c r="L137" i="6" s="1"/>
  <c r="E139" i="6"/>
  <c r="F139" i="6" s="1"/>
  <c r="N143" i="6"/>
  <c r="N148" i="6"/>
  <c r="E156" i="6"/>
  <c r="F156" i="6" s="1"/>
  <c r="N210" i="6"/>
  <c r="I210" i="6"/>
  <c r="E210" i="6"/>
  <c r="K210" i="6"/>
  <c r="G210" i="6"/>
  <c r="Z395" i="1"/>
  <c r="E312" i="7"/>
  <c r="F312" i="7" s="1"/>
  <c r="E102" i="7"/>
  <c r="F102" i="7" s="1"/>
  <c r="E238" i="7"/>
  <c r="E208" i="7"/>
  <c r="F208" i="7" s="1"/>
  <c r="E268" i="7"/>
  <c r="F268" i="7" s="1"/>
  <c r="E178" i="7"/>
  <c r="F178" i="7" s="1"/>
  <c r="E118" i="7"/>
  <c r="F118" i="7" s="1"/>
  <c r="E148" i="7"/>
  <c r="F148" i="7" s="1"/>
  <c r="E194" i="8"/>
  <c r="F194" i="8" s="1"/>
  <c r="E164" i="8"/>
  <c r="F164" i="8" s="1"/>
  <c r="E104" i="8"/>
  <c r="E330" i="8"/>
  <c r="E270" i="8"/>
  <c r="E180" i="8"/>
  <c r="F180" i="8" s="1"/>
  <c r="E150" i="8"/>
  <c r="F150" i="8" s="1"/>
  <c r="E60" i="8"/>
  <c r="F60" i="8" s="1"/>
  <c r="E90" i="8"/>
  <c r="F90" i="8" s="1"/>
  <c r="E30" i="8"/>
  <c r="C43" i="5"/>
  <c r="B43" i="5" s="1"/>
  <c r="I15" i="6"/>
  <c r="N29" i="6"/>
  <c r="N31" i="6"/>
  <c r="E41" i="6"/>
  <c r="F41" i="6" s="1"/>
  <c r="K54" i="6"/>
  <c r="G54" i="6"/>
  <c r="N84" i="6"/>
  <c r="I92" i="6"/>
  <c r="K96" i="6"/>
  <c r="G108" i="6"/>
  <c r="H108" i="6" s="1"/>
  <c r="G113" i="6"/>
  <c r="H113" i="6" s="1"/>
  <c r="N127" i="6"/>
  <c r="G132" i="6"/>
  <c r="I136" i="6"/>
  <c r="N137" i="6"/>
  <c r="K152" i="6"/>
  <c r="L152" i="6" s="1"/>
  <c r="G156" i="6"/>
  <c r="E160" i="6"/>
  <c r="F160" i="6" s="1"/>
  <c r="K186" i="6"/>
  <c r="F210" i="6"/>
  <c r="L259" i="6"/>
  <c r="H259" i="6"/>
  <c r="I98" i="6"/>
  <c r="I102" i="6"/>
  <c r="I106" i="6"/>
  <c r="I110" i="6"/>
  <c r="I114" i="6"/>
  <c r="I118" i="6"/>
  <c r="I122" i="6"/>
  <c r="I126" i="6"/>
  <c r="I130" i="6"/>
  <c r="I134" i="6"/>
  <c r="I138" i="6"/>
  <c r="I142" i="6"/>
  <c r="I146" i="6"/>
  <c r="I150" i="6"/>
  <c r="I154" i="6"/>
  <c r="I158" i="6"/>
  <c r="I162" i="6"/>
  <c r="I166" i="6"/>
  <c r="I170" i="6"/>
  <c r="I174" i="6"/>
  <c r="I178" i="6"/>
  <c r="E191" i="6"/>
  <c r="F191" i="6" s="1"/>
  <c r="N193" i="6"/>
  <c r="K193" i="6"/>
  <c r="G193" i="6"/>
  <c r="E204" i="6"/>
  <c r="F204" i="6" s="1"/>
  <c r="G208" i="6"/>
  <c r="K220" i="6"/>
  <c r="L237" i="6"/>
  <c r="H237" i="6"/>
  <c r="G305" i="6"/>
  <c r="E305" i="6"/>
  <c r="F305" i="6" s="1"/>
  <c r="N305" i="6"/>
  <c r="I305" i="6"/>
  <c r="K305" i="6"/>
  <c r="N258" i="6"/>
  <c r="I258" i="6"/>
  <c r="G258" i="6"/>
  <c r="E258" i="6"/>
  <c r="F258" i="6" s="1"/>
  <c r="G290" i="6"/>
  <c r="E290" i="6"/>
  <c r="F290" i="6" s="1"/>
  <c r="N290" i="6"/>
  <c r="K290" i="6"/>
  <c r="I290" i="6"/>
  <c r="K12" i="7"/>
  <c r="G12" i="7"/>
  <c r="N12" i="7"/>
  <c r="I12" i="7"/>
  <c r="E12" i="7"/>
  <c r="I88" i="6"/>
  <c r="K191" i="6"/>
  <c r="N201" i="6"/>
  <c r="K201" i="6"/>
  <c r="G201" i="6"/>
  <c r="K216" i="6"/>
  <c r="I216" i="6"/>
  <c r="E216" i="6"/>
  <c r="I222" i="6"/>
  <c r="E222" i="6"/>
  <c r="F222" i="6" s="1"/>
  <c r="F230" i="6"/>
  <c r="L264" i="6"/>
  <c r="K269" i="6"/>
  <c r="I269" i="6"/>
  <c r="G269" i="6"/>
  <c r="E269" i="6"/>
  <c r="F269" i="6" s="1"/>
  <c r="N269" i="6"/>
  <c r="I93" i="6"/>
  <c r="E98" i="6"/>
  <c r="F98" i="6" s="1"/>
  <c r="E102" i="6"/>
  <c r="F102" i="6" s="1"/>
  <c r="C10" i="10" s="1"/>
  <c r="F10" i="10" s="1"/>
  <c r="E106" i="6"/>
  <c r="F106" i="6" s="1"/>
  <c r="E110" i="6"/>
  <c r="F110" i="6" s="1"/>
  <c r="E114" i="6"/>
  <c r="F114" i="6" s="1"/>
  <c r="E118" i="6"/>
  <c r="F118" i="6" s="1"/>
  <c r="E122" i="6"/>
  <c r="F122" i="6" s="1"/>
  <c r="E126" i="6"/>
  <c r="F126" i="6" s="1"/>
  <c r="K127" i="6"/>
  <c r="L127" i="6" s="1"/>
  <c r="E130" i="6"/>
  <c r="F130" i="6" s="1"/>
  <c r="K131" i="6"/>
  <c r="E134" i="6"/>
  <c r="F134" i="6" s="1"/>
  <c r="K135" i="6"/>
  <c r="L135" i="6" s="1"/>
  <c r="E138" i="6"/>
  <c r="F138" i="6" s="1"/>
  <c r="K139" i="6"/>
  <c r="E142" i="6"/>
  <c r="F142" i="6" s="1"/>
  <c r="K143" i="6"/>
  <c r="L143" i="6" s="1"/>
  <c r="E146" i="6"/>
  <c r="F146" i="6" s="1"/>
  <c r="K147" i="6"/>
  <c r="E150" i="6"/>
  <c r="F150" i="6" s="1"/>
  <c r="K151" i="6"/>
  <c r="E154" i="6"/>
  <c r="F154" i="6" s="1"/>
  <c r="K155" i="6"/>
  <c r="L155" i="6" s="1"/>
  <c r="E158" i="6"/>
  <c r="F158" i="6" s="1"/>
  <c r="K159" i="6"/>
  <c r="L159" i="6" s="1"/>
  <c r="E162" i="6"/>
  <c r="F162" i="6" s="1"/>
  <c r="K163" i="6"/>
  <c r="E166" i="6"/>
  <c r="F166" i="6" s="1"/>
  <c r="K167" i="6"/>
  <c r="E170" i="6"/>
  <c r="F170" i="6" s="1"/>
  <c r="K171" i="6"/>
  <c r="E174" i="6"/>
  <c r="F174" i="6" s="1"/>
  <c r="K175" i="6"/>
  <c r="L175" i="6" s="1"/>
  <c r="E178" i="6"/>
  <c r="F178" i="6" s="1"/>
  <c r="K179" i="6"/>
  <c r="L179" i="6" s="1"/>
  <c r="I190" i="6"/>
  <c r="E190" i="6"/>
  <c r="F190" i="6" s="1"/>
  <c r="N191" i="6"/>
  <c r="E193" i="6"/>
  <c r="F193" i="6" s="1"/>
  <c r="L207" i="6"/>
  <c r="H207" i="6"/>
  <c r="K258" i="6"/>
  <c r="H260" i="6"/>
  <c r="I181" i="6"/>
  <c r="G181" i="6"/>
  <c r="H181" i="6" s="1"/>
  <c r="G222" i="6"/>
  <c r="L247" i="6"/>
  <c r="H247" i="6"/>
  <c r="H262" i="6"/>
  <c r="L262" i="6"/>
  <c r="E221" i="7"/>
  <c r="E281" i="7"/>
  <c r="F281" i="7" s="1"/>
  <c r="E191" i="7"/>
  <c r="F191" i="7" s="1"/>
  <c r="E11" i="7"/>
  <c r="F11" i="7" s="1"/>
  <c r="E237" i="7"/>
  <c r="E57" i="7"/>
  <c r="E207" i="7"/>
  <c r="F207" i="7" s="1"/>
  <c r="E103" i="8"/>
  <c r="E73" i="8"/>
  <c r="F73" i="8" s="1"/>
  <c r="E299" i="8"/>
  <c r="F299" i="8" s="1"/>
  <c r="E269" i="8"/>
  <c r="E149" i="8"/>
  <c r="E179" i="8"/>
  <c r="F179" i="8" s="1"/>
  <c r="E89" i="8"/>
  <c r="F89" i="8" s="1"/>
  <c r="E59" i="8"/>
  <c r="F59" i="8" s="1"/>
  <c r="I87" i="6"/>
  <c r="E88" i="6"/>
  <c r="F88" i="6" s="1"/>
  <c r="G98" i="6"/>
  <c r="G102" i="6"/>
  <c r="G106" i="6"/>
  <c r="G110" i="6"/>
  <c r="G114" i="6"/>
  <c r="G118" i="6"/>
  <c r="G122" i="6"/>
  <c r="G126" i="6"/>
  <c r="G130" i="6"/>
  <c r="G134" i="6"/>
  <c r="G138" i="6"/>
  <c r="G142" i="6"/>
  <c r="G146" i="6"/>
  <c r="G150" i="6"/>
  <c r="G154" i="6"/>
  <c r="G158" i="6"/>
  <c r="G162" i="6"/>
  <c r="G166" i="6"/>
  <c r="G170" i="6"/>
  <c r="G174" i="6"/>
  <c r="G178" i="6"/>
  <c r="K184" i="6"/>
  <c r="I184" i="6"/>
  <c r="E184" i="6"/>
  <c r="F184" i="6" s="1"/>
  <c r="I198" i="6"/>
  <c r="E198" i="6"/>
  <c r="F198" i="6" s="1"/>
  <c r="E201" i="6"/>
  <c r="F201" i="6" s="1"/>
  <c r="G216" i="6"/>
  <c r="N234" i="6"/>
  <c r="I234" i="6"/>
  <c r="G234" i="6"/>
  <c r="E234" i="6"/>
  <c r="F234" i="6" s="1"/>
  <c r="F236" i="6"/>
  <c r="L245" i="6"/>
  <c r="H245" i="6"/>
  <c r="N267" i="6"/>
  <c r="I267" i="6"/>
  <c r="E267" i="6"/>
  <c r="F267" i="6" s="1"/>
  <c r="G267" i="6"/>
  <c r="E212" i="6"/>
  <c r="F212" i="6" s="1"/>
  <c r="I212" i="6"/>
  <c r="N218" i="6"/>
  <c r="I218" i="6"/>
  <c r="E218" i="6"/>
  <c r="F218" i="6" s="1"/>
  <c r="L251" i="6"/>
  <c r="H251" i="6"/>
  <c r="G277" i="6"/>
  <c r="N277" i="6"/>
  <c r="K277" i="6"/>
  <c r="K178" i="6"/>
  <c r="K192" i="6"/>
  <c r="I192" i="6"/>
  <c r="E192" i="6"/>
  <c r="F192" i="6" s="1"/>
  <c r="N216" i="6"/>
  <c r="K224" i="6"/>
  <c r="I224" i="6"/>
  <c r="E224" i="6"/>
  <c r="F224" i="6" s="1"/>
  <c r="L255" i="6"/>
  <c r="H255" i="6"/>
  <c r="N285" i="6"/>
  <c r="K285" i="6"/>
  <c r="F63" i="7"/>
  <c r="I206" i="6"/>
  <c r="E206" i="6"/>
  <c r="L215" i="6"/>
  <c r="H215" i="6"/>
  <c r="N222" i="6"/>
  <c r="J249" i="6"/>
  <c r="M249" i="6" s="1"/>
  <c r="P249" i="6" s="1"/>
  <c r="O249" i="6"/>
  <c r="O265" i="6"/>
  <c r="E282" i="6"/>
  <c r="F282" i="6" s="1"/>
  <c r="G282" i="6"/>
  <c r="N282" i="6"/>
  <c r="K282" i="6"/>
  <c r="I282" i="6"/>
  <c r="I29" i="7"/>
  <c r="G29" i="7"/>
  <c r="E29" i="7"/>
  <c r="N170" i="6"/>
  <c r="N174" i="6"/>
  <c r="N178" i="6"/>
  <c r="I195" i="6"/>
  <c r="K200" i="6"/>
  <c r="I200" i="6"/>
  <c r="E200" i="6"/>
  <c r="F200" i="6" s="1"/>
  <c r="F206" i="6"/>
  <c r="G212" i="6"/>
  <c r="G218" i="6"/>
  <c r="L253" i="6"/>
  <c r="H270" i="6"/>
  <c r="L270" i="6"/>
  <c r="K93" i="6"/>
  <c r="I183" i="6"/>
  <c r="G183" i="6"/>
  <c r="N190" i="6"/>
  <c r="N194" i="6"/>
  <c r="I194" i="6"/>
  <c r="E194" i="6"/>
  <c r="F194" i="6" s="1"/>
  <c r="K195" i="6"/>
  <c r="L195" i="6" s="1"/>
  <c r="G206" i="6"/>
  <c r="N226" i="6"/>
  <c r="I226" i="6"/>
  <c r="E226" i="6"/>
  <c r="F226" i="6" s="1"/>
  <c r="L229" i="6"/>
  <c r="M229" i="6" s="1"/>
  <c r="P229" i="6" s="1"/>
  <c r="L231" i="6"/>
  <c r="H231" i="6"/>
  <c r="N242" i="6"/>
  <c r="I242" i="6"/>
  <c r="G242" i="6"/>
  <c r="E242" i="6"/>
  <c r="K212" i="6"/>
  <c r="K218" i="6"/>
  <c r="E220" i="6"/>
  <c r="F220" i="6" s="1"/>
  <c r="I220" i="6"/>
  <c r="J229" i="6"/>
  <c r="O229" i="6"/>
  <c r="F242" i="6"/>
  <c r="J257" i="6"/>
  <c r="M257" i="6" s="1"/>
  <c r="P257" i="6" s="1"/>
  <c r="O257" i="6"/>
  <c r="L265" i="6"/>
  <c r="I127" i="6"/>
  <c r="I131" i="6"/>
  <c r="I135" i="6"/>
  <c r="I139" i="6"/>
  <c r="I143" i="6"/>
  <c r="I147" i="6"/>
  <c r="I151" i="6"/>
  <c r="I155" i="6"/>
  <c r="I159" i="6"/>
  <c r="I163" i="6"/>
  <c r="I167" i="6"/>
  <c r="I171" i="6"/>
  <c r="I175" i="6"/>
  <c r="I179" i="6"/>
  <c r="E188" i="6"/>
  <c r="F188" i="6" s="1"/>
  <c r="N202" i="6"/>
  <c r="I202" i="6"/>
  <c r="E202" i="6"/>
  <c r="F202" i="6" s="1"/>
  <c r="K206" i="6"/>
  <c r="K242" i="6"/>
  <c r="H244" i="6"/>
  <c r="L261" i="6"/>
  <c r="K208" i="6"/>
  <c r="I208" i="6"/>
  <c r="E208" i="6"/>
  <c r="F208" i="6" s="1"/>
  <c r="N212" i="6"/>
  <c r="I214" i="6"/>
  <c r="E214" i="6"/>
  <c r="F214" i="6" s="1"/>
  <c r="F223" i="6"/>
  <c r="L235" i="6"/>
  <c r="H235" i="6"/>
  <c r="E44" i="7"/>
  <c r="F44" i="7" s="1"/>
  <c r="H253" i="6"/>
  <c r="H261" i="6"/>
  <c r="E285" i="6"/>
  <c r="F285" i="6" s="1"/>
  <c r="I285" i="6"/>
  <c r="E288" i="6"/>
  <c r="F288" i="6" s="1"/>
  <c r="I288" i="6"/>
  <c r="G288" i="6"/>
  <c r="G293" i="6"/>
  <c r="E293" i="6"/>
  <c r="F293" i="6" s="1"/>
  <c r="N293" i="6"/>
  <c r="I293" i="6"/>
  <c r="K296" i="6"/>
  <c r="G310" i="6"/>
  <c r="E310" i="6"/>
  <c r="F310" i="6" s="1"/>
  <c r="G329" i="6"/>
  <c r="E329" i="6"/>
  <c r="F329" i="6" s="1"/>
  <c r="N329" i="6"/>
  <c r="K329" i="6"/>
  <c r="I329" i="6"/>
  <c r="G345" i="6"/>
  <c r="E345" i="6"/>
  <c r="F345" i="6" s="1"/>
  <c r="N345" i="6"/>
  <c r="K345" i="6"/>
  <c r="I345" i="6"/>
  <c r="F14" i="7"/>
  <c r="K19" i="7"/>
  <c r="G19" i="7"/>
  <c r="N19" i="7"/>
  <c r="I19" i="7"/>
  <c r="I33" i="7"/>
  <c r="G33" i="7"/>
  <c r="E33" i="7"/>
  <c r="F33" i="7" s="1"/>
  <c r="N33" i="7"/>
  <c r="F57" i="7"/>
  <c r="N63" i="7"/>
  <c r="I63" i="7"/>
  <c r="E63" i="7"/>
  <c r="I228" i="6"/>
  <c r="I236" i="6"/>
  <c r="I244" i="6"/>
  <c r="I252" i="6"/>
  <c r="I260" i="6"/>
  <c r="E263" i="6"/>
  <c r="F263" i="6" s="1"/>
  <c r="N263" i="6"/>
  <c r="I264" i="6"/>
  <c r="I271" i="6"/>
  <c r="I274" i="6"/>
  <c r="E279" i="6"/>
  <c r="F279" i="6" s="1"/>
  <c r="N279" i="6"/>
  <c r="N280" i="6"/>
  <c r="K298" i="6"/>
  <c r="G326" i="6"/>
  <c r="E326" i="6"/>
  <c r="F326" i="6" s="1"/>
  <c r="G342" i="6"/>
  <c r="E342" i="6"/>
  <c r="F342" i="6" s="1"/>
  <c r="G349" i="6"/>
  <c r="E349" i="6"/>
  <c r="F349" i="6" s="1"/>
  <c r="N349" i="6"/>
  <c r="K349" i="6"/>
  <c r="I349" i="6"/>
  <c r="K4" i="7"/>
  <c r="G4" i="7"/>
  <c r="F10" i="7"/>
  <c r="E19" i="7"/>
  <c r="F19" i="7" s="1"/>
  <c r="N22" i="7"/>
  <c r="K22" i="7"/>
  <c r="I22" i="7"/>
  <c r="E22" i="7"/>
  <c r="F29" i="7"/>
  <c r="K33" i="7"/>
  <c r="G63" i="7"/>
  <c r="N74" i="7"/>
  <c r="K74" i="7"/>
  <c r="I74" i="7"/>
  <c r="G74" i="7"/>
  <c r="E74" i="7"/>
  <c r="F74" i="7" s="1"/>
  <c r="N331" i="7"/>
  <c r="K331" i="7"/>
  <c r="E331" i="7"/>
  <c r="F331" i="7" s="1"/>
  <c r="G331" i="7"/>
  <c r="I331" i="7"/>
  <c r="N74" i="8"/>
  <c r="I74" i="8"/>
  <c r="G74" i="8"/>
  <c r="E74" i="8"/>
  <c r="F74" i="8" s="1"/>
  <c r="K74" i="8"/>
  <c r="G285" i="6"/>
  <c r="K288" i="6"/>
  <c r="G302" i="6"/>
  <c r="E302" i="6"/>
  <c r="F302" i="6" s="1"/>
  <c r="I310" i="6"/>
  <c r="G317" i="6"/>
  <c r="E317" i="6"/>
  <c r="F317" i="6" s="1"/>
  <c r="N317" i="6"/>
  <c r="K317" i="6"/>
  <c r="I317" i="6"/>
  <c r="G333" i="6"/>
  <c r="E333" i="6"/>
  <c r="F333" i="6" s="1"/>
  <c r="N333" i="6"/>
  <c r="K333" i="6"/>
  <c r="I333" i="6"/>
  <c r="F12" i="7"/>
  <c r="K63" i="7"/>
  <c r="G100" i="7"/>
  <c r="E100" i="7"/>
  <c r="F100" i="7" s="1"/>
  <c r="I100" i="7"/>
  <c r="E273" i="6"/>
  <c r="F273" i="6" s="1"/>
  <c r="G273" i="6"/>
  <c r="H287" i="6"/>
  <c r="K293" i="6"/>
  <c r="K310" i="6"/>
  <c r="F22" i="7"/>
  <c r="K39" i="7"/>
  <c r="I39" i="7"/>
  <c r="G297" i="6"/>
  <c r="E297" i="6"/>
  <c r="F297" i="6" s="1"/>
  <c r="N297" i="6"/>
  <c r="I297" i="6"/>
  <c r="G314" i="6"/>
  <c r="E314" i="6"/>
  <c r="F314" i="6" s="1"/>
  <c r="G353" i="6"/>
  <c r="E353" i="6"/>
  <c r="F353" i="6" s="1"/>
  <c r="N353" i="6"/>
  <c r="K353" i="6"/>
  <c r="I353" i="6"/>
  <c r="F6" i="7"/>
  <c r="K20" i="7"/>
  <c r="G20" i="7"/>
  <c r="I20" i="7"/>
  <c r="E288" i="7"/>
  <c r="F288" i="7" s="1"/>
  <c r="E258" i="7"/>
  <c r="F258" i="7" s="1"/>
  <c r="E228" i="7"/>
  <c r="E138" i="7"/>
  <c r="F138" i="7" s="1"/>
  <c r="E334" i="8"/>
  <c r="E94" i="8"/>
  <c r="F94" i="8" s="1"/>
  <c r="E64" i="8"/>
  <c r="E4" i="8"/>
  <c r="E290" i="8"/>
  <c r="E170" i="8"/>
  <c r="F170" i="8" s="1"/>
  <c r="E80" i="8"/>
  <c r="F80" i="8" s="1"/>
  <c r="D364" i="6"/>
  <c r="G209" i="6"/>
  <c r="H209" i="6" s="1"/>
  <c r="G217" i="6"/>
  <c r="H217" i="6" s="1"/>
  <c r="E232" i="6"/>
  <c r="F232" i="6" s="1"/>
  <c r="E240" i="6"/>
  <c r="F240" i="6" s="1"/>
  <c r="E248" i="6"/>
  <c r="F248" i="6" s="1"/>
  <c r="E256" i="6"/>
  <c r="F256" i="6" s="1"/>
  <c r="G263" i="6"/>
  <c r="H276" i="6"/>
  <c r="I279" i="6"/>
  <c r="E284" i="6"/>
  <c r="F284" i="6" s="1"/>
  <c r="N284" i="6"/>
  <c r="I284" i="6"/>
  <c r="N288" i="6"/>
  <c r="N310" i="6"/>
  <c r="I326" i="6"/>
  <c r="G330" i="6"/>
  <c r="E330" i="6"/>
  <c r="F330" i="6" s="1"/>
  <c r="I342" i="6"/>
  <c r="G346" i="6"/>
  <c r="E346" i="6"/>
  <c r="F346" i="6" s="1"/>
  <c r="K13" i="7"/>
  <c r="G13" i="7"/>
  <c r="E13" i="7"/>
  <c r="N25" i="7"/>
  <c r="I25" i="7"/>
  <c r="G25" i="7"/>
  <c r="G156" i="7"/>
  <c r="K156" i="7"/>
  <c r="I156" i="7"/>
  <c r="E156" i="7"/>
  <c r="F156" i="7" s="1"/>
  <c r="N156" i="7"/>
  <c r="G294" i="6"/>
  <c r="E294" i="6"/>
  <c r="F294" i="6" s="1"/>
  <c r="G309" i="6"/>
  <c r="E309" i="6"/>
  <c r="F309" i="6" s="1"/>
  <c r="N309" i="6"/>
  <c r="I309" i="6"/>
  <c r="G321" i="6"/>
  <c r="E321" i="6"/>
  <c r="F321" i="6" s="1"/>
  <c r="N321" i="6"/>
  <c r="K321" i="6"/>
  <c r="I321" i="6"/>
  <c r="G337" i="6"/>
  <c r="E337" i="6"/>
  <c r="F337" i="6" s="1"/>
  <c r="N337" i="6"/>
  <c r="K337" i="6"/>
  <c r="I337" i="6"/>
  <c r="G357" i="6"/>
  <c r="E357" i="6"/>
  <c r="F357" i="6" s="1"/>
  <c r="N357" i="6"/>
  <c r="K357" i="6"/>
  <c r="I357" i="6"/>
  <c r="G232" i="6"/>
  <c r="G240" i="6"/>
  <c r="G248" i="6"/>
  <c r="G256" i="6"/>
  <c r="I273" i="6"/>
  <c r="E275" i="6"/>
  <c r="F275" i="6" s="1"/>
  <c r="N275" i="6"/>
  <c r="K275" i="6"/>
  <c r="H281" i="6"/>
  <c r="I287" i="6"/>
  <c r="K302" i="6"/>
  <c r="F13" i="7"/>
  <c r="I27" i="7"/>
  <c r="G27" i="7"/>
  <c r="E27" i="7"/>
  <c r="N27" i="7"/>
  <c r="H266" i="6"/>
  <c r="L266" i="6"/>
  <c r="E272" i="6"/>
  <c r="F272" i="6" s="1"/>
  <c r="I272" i="6"/>
  <c r="G289" i="6"/>
  <c r="E289" i="6"/>
  <c r="F289" i="6" s="1"/>
  <c r="N289" i="6"/>
  <c r="I289" i="6"/>
  <c r="K292" i="6"/>
  <c r="G306" i="6"/>
  <c r="E306" i="6"/>
  <c r="F306" i="6" s="1"/>
  <c r="I314" i="6"/>
  <c r="N326" i="6"/>
  <c r="N342" i="6"/>
  <c r="G361" i="6"/>
  <c r="E361" i="6"/>
  <c r="F361" i="6" s="1"/>
  <c r="N361" i="6"/>
  <c r="K361" i="6"/>
  <c r="I361" i="6"/>
  <c r="K18" i="7"/>
  <c r="G18" i="7"/>
  <c r="N18" i="7"/>
  <c r="I18" i="7"/>
  <c r="E18" i="7"/>
  <c r="E25" i="7"/>
  <c r="G130" i="7"/>
  <c r="I130" i="7"/>
  <c r="N130" i="7"/>
  <c r="K130" i="7"/>
  <c r="E130" i="7"/>
  <c r="F130" i="7" s="1"/>
  <c r="E230" i="6"/>
  <c r="I232" i="6"/>
  <c r="E238" i="6"/>
  <c r="F238" i="6" s="1"/>
  <c r="I240" i="6"/>
  <c r="E246" i="6"/>
  <c r="F246" i="6" s="1"/>
  <c r="I248" i="6"/>
  <c r="E254" i="6"/>
  <c r="F254" i="6" s="1"/>
  <c r="I256" i="6"/>
  <c r="I265" i="6"/>
  <c r="J265" i="6" s="1"/>
  <c r="M265" i="6" s="1"/>
  <c r="P265" i="6" s="1"/>
  <c r="K273" i="6"/>
  <c r="E280" i="6"/>
  <c r="F280" i="6" s="1"/>
  <c r="G284" i="6"/>
  <c r="K287" i="6"/>
  <c r="L287" i="6" s="1"/>
  <c r="K297" i="6"/>
  <c r="N302" i="6"/>
  <c r="K314" i="6"/>
  <c r="G318" i="6"/>
  <c r="E318" i="6"/>
  <c r="F318" i="6" s="1"/>
  <c r="I330" i="6"/>
  <c r="G334" i="6"/>
  <c r="E334" i="6"/>
  <c r="F334" i="6" s="1"/>
  <c r="I346" i="6"/>
  <c r="K9" i="7"/>
  <c r="G9" i="7"/>
  <c r="N9" i="7"/>
  <c r="I9" i="7"/>
  <c r="N20" i="7"/>
  <c r="K37" i="7"/>
  <c r="F67" i="7"/>
  <c r="K268" i="6"/>
  <c r="G268" i="6"/>
  <c r="N273" i="6"/>
  <c r="I294" i="6"/>
  <c r="G301" i="6"/>
  <c r="E301" i="6"/>
  <c r="F301" i="6" s="1"/>
  <c r="N301" i="6"/>
  <c r="I301" i="6"/>
  <c r="K304" i="6"/>
  <c r="G325" i="6"/>
  <c r="E325" i="6"/>
  <c r="F325" i="6" s="1"/>
  <c r="N325" i="6"/>
  <c r="K325" i="6"/>
  <c r="I325" i="6"/>
  <c r="G341" i="6"/>
  <c r="E341" i="6"/>
  <c r="F341" i="6" s="1"/>
  <c r="N341" i="6"/>
  <c r="K341" i="6"/>
  <c r="I341" i="6"/>
  <c r="K346" i="6"/>
  <c r="F7" i="7"/>
  <c r="N13" i="7"/>
  <c r="I35" i="7"/>
  <c r="K35" i="7"/>
  <c r="N35" i="7"/>
  <c r="E35" i="7"/>
  <c r="F35" i="7" s="1"/>
  <c r="G37" i="7"/>
  <c r="E37" i="7"/>
  <c r="N37" i="7"/>
  <c r="I37" i="7"/>
  <c r="K48" i="7"/>
  <c r="G48" i="7"/>
  <c r="E48" i="7"/>
  <c r="F48" i="7" s="1"/>
  <c r="N48" i="7"/>
  <c r="G50" i="7"/>
  <c r="N78" i="7"/>
  <c r="K78" i="7"/>
  <c r="I78" i="7"/>
  <c r="G78" i="7"/>
  <c r="E78" i="7"/>
  <c r="F78" i="7" s="1"/>
  <c r="G230" i="6"/>
  <c r="G238" i="6"/>
  <c r="G246" i="6"/>
  <c r="G254" i="6"/>
  <c r="G275" i="6"/>
  <c r="E283" i="6"/>
  <c r="F283" i="6" s="1"/>
  <c r="K283" i="6"/>
  <c r="I283" i="6"/>
  <c r="K294" i="6"/>
  <c r="K309" i="6"/>
  <c r="N314" i="6"/>
  <c r="K3" i="7"/>
  <c r="G3" i="7"/>
  <c r="N3" i="7"/>
  <c r="I3" i="7"/>
  <c r="E107" i="7"/>
  <c r="F107" i="7" s="1"/>
  <c r="N110" i="7"/>
  <c r="K110" i="7"/>
  <c r="I110" i="7"/>
  <c r="E110" i="7"/>
  <c r="F110" i="7" s="1"/>
  <c r="G110" i="7"/>
  <c r="G298" i="6"/>
  <c r="E298" i="6"/>
  <c r="F298" i="6" s="1"/>
  <c r="G313" i="6"/>
  <c r="E313" i="6"/>
  <c r="F313" i="6" s="1"/>
  <c r="N313" i="6"/>
  <c r="I313" i="6"/>
  <c r="N346" i="6"/>
  <c r="K21" i="7"/>
  <c r="I21" i="7"/>
  <c r="G21" i="7"/>
  <c r="N21" i="7"/>
  <c r="E21" i="7"/>
  <c r="F21" i="7" s="1"/>
  <c r="K41" i="7"/>
  <c r="I41" i="7"/>
  <c r="E41" i="7"/>
  <c r="F41" i="7" s="1"/>
  <c r="N41" i="7"/>
  <c r="G41" i="7"/>
  <c r="I48" i="7"/>
  <c r="G264" i="6"/>
  <c r="H264" i="6" s="1"/>
  <c r="N266" i="6"/>
  <c r="E268" i="6"/>
  <c r="F268" i="6" s="1"/>
  <c r="E271" i="6"/>
  <c r="F271" i="6" s="1"/>
  <c r="K272" i="6"/>
  <c r="E274" i="6"/>
  <c r="F274" i="6" s="1"/>
  <c r="K274" i="6"/>
  <c r="G274" i="6"/>
  <c r="K289" i="6"/>
  <c r="N294" i="6"/>
  <c r="K306" i="6"/>
  <c r="G322" i="6"/>
  <c r="E322" i="6"/>
  <c r="F322" i="6" s="1"/>
  <c r="G338" i="6"/>
  <c r="E338" i="6"/>
  <c r="F338" i="6" s="1"/>
  <c r="D364" i="7"/>
  <c r="F3" i="7"/>
  <c r="G28" i="7"/>
  <c r="N46" i="7"/>
  <c r="K46" i="7"/>
  <c r="G46" i="7"/>
  <c r="E46" i="7"/>
  <c r="F46" i="7" s="1"/>
  <c r="F4" i="7"/>
  <c r="K10" i="7"/>
  <c r="G10" i="7"/>
  <c r="E17" i="7"/>
  <c r="F17" i="7" s="1"/>
  <c r="F20" i="7"/>
  <c r="E42" i="7"/>
  <c r="G122" i="7"/>
  <c r="N122" i="7"/>
  <c r="K122" i="7"/>
  <c r="I122" i="7"/>
  <c r="K16" i="7"/>
  <c r="G16" i="7"/>
  <c r="I50" i="7"/>
  <c r="E50" i="7"/>
  <c r="N50" i="7"/>
  <c r="E54" i="7"/>
  <c r="F54" i="7" s="1"/>
  <c r="E65" i="7"/>
  <c r="F65" i="7" s="1"/>
  <c r="N85" i="7"/>
  <c r="K85" i="7"/>
  <c r="I85" i="7"/>
  <c r="G85" i="7"/>
  <c r="E85" i="7"/>
  <c r="F85" i="7" s="1"/>
  <c r="N117" i="7"/>
  <c r="K117" i="7"/>
  <c r="I117" i="7"/>
  <c r="G117" i="7"/>
  <c r="E117" i="7"/>
  <c r="F117" i="7" s="1"/>
  <c r="N276" i="6"/>
  <c r="E278" i="6"/>
  <c r="F278" i="6" s="1"/>
  <c r="K6" i="7"/>
  <c r="G6" i="7"/>
  <c r="I10" i="7"/>
  <c r="F16" i="7"/>
  <c r="N29" i="7"/>
  <c r="K29" i="7"/>
  <c r="G39" i="7"/>
  <c r="N39" i="7"/>
  <c r="E39" i="7"/>
  <c r="F39" i="7" s="1"/>
  <c r="F50" i="7"/>
  <c r="E67" i="7"/>
  <c r="N105" i="7"/>
  <c r="K105" i="7"/>
  <c r="I105" i="7"/>
  <c r="G105" i="7"/>
  <c r="F105" i="7"/>
  <c r="E277" i="6"/>
  <c r="F277" i="6" s="1"/>
  <c r="G292" i="6"/>
  <c r="E292" i="6"/>
  <c r="F292" i="6" s="1"/>
  <c r="G296" i="6"/>
  <c r="E296" i="6"/>
  <c r="F296" i="6" s="1"/>
  <c r="G300" i="6"/>
  <c r="E300" i="6"/>
  <c r="F300" i="6" s="1"/>
  <c r="G304" i="6"/>
  <c r="E304" i="6"/>
  <c r="F304" i="6" s="1"/>
  <c r="G308" i="6"/>
  <c r="E308" i="6"/>
  <c r="F308" i="6" s="1"/>
  <c r="G312" i="6"/>
  <c r="E312" i="6"/>
  <c r="F312" i="6" s="1"/>
  <c r="G316" i="6"/>
  <c r="E316" i="6"/>
  <c r="F316" i="6" s="1"/>
  <c r="G320" i="6"/>
  <c r="E320" i="6"/>
  <c r="F320" i="6" s="1"/>
  <c r="G324" i="6"/>
  <c r="E324" i="6"/>
  <c r="F324" i="6" s="1"/>
  <c r="G328" i="6"/>
  <c r="E328" i="6"/>
  <c r="F328" i="6" s="1"/>
  <c r="G332" i="6"/>
  <c r="E332" i="6"/>
  <c r="F332" i="6" s="1"/>
  <c r="G336" i="6"/>
  <c r="E336" i="6"/>
  <c r="F336" i="6" s="1"/>
  <c r="G340" i="6"/>
  <c r="E340" i="6"/>
  <c r="F340" i="6" s="1"/>
  <c r="G344" i="6"/>
  <c r="E344" i="6"/>
  <c r="F344" i="6" s="1"/>
  <c r="G348" i="6"/>
  <c r="E348" i="6"/>
  <c r="F348" i="6" s="1"/>
  <c r="G352" i="6"/>
  <c r="E352" i="6"/>
  <c r="F352" i="6" s="1"/>
  <c r="G356" i="6"/>
  <c r="E356" i="6"/>
  <c r="F356" i="6" s="1"/>
  <c r="G360" i="6"/>
  <c r="E360" i="6"/>
  <c r="F360" i="6" s="1"/>
  <c r="F9" i="7"/>
  <c r="N10" i="7"/>
  <c r="K15" i="7"/>
  <c r="G15" i="7"/>
  <c r="F27" i="7"/>
  <c r="F37" i="7"/>
  <c r="N83" i="7"/>
  <c r="K83" i="7"/>
  <c r="N86" i="7"/>
  <c r="K86" i="7"/>
  <c r="K139" i="7"/>
  <c r="I139" i="7"/>
  <c r="K53" i="7"/>
  <c r="G53" i="7"/>
  <c r="K72" i="7"/>
  <c r="I72" i="7"/>
  <c r="G72" i="7"/>
  <c r="E72" i="7"/>
  <c r="N72" i="7"/>
  <c r="N96" i="7"/>
  <c r="K96" i="7"/>
  <c r="I96" i="7"/>
  <c r="G96" i="7"/>
  <c r="E96" i="7"/>
  <c r="F96" i="7" s="1"/>
  <c r="G125" i="7"/>
  <c r="E125" i="7"/>
  <c r="F125" i="7" s="1"/>
  <c r="N125" i="7"/>
  <c r="K125" i="7"/>
  <c r="I125" i="7"/>
  <c r="G162" i="7"/>
  <c r="E162" i="7"/>
  <c r="F162" i="7" s="1"/>
  <c r="N162" i="7"/>
  <c r="K162" i="7"/>
  <c r="K5" i="7"/>
  <c r="G5" i="7"/>
  <c r="F15" i="7"/>
  <c r="N16" i="7"/>
  <c r="E64" i="7"/>
  <c r="F64" i="7" s="1"/>
  <c r="E106" i="7"/>
  <c r="G108" i="7"/>
  <c r="E108" i="7"/>
  <c r="F108" i="7" s="1"/>
  <c r="I108" i="7"/>
  <c r="K8" i="7"/>
  <c r="G8" i="7"/>
  <c r="F18" i="7"/>
  <c r="N23" i="7"/>
  <c r="K23" i="7"/>
  <c r="E31" i="7"/>
  <c r="F31" i="7" s="1"/>
  <c r="N31" i="7"/>
  <c r="I34" i="7"/>
  <c r="E34" i="7"/>
  <c r="F34" i="7" s="1"/>
  <c r="K34" i="7"/>
  <c r="E53" i="7"/>
  <c r="F53" i="7" s="1"/>
  <c r="G86" i="7"/>
  <c r="K89" i="7"/>
  <c r="I89" i="7"/>
  <c r="G134" i="7"/>
  <c r="N134" i="7"/>
  <c r="I134" i="7"/>
  <c r="K134" i="7"/>
  <c r="E134" i="7"/>
  <c r="F134" i="7" s="1"/>
  <c r="G291" i="6"/>
  <c r="E291" i="6"/>
  <c r="F291" i="6" s="1"/>
  <c r="I292" i="6"/>
  <c r="G295" i="6"/>
  <c r="E295" i="6"/>
  <c r="F295" i="6" s="1"/>
  <c r="I296" i="6"/>
  <c r="G299" i="6"/>
  <c r="E299" i="6"/>
  <c r="F299" i="6" s="1"/>
  <c r="I300" i="6"/>
  <c r="G303" i="6"/>
  <c r="E303" i="6"/>
  <c r="F303" i="6" s="1"/>
  <c r="I304" i="6"/>
  <c r="G307" i="6"/>
  <c r="E307" i="6"/>
  <c r="F307" i="6" s="1"/>
  <c r="I308" i="6"/>
  <c r="G311" i="6"/>
  <c r="E311" i="6"/>
  <c r="F311" i="6" s="1"/>
  <c r="I312" i="6"/>
  <c r="G315" i="6"/>
  <c r="E315" i="6"/>
  <c r="F315" i="6" s="1"/>
  <c r="I316" i="6"/>
  <c r="G319" i="6"/>
  <c r="E319" i="6"/>
  <c r="F319" i="6" s="1"/>
  <c r="I320" i="6"/>
  <c r="G323" i="6"/>
  <c r="E323" i="6"/>
  <c r="F323" i="6" s="1"/>
  <c r="I324" i="6"/>
  <c r="G327" i="6"/>
  <c r="E327" i="6"/>
  <c r="F327" i="6" s="1"/>
  <c r="I328" i="6"/>
  <c r="G331" i="6"/>
  <c r="E331" i="6"/>
  <c r="F331" i="6" s="1"/>
  <c r="I332" i="6"/>
  <c r="G335" i="6"/>
  <c r="E335" i="6"/>
  <c r="F335" i="6" s="1"/>
  <c r="I336" i="6"/>
  <c r="G339" i="6"/>
  <c r="E339" i="6"/>
  <c r="F339" i="6" s="1"/>
  <c r="I340" i="6"/>
  <c r="G343" i="6"/>
  <c r="E343" i="6"/>
  <c r="F343" i="6" s="1"/>
  <c r="I344" i="6"/>
  <c r="G347" i="6"/>
  <c r="E347" i="6"/>
  <c r="F347" i="6" s="1"/>
  <c r="I348" i="6"/>
  <c r="G351" i="6"/>
  <c r="E351" i="6"/>
  <c r="F351" i="6" s="1"/>
  <c r="I352" i="6"/>
  <c r="G355" i="6"/>
  <c r="E355" i="6"/>
  <c r="F355" i="6" s="1"/>
  <c r="I356" i="6"/>
  <c r="G359" i="6"/>
  <c r="E359" i="6"/>
  <c r="F359" i="6" s="1"/>
  <c r="I360" i="6"/>
  <c r="K11" i="7"/>
  <c r="G11" i="7"/>
  <c r="I15" i="7"/>
  <c r="G45" i="7"/>
  <c r="N45" i="7"/>
  <c r="I45" i="7"/>
  <c r="E45" i="7"/>
  <c r="F45" i="7" s="1"/>
  <c r="G55" i="7"/>
  <c r="E55" i="7"/>
  <c r="F55" i="7" s="1"/>
  <c r="K55" i="7"/>
  <c r="I55" i="7"/>
  <c r="I86" i="7"/>
  <c r="E97" i="7"/>
  <c r="F106" i="7"/>
  <c r="E144" i="7"/>
  <c r="F144" i="7" s="1"/>
  <c r="I162" i="7"/>
  <c r="I277" i="6"/>
  <c r="E286" i="6"/>
  <c r="F286" i="6" s="1"/>
  <c r="E5" i="7"/>
  <c r="F5" i="7" s="1"/>
  <c r="F8" i="7"/>
  <c r="K14" i="7"/>
  <c r="G14" i="7"/>
  <c r="E23" i="7"/>
  <c r="F23" i="7" s="1"/>
  <c r="K40" i="7"/>
  <c r="G40" i="7"/>
  <c r="I53" i="7"/>
  <c r="I66" i="7"/>
  <c r="E66" i="7"/>
  <c r="N66" i="7"/>
  <c r="K66" i="7"/>
  <c r="G66" i="7"/>
  <c r="F89" i="7"/>
  <c r="K108" i="7"/>
  <c r="I144" i="7"/>
  <c r="K17" i="7"/>
  <c r="G17" i="7"/>
  <c r="N28" i="7"/>
  <c r="I28" i="7"/>
  <c r="E28" i="7"/>
  <c r="F28" i="7" s="1"/>
  <c r="F36" i="7"/>
  <c r="N38" i="7"/>
  <c r="N60" i="7"/>
  <c r="K60" i="7"/>
  <c r="E60" i="7"/>
  <c r="F94" i="7"/>
  <c r="F97" i="7"/>
  <c r="N108" i="7"/>
  <c r="N69" i="7"/>
  <c r="K69" i="7"/>
  <c r="I69" i="7"/>
  <c r="G69" i="7"/>
  <c r="F92" i="7"/>
  <c r="N205" i="7"/>
  <c r="I205" i="7"/>
  <c r="K205" i="7"/>
  <c r="E205" i="7"/>
  <c r="F205" i="7" s="1"/>
  <c r="G350" i="6"/>
  <c r="E350" i="6"/>
  <c r="F350" i="6" s="1"/>
  <c r="G354" i="6"/>
  <c r="E354" i="6"/>
  <c r="F354" i="6" s="1"/>
  <c r="G358" i="6"/>
  <c r="E358" i="6"/>
  <c r="F358" i="6" s="1"/>
  <c r="G362" i="6"/>
  <c r="E362" i="6"/>
  <c r="F362" i="6" s="1"/>
  <c r="K7" i="7"/>
  <c r="G7" i="7"/>
  <c r="I23" i="7"/>
  <c r="E40" i="7"/>
  <c r="F40" i="7" s="1"/>
  <c r="F42" i="7"/>
  <c r="N53" i="7"/>
  <c r="N55" i="7"/>
  <c r="F60" i="7"/>
  <c r="N80" i="7"/>
  <c r="K80" i="7"/>
  <c r="I80" i="7"/>
  <c r="G80" i="7"/>
  <c r="I187" i="7"/>
  <c r="E187" i="7"/>
  <c r="F187" i="7" s="1"/>
  <c r="N187" i="7"/>
  <c r="K187" i="7"/>
  <c r="G252" i="7"/>
  <c r="N252" i="7"/>
  <c r="K252" i="7"/>
  <c r="I252" i="7"/>
  <c r="E252" i="7"/>
  <c r="F252" i="7" s="1"/>
  <c r="E113" i="7"/>
  <c r="F113" i="7" s="1"/>
  <c r="E115" i="7"/>
  <c r="F115" i="7" s="1"/>
  <c r="E128" i="7"/>
  <c r="F128" i="7" s="1"/>
  <c r="G137" i="7"/>
  <c r="E137" i="7"/>
  <c r="F137" i="7" s="1"/>
  <c r="N139" i="7"/>
  <c r="G158" i="7"/>
  <c r="E158" i="7"/>
  <c r="F158" i="7" s="1"/>
  <c r="N158" i="7"/>
  <c r="K158" i="7"/>
  <c r="G169" i="7"/>
  <c r="N169" i="7"/>
  <c r="K169" i="7"/>
  <c r="I169" i="7"/>
  <c r="E169" i="7"/>
  <c r="F169" i="7" s="1"/>
  <c r="E49" i="7"/>
  <c r="F49" i="7" s="1"/>
  <c r="N52" i="7"/>
  <c r="K54" i="7"/>
  <c r="K56" i="7"/>
  <c r="I56" i="7"/>
  <c r="G56" i="7"/>
  <c r="N61" i="7"/>
  <c r="K64" i="7"/>
  <c r="I83" i="7"/>
  <c r="G83" i="7"/>
  <c r="N94" i="7"/>
  <c r="K94" i="7"/>
  <c r="I94" i="7"/>
  <c r="G94" i="7"/>
  <c r="K120" i="7"/>
  <c r="E120" i="7"/>
  <c r="F120" i="7" s="1"/>
  <c r="G132" i="7"/>
  <c r="K132" i="7"/>
  <c r="E132" i="7"/>
  <c r="F132" i="7" s="1"/>
  <c r="E38" i="7"/>
  <c r="F38" i="7" s="1"/>
  <c r="E52" i="7"/>
  <c r="F52" i="7" s="1"/>
  <c r="E56" i="7"/>
  <c r="F56" i="7" s="1"/>
  <c r="E59" i="7"/>
  <c r="F59" i="7" s="1"/>
  <c r="N62" i="7"/>
  <c r="K62" i="7"/>
  <c r="F66" i="7"/>
  <c r="F72" i="7"/>
  <c r="E83" i="7"/>
  <c r="F83" i="7" s="1"/>
  <c r="G91" i="7"/>
  <c r="E94" i="7"/>
  <c r="I99" i="7"/>
  <c r="G99" i="7"/>
  <c r="G112" i="7"/>
  <c r="E112" i="7"/>
  <c r="G127" i="7"/>
  <c r="E127" i="7"/>
  <c r="F127" i="7" s="1"/>
  <c r="N127" i="7"/>
  <c r="N137" i="7"/>
  <c r="G167" i="7"/>
  <c r="I167" i="7"/>
  <c r="E167" i="7"/>
  <c r="F167" i="7" s="1"/>
  <c r="N167" i="7"/>
  <c r="K167" i="7"/>
  <c r="N178" i="7"/>
  <c r="I178" i="7"/>
  <c r="K178" i="7"/>
  <c r="N68" i="7"/>
  <c r="G77" i="7"/>
  <c r="E77" i="7"/>
  <c r="K88" i="7"/>
  <c r="I88" i="7"/>
  <c r="G88" i="7"/>
  <c r="E88" i="7"/>
  <c r="N90" i="7"/>
  <c r="I91" i="7"/>
  <c r="N101" i="7"/>
  <c r="N79" i="7"/>
  <c r="K79" i="7"/>
  <c r="F99" i="7"/>
  <c r="N109" i="7"/>
  <c r="K109" i="7"/>
  <c r="I109" i="7"/>
  <c r="F112" i="7"/>
  <c r="G154" i="7"/>
  <c r="I154" i="7"/>
  <c r="N154" i="7"/>
  <c r="K154" i="7"/>
  <c r="E154" i="7"/>
  <c r="F154" i="7" s="1"/>
  <c r="G163" i="7"/>
  <c r="K163" i="7"/>
  <c r="I163" i="7"/>
  <c r="E163" i="7"/>
  <c r="F163" i="7" s="1"/>
  <c r="I38" i="7"/>
  <c r="I52" i="7"/>
  <c r="I59" i="7"/>
  <c r="E62" i="7"/>
  <c r="F62" i="7" s="1"/>
  <c r="F77" i="7"/>
  <c r="I82" i="7"/>
  <c r="E82" i="7"/>
  <c r="F88" i="7"/>
  <c r="K91" i="7"/>
  <c r="E99" i="7"/>
  <c r="I112" i="7"/>
  <c r="E114" i="7"/>
  <c r="F114" i="7" s="1"/>
  <c r="G138" i="7"/>
  <c r="N138" i="7"/>
  <c r="K138" i="7"/>
  <c r="I138" i="7"/>
  <c r="G260" i="7"/>
  <c r="K260" i="7"/>
  <c r="E260" i="7"/>
  <c r="F260" i="7" s="1"/>
  <c r="I260" i="7"/>
  <c r="N260" i="7"/>
  <c r="N56" i="7"/>
  <c r="E58" i="7"/>
  <c r="F58" i="7" s="1"/>
  <c r="E68" i="7"/>
  <c r="F68" i="7" s="1"/>
  <c r="I77" i="7"/>
  <c r="E90" i="7"/>
  <c r="F90" i="7" s="1"/>
  <c r="G93" i="7"/>
  <c r="E93" i="7"/>
  <c r="K99" i="7"/>
  <c r="E101" i="7"/>
  <c r="F101" i="7" s="1"/>
  <c r="K104" i="7"/>
  <c r="I104" i="7"/>
  <c r="G104" i="7"/>
  <c r="E104" i="7"/>
  <c r="F104" i="7" s="1"/>
  <c r="K112" i="7"/>
  <c r="G121" i="7"/>
  <c r="K121" i="7"/>
  <c r="I121" i="7"/>
  <c r="I127" i="7"/>
  <c r="N132" i="7"/>
  <c r="K150" i="7"/>
  <c r="K38" i="7"/>
  <c r="N47" i="7"/>
  <c r="K52" i="7"/>
  <c r="K59" i="7"/>
  <c r="G62" i="7"/>
  <c r="K77" i="7"/>
  <c r="E79" i="7"/>
  <c r="F79" i="7" s="1"/>
  <c r="F82" i="7"/>
  <c r="N84" i="7"/>
  <c r="K84" i="7"/>
  <c r="N95" i="7"/>
  <c r="K95" i="7"/>
  <c r="E109" i="7"/>
  <c r="F109" i="7" s="1"/>
  <c r="E111" i="7"/>
  <c r="F111" i="7" s="1"/>
  <c r="G114" i="7"/>
  <c r="G131" i="7"/>
  <c r="N131" i="7"/>
  <c r="K131" i="7"/>
  <c r="E131" i="7"/>
  <c r="F131" i="7" s="1"/>
  <c r="G147" i="7"/>
  <c r="K147" i="7"/>
  <c r="N147" i="7"/>
  <c r="G168" i="7"/>
  <c r="I168" i="7"/>
  <c r="N168" i="7"/>
  <c r="K168" i="7"/>
  <c r="N184" i="7"/>
  <c r="I184" i="7"/>
  <c r="E184" i="7"/>
  <c r="F184" i="7" s="1"/>
  <c r="G58" i="7"/>
  <c r="G68" i="7"/>
  <c r="K73" i="7"/>
  <c r="I73" i="7"/>
  <c r="N88" i="7"/>
  <c r="G90" i="7"/>
  <c r="F93" i="7"/>
  <c r="I98" i="7"/>
  <c r="E98" i="7"/>
  <c r="G101" i="7"/>
  <c r="I114" i="7"/>
  <c r="G116" i="7"/>
  <c r="E116" i="7"/>
  <c r="G118" i="7"/>
  <c r="N118" i="7"/>
  <c r="I118" i="7"/>
  <c r="G135" i="7"/>
  <c r="N135" i="7"/>
  <c r="G143" i="7"/>
  <c r="E143" i="7"/>
  <c r="F143" i="7" s="1"/>
  <c r="N143" i="7"/>
  <c r="K143" i="7"/>
  <c r="I143" i="7"/>
  <c r="G157" i="7"/>
  <c r="N157" i="7"/>
  <c r="K157" i="7"/>
  <c r="E157" i="7"/>
  <c r="F157" i="7" s="1"/>
  <c r="N163" i="7"/>
  <c r="N201" i="7"/>
  <c r="K201" i="7"/>
  <c r="I201" i="7"/>
  <c r="E201" i="7"/>
  <c r="F201" i="7" s="1"/>
  <c r="I68" i="7"/>
  <c r="F76" i="7"/>
  <c r="N77" i="7"/>
  <c r="G79" i="7"/>
  <c r="E81" i="7"/>
  <c r="F81" i="7" s="1"/>
  <c r="I90" i="7"/>
  <c r="I93" i="7"/>
  <c r="I101" i="7"/>
  <c r="G109" i="7"/>
  <c r="E121" i="7"/>
  <c r="F121" i="7" s="1"/>
  <c r="G133" i="7"/>
  <c r="N133" i="7"/>
  <c r="E133" i="7"/>
  <c r="F133" i="7" s="1"/>
  <c r="F25" i="7"/>
  <c r="E47" i="7"/>
  <c r="F47" i="7" s="1"/>
  <c r="G51" i="7"/>
  <c r="F61" i="7"/>
  <c r="I67" i="7"/>
  <c r="K68" i="7"/>
  <c r="I79" i="7"/>
  <c r="K82" i="7"/>
  <c r="E84" i="7"/>
  <c r="F84" i="7" s="1"/>
  <c r="K93" i="7"/>
  <c r="E95" i="7"/>
  <c r="F95" i="7" s="1"/>
  <c r="F98" i="7"/>
  <c r="N100" i="7"/>
  <c r="K100" i="7"/>
  <c r="N113" i="7"/>
  <c r="K113" i="7"/>
  <c r="I113" i="7"/>
  <c r="F116" i="7"/>
  <c r="G126" i="7"/>
  <c r="I126" i="7"/>
  <c r="E126" i="7"/>
  <c r="F126" i="7" s="1"/>
  <c r="N126" i="7"/>
  <c r="K126" i="7"/>
  <c r="E147" i="7"/>
  <c r="F147" i="7" s="1"/>
  <c r="N155" i="7"/>
  <c r="K155" i="7"/>
  <c r="E155" i="7"/>
  <c r="F155" i="7" s="1"/>
  <c r="I155" i="7"/>
  <c r="E168" i="7"/>
  <c r="F168" i="7" s="1"/>
  <c r="K171" i="7"/>
  <c r="N171" i="7"/>
  <c r="E173" i="7"/>
  <c r="F173" i="7" s="1"/>
  <c r="N173" i="7"/>
  <c r="I173" i="7"/>
  <c r="K184" i="7"/>
  <c r="G178" i="7"/>
  <c r="I181" i="7"/>
  <c r="E181" i="7"/>
  <c r="F181" i="7" s="1"/>
  <c r="G164" i="7"/>
  <c r="I164" i="7"/>
  <c r="N164" i="7"/>
  <c r="G170" i="7"/>
  <c r="N170" i="7"/>
  <c r="I170" i="7"/>
  <c r="F238" i="7"/>
  <c r="I305" i="7"/>
  <c r="G305" i="7"/>
  <c r="N305" i="7"/>
  <c r="K305" i="7"/>
  <c r="E305" i="7"/>
  <c r="F305" i="7" s="1"/>
  <c r="G142" i="7"/>
  <c r="I142" i="7"/>
  <c r="E142" i="7"/>
  <c r="F142" i="7" s="1"/>
  <c r="G146" i="7"/>
  <c r="K146" i="7"/>
  <c r="E146" i="7"/>
  <c r="F146" i="7" s="1"/>
  <c r="K151" i="7"/>
  <c r="K181" i="7"/>
  <c r="N192" i="7"/>
  <c r="I192" i="7"/>
  <c r="E192" i="7"/>
  <c r="F192" i="7" s="1"/>
  <c r="E194" i="7"/>
  <c r="F194" i="7" s="1"/>
  <c r="N198" i="7"/>
  <c r="K198" i="7"/>
  <c r="I198" i="7"/>
  <c r="G129" i="7"/>
  <c r="I129" i="7"/>
  <c r="G153" i="7"/>
  <c r="I153" i="7"/>
  <c r="G160" i="7"/>
  <c r="N160" i="7"/>
  <c r="E164" i="7"/>
  <c r="F164" i="7" s="1"/>
  <c r="E170" i="7"/>
  <c r="F170" i="7" s="1"/>
  <c r="E206" i="7"/>
  <c r="F206" i="7" s="1"/>
  <c r="N206" i="7"/>
  <c r="K206" i="7"/>
  <c r="I206" i="7"/>
  <c r="G119" i="7"/>
  <c r="N119" i="7"/>
  <c r="I180" i="7"/>
  <c r="E180" i="7"/>
  <c r="F180" i="7" s="1"/>
  <c r="N181" i="7"/>
  <c r="E198" i="7"/>
  <c r="F198" i="7" s="1"/>
  <c r="I293" i="7"/>
  <c r="G293" i="7"/>
  <c r="N293" i="7"/>
  <c r="K293" i="7"/>
  <c r="E293" i="7"/>
  <c r="F293" i="7" s="1"/>
  <c r="E71" i="7"/>
  <c r="F71" i="7" s="1"/>
  <c r="E87" i="7"/>
  <c r="F87" i="7" s="1"/>
  <c r="E103" i="7"/>
  <c r="F103" i="7" s="1"/>
  <c r="E149" i="7"/>
  <c r="F149" i="7" s="1"/>
  <c r="N151" i="7"/>
  <c r="I177" i="7"/>
  <c r="E177" i="7"/>
  <c r="F177" i="7" s="1"/>
  <c r="K177" i="7"/>
  <c r="G185" i="7"/>
  <c r="K192" i="7"/>
  <c r="N213" i="7"/>
  <c r="G213" i="7"/>
  <c r="K213" i="7"/>
  <c r="E213" i="7"/>
  <c r="F213" i="7"/>
  <c r="E119" i="7"/>
  <c r="F119" i="7" s="1"/>
  <c r="N123" i="7"/>
  <c r="E136" i="7"/>
  <c r="F136" i="7" s="1"/>
  <c r="G145" i="7"/>
  <c r="I145" i="7"/>
  <c r="I146" i="7"/>
  <c r="G148" i="7"/>
  <c r="K170" i="7"/>
  <c r="E218" i="7"/>
  <c r="F218" i="7" s="1"/>
  <c r="N218" i="7"/>
  <c r="K218" i="7"/>
  <c r="I218" i="7"/>
  <c r="F228" i="7"/>
  <c r="G242" i="7"/>
  <c r="N242" i="7"/>
  <c r="K242" i="7"/>
  <c r="I242" i="7"/>
  <c r="G152" i="7"/>
  <c r="E152" i="7"/>
  <c r="F152" i="7" s="1"/>
  <c r="E185" i="7"/>
  <c r="F185" i="7" s="1"/>
  <c r="F333" i="7"/>
  <c r="K179" i="7"/>
  <c r="I179" i="7"/>
  <c r="I193" i="7"/>
  <c r="E193" i="7"/>
  <c r="F193" i="7" s="1"/>
  <c r="E240" i="7"/>
  <c r="F240" i="7" s="1"/>
  <c r="E242" i="7"/>
  <c r="G259" i="7"/>
  <c r="N259" i="7"/>
  <c r="K259" i="7"/>
  <c r="I259" i="7"/>
  <c r="E259" i="7"/>
  <c r="F259" i="7" s="1"/>
  <c r="E179" i="7"/>
  <c r="F179" i="7" s="1"/>
  <c r="G184" i="7"/>
  <c r="I185" i="7"/>
  <c r="G205" i="7"/>
  <c r="I226" i="7"/>
  <c r="G226" i="7"/>
  <c r="N226" i="7"/>
  <c r="K226" i="7"/>
  <c r="G216" i="7"/>
  <c r="E216" i="7"/>
  <c r="F216" i="7" s="1"/>
  <c r="F221" i="7"/>
  <c r="F242" i="7"/>
  <c r="N26" i="8"/>
  <c r="K26" i="8"/>
  <c r="G26" i="8"/>
  <c r="I26" i="8"/>
  <c r="E26" i="8"/>
  <c r="I216" i="7"/>
  <c r="N223" i="7"/>
  <c r="K223" i="7"/>
  <c r="E223" i="7"/>
  <c r="F223" i="7" s="1"/>
  <c r="I306" i="7"/>
  <c r="G306" i="7"/>
  <c r="N306" i="7"/>
  <c r="K306" i="7"/>
  <c r="E306" i="7"/>
  <c r="F306" i="7" s="1"/>
  <c r="F36" i="8"/>
  <c r="E190" i="7"/>
  <c r="F190" i="7" s="1"/>
  <c r="E197" i="7"/>
  <c r="F197" i="7" s="1"/>
  <c r="E203" i="7"/>
  <c r="F203" i="7" s="1"/>
  <c r="E210" i="7"/>
  <c r="G223" i="7"/>
  <c r="G128" i="7"/>
  <c r="G144" i="7"/>
  <c r="G176" i="7"/>
  <c r="N182" i="7"/>
  <c r="K182" i="7"/>
  <c r="G201" i="7"/>
  <c r="G209" i="7"/>
  <c r="K210" i="7"/>
  <c r="N216" i="7"/>
  <c r="E220" i="7"/>
  <c r="I220" i="7"/>
  <c r="I223" i="7"/>
  <c r="F233" i="7"/>
  <c r="N209" i="7"/>
  <c r="I209" i="7"/>
  <c r="E209" i="7"/>
  <c r="F209" i="7" s="1"/>
  <c r="F212" i="7"/>
  <c r="F220" i="7"/>
  <c r="G253" i="7"/>
  <c r="K253" i="7"/>
  <c r="I253" i="7"/>
  <c r="G271" i="7"/>
  <c r="K271" i="7"/>
  <c r="I271" i="7"/>
  <c r="E271" i="7"/>
  <c r="F271" i="7" s="1"/>
  <c r="I239" i="7"/>
  <c r="G239" i="7"/>
  <c r="E239" i="7"/>
  <c r="F239" i="7" s="1"/>
  <c r="I313" i="7"/>
  <c r="G313" i="7"/>
  <c r="N313" i="7"/>
  <c r="K313" i="7"/>
  <c r="E313" i="7"/>
  <c r="F313" i="7" s="1"/>
  <c r="K197" i="7"/>
  <c r="F214" i="7"/>
  <c r="I241" i="7"/>
  <c r="G241" i="7"/>
  <c r="K241" i="7"/>
  <c r="E253" i="7"/>
  <c r="F253" i="7" s="1"/>
  <c r="N271" i="7"/>
  <c r="G124" i="7"/>
  <c r="G140" i="7"/>
  <c r="G161" i="7"/>
  <c r="I161" i="7"/>
  <c r="E161" i="7"/>
  <c r="F161" i="7" s="1"/>
  <c r="G186" i="7"/>
  <c r="I212" i="7"/>
  <c r="I217" i="7"/>
  <c r="K217" i="7"/>
  <c r="N222" i="7"/>
  <c r="K222" i="7"/>
  <c r="G222" i="7"/>
  <c r="K239" i="7"/>
  <c r="G248" i="7"/>
  <c r="I248" i="7"/>
  <c r="E248" i="7"/>
  <c r="F248" i="7" s="1"/>
  <c r="N248" i="7"/>
  <c r="I301" i="7"/>
  <c r="G301" i="7"/>
  <c r="N301" i="7"/>
  <c r="K301" i="7"/>
  <c r="E301" i="7"/>
  <c r="F301" i="7" s="1"/>
  <c r="G123" i="7"/>
  <c r="G139" i="7"/>
  <c r="G150" i="7"/>
  <c r="N150" i="7"/>
  <c r="G166" i="7"/>
  <c r="N166" i="7"/>
  <c r="K166" i="7"/>
  <c r="G173" i="7"/>
  <c r="E174" i="7"/>
  <c r="F174" i="7" s="1"/>
  <c r="G180" i="7"/>
  <c r="I182" i="7"/>
  <c r="K190" i="7"/>
  <c r="G194" i="7"/>
  <c r="E195" i="7"/>
  <c r="F195" i="7" s="1"/>
  <c r="N212" i="7"/>
  <c r="N220" i="7"/>
  <c r="I237" i="7"/>
  <c r="G237" i="7"/>
  <c r="N237" i="7"/>
  <c r="E241" i="7"/>
  <c r="F241" i="7" s="1"/>
  <c r="N253" i="7"/>
  <c r="G199" i="7"/>
  <c r="K209" i="7"/>
  <c r="E219" i="7"/>
  <c r="F219" i="7" s="1"/>
  <c r="E222" i="7"/>
  <c r="F222" i="7" s="1"/>
  <c r="F224" i="7"/>
  <c r="I227" i="7"/>
  <c r="E227" i="7"/>
  <c r="N227" i="7"/>
  <c r="G227" i="7"/>
  <c r="I232" i="7"/>
  <c r="G232" i="7"/>
  <c r="E232" i="7"/>
  <c r="N239" i="7"/>
  <c r="F227" i="7"/>
  <c r="N229" i="7"/>
  <c r="G229" i="7"/>
  <c r="G251" i="7"/>
  <c r="N251" i="7"/>
  <c r="K251" i="7"/>
  <c r="E251" i="7"/>
  <c r="F251" i="7" s="1"/>
  <c r="G277" i="7"/>
  <c r="N277" i="7"/>
  <c r="K277" i="7"/>
  <c r="I277" i="7"/>
  <c r="E277" i="7"/>
  <c r="F277" i="7" s="1"/>
  <c r="G120" i="7"/>
  <c r="E123" i="7"/>
  <c r="F123" i="7" s="1"/>
  <c r="K128" i="7"/>
  <c r="G136" i="7"/>
  <c r="E139" i="7"/>
  <c r="F139" i="7" s="1"/>
  <c r="K144" i="7"/>
  <c r="E150" i="7"/>
  <c r="F150" i="7" s="1"/>
  <c r="G165" i="7"/>
  <c r="E166" i="7"/>
  <c r="F166" i="7" s="1"/>
  <c r="G179" i="7"/>
  <c r="N190" i="7"/>
  <c r="G193" i="7"/>
  <c r="N196" i="7"/>
  <c r="G219" i="7"/>
  <c r="K227" i="7"/>
  <c r="K232" i="7"/>
  <c r="N234" i="7"/>
  <c r="K234" i="7"/>
  <c r="K237" i="7"/>
  <c r="G262" i="7"/>
  <c r="N262" i="7"/>
  <c r="K262" i="7"/>
  <c r="I262" i="7"/>
  <c r="E262" i="7"/>
  <c r="F262" i="7" s="1"/>
  <c r="F230" i="7"/>
  <c r="G244" i="7"/>
  <c r="K244" i="7"/>
  <c r="E244" i="7"/>
  <c r="I298" i="7"/>
  <c r="G298" i="7"/>
  <c r="E236" i="7"/>
  <c r="F236" i="7" s="1"/>
  <c r="G287" i="7"/>
  <c r="E287" i="7"/>
  <c r="F287" i="7" s="1"/>
  <c r="I303" i="7"/>
  <c r="G303" i="7"/>
  <c r="N303" i="7"/>
  <c r="K303" i="7"/>
  <c r="E303" i="7"/>
  <c r="F303" i="7" s="1"/>
  <c r="N328" i="7"/>
  <c r="K328" i="7"/>
  <c r="I328" i="7"/>
  <c r="G328" i="7"/>
  <c r="E328" i="7"/>
  <c r="F26" i="8"/>
  <c r="G174" i="7"/>
  <c r="G190" i="7"/>
  <c r="G206" i="7"/>
  <c r="I244" i="7"/>
  <c r="E246" i="7"/>
  <c r="F246" i="7" s="1"/>
  <c r="E255" i="7"/>
  <c r="F255" i="7" s="1"/>
  <c r="G264" i="7"/>
  <c r="I264" i="7"/>
  <c r="E264" i="7"/>
  <c r="F264" i="7" s="1"/>
  <c r="G268" i="7"/>
  <c r="N268" i="7"/>
  <c r="N269" i="7"/>
  <c r="G281" i="7"/>
  <c r="N281" i="7"/>
  <c r="E298" i="7"/>
  <c r="F298" i="7" s="1"/>
  <c r="G155" i="7"/>
  <c r="G171" i="7"/>
  <c r="G187" i="7"/>
  <c r="G203" i="7"/>
  <c r="N238" i="7"/>
  <c r="K238" i="7"/>
  <c r="N244" i="7"/>
  <c r="N255" i="7"/>
  <c r="N264" i="7"/>
  <c r="I268" i="7"/>
  <c r="K275" i="7"/>
  <c r="I281" i="7"/>
  <c r="G283" i="7"/>
  <c r="N283" i="7"/>
  <c r="K283" i="7"/>
  <c r="E283" i="7"/>
  <c r="F283" i="7" s="1"/>
  <c r="N287" i="7"/>
  <c r="I311" i="7"/>
  <c r="G311" i="7"/>
  <c r="N311" i="7"/>
  <c r="K311" i="7"/>
  <c r="E311" i="7"/>
  <c r="F311" i="7" s="1"/>
  <c r="N329" i="7"/>
  <c r="G329" i="7"/>
  <c r="K329" i="7"/>
  <c r="E329" i="7"/>
  <c r="F329" i="7" s="1"/>
  <c r="N347" i="7"/>
  <c r="K347" i="7"/>
  <c r="I347" i="7"/>
  <c r="G347" i="7"/>
  <c r="N246" i="7"/>
  <c r="G261" i="7"/>
  <c r="N261" i="7"/>
  <c r="K261" i="7"/>
  <c r="I261" i="7"/>
  <c r="I309" i="7"/>
  <c r="G309" i="7"/>
  <c r="N309" i="7"/>
  <c r="K309" i="7"/>
  <c r="I321" i="7"/>
  <c r="G321" i="7"/>
  <c r="N321" i="7"/>
  <c r="K321" i="7"/>
  <c r="E321" i="7"/>
  <c r="F321" i="7" s="1"/>
  <c r="N50" i="8"/>
  <c r="E50" i="8"/>
  <c r="F50" i="8" s="1"/>
  <c r="I50" i="8"/>
  <c r="K50" i="8"/>
  <c r="G50" i="8"/>
  <c r="G265" i="7"/>
  <c r="N265" i="7"/>
  <c r="N275" i="7"/>
  <c r="I314" i="7"/>
  <c r="G314" i="7"/>
  <c r="G326" i="7"/>
  <c r="E326" i="7"/>
  <c r="F326" i="7" s="1"/>
  <c r="K341" i="7"/>
  <c r="I341" i="7"/>
  <c r="G341" i="7"/>
  <c r="E341" i="7"/>
  <c r="F341" i="7" s="1"/>
  <c r="N341" i="7"/>
  <c r="F344" i="7"/>
  <c r="F347" i="7"/>
  <c r="F4" i="8"/>
  <c r="F24" i="8"/>
  <c r="G245" i="7"/>
  <c r="N245" i="7"/>
  <c r="K245" i="7"/>
  <c r="I245" i="7"/>
  <c r="I319" i="7"/>
  <c r="G319" i="7"/>
  <c r="N319" i="7"/>
  <c r="K319" i="7"/>
  <c r="E319" i="7"/>
  <c r="F319" i="7" s="1"/>
  <c r="E347" i="7"/>
  <c r="F45" i="8"/>
  <c r="I211" i="7"/>
  <c r="E211" i="7"/>
  <c r="F211" i="7" s="1"/>
  <c r="G249" i="7"/>
  <c r="N249" i="7"/>
  <c r="E265" i="7"/>
  <c r="F265" i="7" s="1"/>
  <c r="G274" i="7"/>
  <c r="N274" i="7"/>
  <c r="K274" i="7"/>
  <c r="G284" i="7"/>
  <c r="N284" i="7"/>
  <c r="I284" i="7"/>
  <c r="I290" i="7"/>
  <c r="G290" i="7"/>
  <c r="E314" i="7"/>
  <c r="F314" i="7" s="1"/>
  <c r="G13" i="8"/>
  <c r="K13" i="8"/>
  <c r="N13" i="8"/>
  <c r="I13" i="8"/>
  <c r="E13" i="8"/>
  <c r="I265" i="7"/>
  <c r="G267" i="7"/>
  <c r="N267" i="7"/>
  <c r="K267" i="7"/>
  <c r="E267" i="7"/>
  <c r="F267" i="7" s="1"/>
  <c r="I297" i="7"/>
  <c r="G297" i="7"/>
  <c r="N297" i="7"/>
  <c r="K297" i="7"/>
  <c r="E297" i="7"/>
  <c r="F297" i="7" s="1"/>
  <c r="K314" i="7"/>
  <c r="I317" i="7"/>
  <c r="G317" i="7"/>
  <c r="N317" i="7"/>
  <c r="K317" i="7"/>
  <c r="N70" i="8"/>
  <c r="K70" i="8"/>
  <c r="G70" i="8"/>
  <c r="I70" i="8"/>
  <c r="E70" i="8"/>
  <c r="F70" i="8" s="1"/>
  <c r="G258" i="7"/>
  <c r="N258" i="7"/>
  <c r="K258" i="7"/>
  <c r="K265" i="7"/>
  <c r="G276" i="7"/>
  <c r="K276" i="7"/>
  <c r="I276" i="7"/>
  <c r="E276" i="7"/>
  <c r="F276" i="7" s="1"/>
  <c r="N314" i="7"/>
  <c r="I322" i="7"/>
  <c r="G322" i="7"/>
  <c r="N345" i="7"/>
  <c r="I345" i="7"/>
  <c r="G345" i="7"/>
  <c r="K345" i="7"/>
  <c r="E345" i="7"/>
  <c r="F345" i="7" s="1"/>
  <c r="F64" i="8"/>
  <c r="G280" i="7"/>
  <c r="N280" i="7"/>
  <c r="I280" i="7"/>
  <c r="E280" i="7"/>
  <c r="F280" i="7" s="1"/>
  <c r="I295" i="7"/>
  <c r="G295" i="7"/>
  <c r="N295" i="7"/>
  <c r="K295" i="7"/>
  <c r="E295" i="7"/>
  <c r="F295" i="7" s="1"/>
  <c r="E317" i="7"/>
  <c r="F317" i="7" s="1"/>
  <c r="F327" i="7"/>
  <c r="G337" i="7"/>
  <c r="E337" i="7"/>
  <c r="F337" i="7" s="1"/>
  <c r="N337" i="7"/>
  <c r="F339" i="7"/>
  <c r="N55" i="8"/>
  <c r="K55" i="8"/>
  <c r="G55" i="8"/>
  <c r="I55" i="8"/>
  <c r="N358" i="7"/>
  <c r="K358" i="7"/>
  <c r="I358" i="7"/>
  <c r="G358" i="7"/>
  <c r="E358" i="7"/>
  <c r="F358" i="7" s="1"/>
  <c r="G17" i="8"/>
  <c r="K17" i="8"/>
  <c r="N17" i="8"/>
  <c r="I17" i="8"/>
  <c r="F58" i="8"/>
  <c r="I292" i="7"/>
  <c r="G292" i="7"/>
  <c r="I300" i="7"/>
  <c r="G300" i="7"/>
  <c r="I308" i="7"/>
  <c r="G308" i="7"/>
  <c r="I316" i="7"/>
  <c r="G316" i="7"/>
  <c r="K324" i="7"/>
  <c r="I324" i="7"/>
  <c r="G324" i="7"/>
  <c r="G354" i="7"/>
  <c r="E354" i="7"/>
  <c r="F354" i="7" s="1"/>
  <c r="I362" i="7"/>
  <c r="G362" i="7"/>
  <c r="E362" i="7"/>
  <c r="F362" i="7" s="1"/>
  <c r="N362" i="7"/>
  <c r="F15" i="8"/>
  <c r="G22" i="8"/>
  <c r="K22" i="8"/>
  <c r="N22" i="8"/>
  <c r="I22" i="8"/>
  <c r="F232" i="7"/>
  <c r="F237" i="7"/>
  <c r="K326" i="7"/>
  <c r="I326" i="7"/>
  <c r="F336" i="7"/>
  <c r="K356" i="7"/>
  <c r="N356" i="7"/>
  <c r="I356" i="7"/>
  <c r="E356" i="7"/>
  <c r="F356" i="7" s="1"/>
  <c r="F13" i="8"/>
  <c r="F27" i="8"/>
  <c r="N39" i="8"/>
  <c r="E39" i="8"/>
  <c r="F39" i="8" s="1"/>
  <c r="I39" i="8"/>
  <c r="K39" i="8"/>
  <c r="G39" i="8"/>
  <c r="N330" i="7"/>
  <c r="K330" i="7"/>
  <c r="I330" i="7"/>
  <c r="E330" i="7"/>
  <c r="F330" i="7" s="1"/>
  <c r="F210" i="7"/>
  <c r="F226" i="7"/>
  <c r="F244" i="7"/>
  <c r="I254" i="7"/>
  <c r="I270" i="7"/>
  <c r="I286" i="7"/>
  <c r="K292" i="7"/>
  <c r="K300" i="7"/>
  <c r="K308" i="7"/>
  <c r="K316" i="7"/>
  <c r="E351" i="7"/>
  <c r="F351" i="7" s="1"/>
  <c r="K359" i="7"/>
  <c r="K362" i="7"/>
  <c r="G7" i="8"/>
  <c r="K7" i="8"/>
  <c r="N7" i="8"/>
  <c r="I7" i="8"/>
  <c r="E22" i="8"/>
  <c r="F22" i="8" s="1"/>
  <c r="N44" i="8"/>
  <c r="G44" i="8"/>
  <c r="K44" i="8"/>
  <c r="I44" i="8"/>
  <c r="E44" i="8"/>
  <c r="F44" i="8" s="1"/>
  <c r="F231" i="7"/>
  <c r="K254" i="7"/>
  <c r="K270" i="7"/>
  <c r="K286" i="7"/>
  <c r="I294" i="7"/>
  <c r="G294" i="7"/>
  <c r="I302" i="7"/>
  <c r="G302" i="7"/>
  <c r="I310" i="7"/>
  <c r="G310" i="7"/>
  <c r="I318" i="7"/>
  <c r="G318" i="7"/>
  <c r="F328" i="7"/>
  <c r="I338" i="7"/>
  <c r="G338" i="7"/>
  <c r="E338" i="7"/>
  <c r="F338" i="7" s="1"/>
  <c r="N338" i="7"/>
  <c r="K348" i="7"/>
  <c r="G356" i="7"/>
  <c r="F18" i="8"/>
  <c r="N66" i="8"/>
  <c r="E66" i="8"/>
  <c r="F66" i="8" s="1"/>
  <c r="I66" i="8"/>
  <c r="K66" i="8"/>
  <c r="G66" i="8"/>
  <c r="N72" i="8"/>
  <c r="K72" i="8"/>
  <c r="I72" i="8"/>
  <c r="E72" i="8"/>
  <c r="F72" i="8" s="1"/>
  <c r="E335" i="7"/>
  <c r="F335" i="7" s="1"/>
  <c r="N346" i="7"/>
  <c r="K346" i="7"/>
  <c r="I346" i="7"/>
  <c r="E346" i="7"/>
  <c r="F346" i="7" s="1"/>
  <c r="F30" i="8"/>
  <c r="F225" i="7"/>
  <c r="I247" i="7"/>
  <c r="E250" i="7"/>
  <c r="F250" i="7" s="1"/>
  <c r="I263" i="7"/>
  <c r="E266" i="7"/>
  <c r="F266" i="7" s="1"/>
  <c r="I279" i="7"/>
  <c r="E282" i="7"/>
  <c r="F282" i="7" s="1"/>
  <c r="I291" i="7"/>
  <c r="G291" i="7"/>
  <c r="N292" i="7"/>
  <c r="E294" i="7"/>
  <c r="F294" i="7" s="1"/>
  <c r="I299" i="7"/>
  <c r="G299" i="7"/>
  <c r="N300" i="7"/>
  <c r="E302" i="7"/>
  <c r="F302" i="7" s="1"/>
  <c r="I307" i="7"/>
  <c r="G307" i="7"/>
  <c r="N308" i="7"/>
  <c r="E310" i="7"/>
  <c r="F310" i="7" s="1"/>
  <c r="I315" i="7"/>
  <c r="G315" i="7"/>
  <c r="N316" i="7"/>
  <c r="E318" i="7"/>
  <c r="F318" i="7" s="1"/>
  <c r="I323" i="7"/>
  <c r="G323" i="7"/>
  <c r="N326" i="7"/>
  <c r="G330" i="7"/>
  <c r="E332" i="7"/>
  <c r="F332" i="7" s="1"/>
  <c r="G353" i="7"/>
  <c r="E353" i="7"/>
  <c r="F353" i="7" s="1"/>
  <c r="E359" i="7"/>
  <c r="F359" i="7" s="1"/>
  <c r="E7" i="8"/>
  <c r="F7" i="8" s="1"/>
  <c r="N42" i="8"/>
  <c r="I42" i="8"/>
  <c r="K42" i="8"/>
  <c r="E42" i="8"/>
  <c r="E285" i="7"/>
  <c r="F285" i="7" s="1"/>
  <c r="N344" i="7"/>
  <c r="K344" i="7"/>
  <c r="I344" i="7"/>
  <c r="G344" i="7"/>
  <c r="E348" i="7"/>
  <c r="F348" i="7" s="1"/>
  <c r="N33" i="8"/>
  <c r="I33" i="8"/>
  <c r="E33" i="8"/>
  <c r="F33" i="8" s="1"/>
  <c r="K33" i="8"/>
  <c r="F47" i="8"/>
  <c r="N57" i="8"/>
  <c r="I57" i="8"/>
  <c r="G57" i="8"/>
  <c r="E57" i="8"/>
  <c r="K57" i="8"/>
  <c r="G72" i="8"/>
  <c r="I296" i="7"/>
  <c r="G296" i="7"/>
  <c r="I304" i="7"/>
  <c r="G304" i="7"/>
  <c r="I312" i="7"/>
  <c r="G312" i="7"/>
  <c r="I320" i="7"/>
  <c r="G320" i="7"/>
  <c r="K325" i="7"/>
  <c r="I325" i="7"/>
  <c r="G325" i="7"/>
  <c r="E325" i="7"/>
  <c r="F325" i="7" s="1"/>
  <c r="K342" i="7"/>
  <c r="I342" i="7"/>
  <c r="E342" i="7"/>
  <c r="F342" i="7" s="1"/>
  <c r="N357" i="7"/>
  <c r="K357" i="7"/>
  <c r="I357" i="7"/>
  <c r="G357" i="7"/>
  <c r="E357" i="7"/>
  <c r="F357" i="7" s="1"/>
  <c r="G3" i="8"/>
  <c r="K3" i="8"/>
  <c r="I3" i="8"/>
  <c r="N3" i="8"/>
  <c r="E3" i="8"/>
  <c r="F3" i="8" s="1"/>
  <c r="F42" i="8"/>
  <c r="I333" i="7"/>
  <c r="I349" i="7"/>
  <c r="G12" i="8"/>
  <c r="K12" i="8"/>
  <c r="N32" i="8"/>
  <c r="G32" i="8"/>
  <c r="K32" i="8"/>
  <c r="N35" i="8"/>
  <c r="I35" i="8"/>
  <c r="K35" i="8"/>
  <c r="F68" i="8"/>
  <c r="G120" i="8"/>
  <c r="E120" i="8"/>
  <c r="F120" i="8" s="1"/>
  <c r="N120" i="8"/>
  <c r="K120" i="8"/>
  <c r="I120" i="8"/>
  <c r="G6" i="8"/>
  <c r="K6" i="8"/>
  <c r="G21" i="8"/>
  <c r="K21" i="8"/>
  <c r="N21" i="8"/>
  <c r="I21" i="8"/>
  <c r="N28" i="8"/>
  <c r="K28" i="8"/>
  <c r="N52" i="8"/>
  <c r="K52" i="8"/>
  <c r="G52" i="8"/>
  <c r="N79" i="8"/>
  <c r="G79" i="8"/>
  <c r="K79" i="8"/>
  <c r="I79" i="8"/>
  <c r="E79" i="8"/>
  <c r="F79" i="8" s="1"/>
  <c r="E327" i="7"/>
  <c r="E343" i="7"/>
  <c r="F343" i="7" s="1"/>
  <c r="G11" i="8"/>
  <c r="K11" i="8"/>
  <c r="I11" i="8"/>
  <c r="E12" i="8"/>
  <c r="F12" i="8" s="1"/>
  <c r="E32" i="8"/>
  <c r="F32" i="8" s="1"/>
  <c r="E35" i="8"/>
  <c r="F35" i="8" s="1"/>
  <c r="N38" i="8"/>
  <c r="G38" i="8"/>
  <c r="E38" i="8"/>
  <c r="F38" i="8" s="1"/>
  <c r="N41" i="8"/>
  <c r="E41" i="8"/>
  <c r="I68" i="8"/>
  <c r="N77" i="8"/>
  <c r="G77" i="8"/>
  <c r="K77" i="8"/>
  <c r="E77" i="8"/>
  <c r="F77" i="8" s="1"/>
  <c r="G15" i="8"/>
  <c r="K15" i="8"/>
  <c r="N15" i="8"/>
  <c r="N75" i="8"/>
  <c r="G75" i="8"/>
  <c r="I75" i="8"/>
  <c r="F88" i="8"/>
  <c r="N173" i="8"/>
  <c r="I173" i="8"/>
  <c r="G173" i="8"/>
  <c r="K173" i="8"/>
  <c r="E173" i="8"/>
  <c r="F173" i="8" s="1"/>
  <c r="N184" i="8"/>
  <c r="K184" i="8"/>
  <c r="G184" i="8"/>
  <c r="I184" i="8"/>
  <c r="E184" i="8"/>
  <c r="F184" i="8" s="1"/>
  <c r="G327" i="7"/>
  <c r="G343" i="7"/>
  <c r="I354" i="7"/>
  <c r="E6" i="8"/>
  <c r="F6" i="8" s="1"/>
  <c r="I12" i="8"/>
  <c r="E21" i="8"/>
  <c r="F21" i="8" s="1"/>
  <c r="E28" i="8"/>
  <c r="F28" i="8" s="1"/>
  <c r="N31" i="8"/>
  <c r="E31" i="8"/>
  <c r="F31" i="8" s="1"/>
  <c r="I31" i="8"/>
  <c r="K31" i="8"/>
  <c r="G35" i="8"/>
  <c r="F41" i="8"/>
  <c r="E52" i="8"/>
  <c r="F52" i="8" s="1"/>
  <c r="G112" i="8"/>
  <c r="E112" i="8"/>
  <c r="F112" i="8" s="1"/>
  <c r="N112" i="8"/>
  <c r="K112" i="8"/>
  <c r="I112" i="8"/>
  <c r="G5" i="8"/>
  <c r="K5" i="8"/>
  <c r="N5" i="8"/>
  <c r="I5" i="8"/>
  <c r="G20" i="8"/>
  <c r="K20" i="8"/>
  <c r="N34" i="8"/>
  <c r="K34" i="8"/>
  <c r="G34" i="8"/>
  <c r="N43" i="8"/>
  <c r="K43" i="8"/>
  <c r="F49" i="8"/>
  <c r="N56" i="8"/>
  <c r="G56" i="8"/>
  <c r="K56" i="8"/>
  <c r="E56" i="8"/>
  <c r="F56" i="8" s="1"/>
  <c r="F65" i="8"/>
  <c r="N69" i="8"/>
  <c r="G69" i="8"/>
  <c r="I69" i="8"/>
  <c r="E339" i="7"/>
  <c r="E15" i="8"/>
  <c r="N27" i="8"/>
  <c r="I27" i="8"/>
  <c r="G28" i="8"/>
  <c r="N46" i="8"/>
  <c r="I46" i="8"/>
  <c r="E46" i="8"/>
  <c r="F46" i="8" s="1"/>
  <c r="I52" i="8"/>
  <c r="F54" i="8"/>
  <c r="N58" i="8"/>
  <c r="I58" i="8"/>
  <c r="K58" i="8"/>
  <c r="G58" i="8"/>
  <c r="E75" i="8"/>
  <c r="F75" i="8" s="1"/>
  <c r="I77" i="8"/>
  <c r="K327" i="7"/>
  <c r="G340" i="7"/>
  <c r="K343" i="7"/>
  <c r="G355" i="7"/>
  <c r="I6" i="8"/>
  <c r="G9" i="8"/>
  <c r="K9" i="8"/>
  <c r="F10" i="8"/>
  <c r="N12" i="8"/>
  <c r="G14" i="8"/>
  <c r="K14" i="8"/>
  <c r="F20" i="8"/>
  <c r="N37" i="8"/>
  <c r="E37" i="8"/>
  <c r="F37" i="8" s="1"/>
  <c r="N40" i="8"/>
  <c r="G40" i="8"/>
  <c r="K40" i="8"/>
  <c r="N67" i="8"/>
  <c r="G67" i="8"/>
  <c r="K67" i="8"/>
  <c r="E67" i="8"/>
  <c r="F67" i="8" s="1"/>
  <c r="G339" i="7"/>
  <c r="I340" i="7"/>
  <c r="I355" i="7"/>
  <c r="E5" i="8"/>
  <c r="F5" i="8" s="1"/>
  <c r="G19" i="8"/>
  <c r="K19" i="8"/>
  <c r="I19" i="8"/>
  <c r="E20" i="8"/>
  <c r="I28" i="8"/>
  <c r="E34" i="8"/>
  <c r="F34" i="8" s="1"/>
  <c r="E43" i="8"/>
  <c r="F43" i="8" s="1"/>
  <c r="N51" i="8"/>
  <c r="G51" i="8"/>
  <c r="E51" i="8"/>
  <c r="F51" i="8" s="1"/>
  <c r="K75" i="8"/>
  <c r="G4" i="8"/>
  <c r="K4" i="8"/>
  <c r="I15" i="8"/>
  <c r="G23" i="8"/>
  <c r="K23" i="8"/>
  <c r="N23" i="8"/>
  <c r="N30" i="8"/>
  <c r="G30" i="8"/>
  <c r="K30" i="8"/>
  <c r="N48" i="8"/>
  <c r="K48" i="8"/>
  <c r="G48" i="8"/>
  <c r="N359" i="7"/>
  <c r="N6" i="8"/>
  <c r="E14" i="8"/>
  <c r="F14" i="8" s="1"/>
  <c r="I20" i="8"/>
  <c r="I34" i="8"/>
  <c r="G37" i="8"/>
  <c r="E40" i="8"/>
  <c r="F40" i="8" s="1"/>
  <c r="G43" i="8"/>
  <c r="G46" i="8"/>
  <c r="N62" i="8"/>
  <c r="I62" i="8"/>
  <c r="E62" i="8"/>
  <c r="F62" i="8" s="1"/>
  <c r="G109" i="8"/>
  <c r="E109" i="8"/>
  <c r="F109" i="8" s="1"/>
  <c r="N109" i="8"/>
  <c r="I109" i="8"/>
  <c r="K109" i="8"/>
  <c r="N162" i="8"/>
  <c r="K162" i="8"/>
  <c r="G162" i="8"/>
  <c r="I162" i="8"/>
  <c r="E162" i="8"/>
  <c r="F162" i="8" s="1"/>
  <c r="N189" i="8"/>
  <c r="K189" i="8"/>
  <c r="I189" i="8"/>
  <c r="E189" i="8"/>
  <c r="F189" i="8" s="1"/>
  <c r="G189" i="8"/>
  <c r="G59" i="8"/>
  <c r="N64" i="8"/>
  <c r="K64" i="8"/>
  <c r="F92" i="8"/>
  <c r="F103" i="8"/>
  <c r="E151" i="8"/>
  <c r="F151" i="8" s="1"/>
  <c r="K151" i="8"/>
  <c r="I151" i="8"/>
  <c r="G151" i="8"/>
  <c r="N151" i="8"/>
  <c r="F154" i="8"/>
  <c r="E182" i="8"/>
  <c r="F182" i="8" s="1"/>
  <c r="F96" i="8"/>
  <c r="D364" i="8"/>
  <c r="G10" i="8"/>
  <c r="K10" i="8"/>
  <c r="G18" i="8"/>
  <c r="K18" i="8"/>
  <c r="N25" i="8"/>
  <c r="I25" i="8"/>
  <c r="E25" i="8"/>
  <c r="F25" i="8" s="1"/>
  <c r="N29" i="8"/>
  <c r="E29" i="8"/>
  <c r="F29" i="8" s="1"/>
  <c r="N54" i="8"/>
  <c r="E54" i="8"/>
  <c r="N63" i="8"/>
  <c r="K63" i="8"/>
  <c r="F100" i="8"/>
  <c r="G131" i="8"/>
  <c r="E131" i="8"/>
  <c r="F131" i="8" s="1"/>
  <c r="N131" i="8"/>
  <c r="K131" i="8"/>
  <c r="I131" i="8"/>
  <c r="I146" i="8"/>
  <c r="G146" i="8"/>
  <c r="N146" i="8"/>
  <c r="K146" i="8"/>
  <c r="E146" i="8"/>
  <c r="N81" i="8"/>
  <c r="G81" i="8"/>
  <c r="E207" i="8"/>
  <c r="F207" i="8" s="1"/>
  <c r="F104" i="8"/>
  <c r="G111" i="8"/>
  <c r="E111" i="8"/>
  <c r="F111" i="8" s="1"/>
  <c r="N111" i="8"/>
  <c r="K111" i="8"/>
  <c r="I111" i="8"/>
  <c r="I204" i="8"/>
  <c r="G204" i="8"/>
  <c r="K204" i="8"/>
  <c r="E204" i="8"/>
  <c r="N204" i="8"/>
  <c r="F57" i="8"/>
  <c r="N71" i="8"/>
  <c r="G71" i="8"/>
  <c r="G8" i="8"/>
  <c r="K8" i="8"/>
  <c r="G16" i="8"/>
  <c r="K16" i="8"/>
  <c r="N24" i="8"/>
  <c r="G24" i="8"/>
  <c r="K24" i="8"/>
  <c r="G25" i="8"/>
  <c r="G29" i="8"/>
  <c r="N36" i="8"/>
  <c r="K36" i="8"/>
  <c r="N47" i="8"/>
  <c r="K47" i="8"/>
  <c r="G54" i="8"/>
  <c r="E81" i="8"/>
  <c r="F81" i="8" s="1"/>
  <c r="F204" i="8"/>
  <c r="N73" i="8"/>
  <c r="G73" i="8"/>
  <c r="E76" i="8"/>
  <c r="F76" i="8" s="1"/>
  <c r="G144" i="8"/>
  <c r="E144" i="8"/>
  <c r="F144" i="8" s="1"/>
  <c r="N144" i="8"/>
  <c r="K144" i="8"/>
  <c r="I144" i="8"/>
  <c r="K175" i="8"/>
  <c r="G175" i="8"/>
  <c r="N175" i="8"/>
  <c r="I175" i="8"/>
  <c r="E175" i="8"/>
  <c r="F175" i="8" s="1"/>
  <c r="K167" i="8"/>
  <c r="G167" i="8"/>
  <c r="N167" i="8"/>
  <c r="I167" i="8"/>
  <c r="F270" i="8"/>
  <c r="E345" i="8"/>
  <c r="G60" i="8"/>
  <c r="G143" i="8"/>
  <c r="E143" i="8"/>
  <c r="F143" i="8" s="1"/>
  <c r="N143" i="8"/>
  <c r="K143" i="8"/>
  <c r="I143" i="8"/>
  <c r="G117" i="8"/>
  <c r="E117" i="8"/>
  <c r="F117" i="8" s="1"/>
  <c r="N117" i="8"/>
  <c r="I117" i="8"/>
  <c r="I148" i="8"/>
  <c r="E148" i="8"/>
  <c r="F148" i="8" s="1"/>
  <c r="N148" i="8"/>
  <c r="K148" i="8"/>
  <c r="F158" i="8"/>
  <c r="F281" i="8"/>
  <c r="G133" i="8"/>
  <c r="E133" i="8"/>
  <c r="F133" i="8" s="1"/>
  <c r="N133" i="8"/>
  <c r="I133" i="8"/>
  <c r="N163" i="8"/>
  <c r="K163" i="8"/>
  <c r="G163" i="8"/>
  <c r="E163" i="8"/>
  <c r="F163" i="8" s="1"/>
  <c r="E167" i="8"/>
  <c r="F167" i="8" s="1"/>
  <c r="G115" i="8"/>
  <c r="E115" i="8"/>
  <c r="F115" i="8" s="1"/>
  <c r="N115" i="8"/>
  <c r="K115" i="8"/>
  <c r="I115" i="8"/>
  <c r="G127" i="8"/>
  <c r="E127" i="8"/>
  <c r="F127" i="8" s="1"/>
  <c r="N127" i="8"/>
  <c r="K127" i="8"/>
  <c r="K176" i="8"/>
  <c r="I176" i="8"/>
  <c r="N176" i="8"/>
  <c r="G176" i="8"/>
  <c r="E176" i="8"/>
  <c r="F176" i="8" s="1"/>
  <c r="K117" i="8"/>
  <c r="I123" i="8"/>
  <c r="K156" i="8"/>
  <c r="I156" i="8"/>
  <c r="G156" i="8"/>
  <c r="E156" i="8"/>
  <c r="F156" i="8" s="1"/>
  <c r="K200" i="8"/>
  <c r="N200" i="8"/>
  <c r="I200" i="8"/>
  <c r="E200" i="8"/>
  <c r="G200" i="8"/>
  <c r="N154" i="8"/>
  <c r="K154" i="8"/>
  <c r="I154" i="8"/>
  <c r="G154" i="8"/>
  <c r="N181" i="8"/>
  <c r="K181" i="8"/>
  <c r="I181" i="8"/>
  <c r="G181" i="8"/>
  <c r="E181" i="8"/>
  <c r="F181" i="8" s="1"/>
  <c r="G128" i="8"/>
  <c r="E128" i="8"/>
  <c r="F128" i="8" s="1"/>
  <c r="N128" i="8"/>
  <c r="I128" i="8"/>
  <c r="E154" i="8"/>
  <c r="G116" i="8"/>
  <c r="E116" i="8"/>
  <c r="F116" i="8" s="1"/>
  <c r="N116" i="8"/>
  <c r="K116" i="8"/>
  <c r="G138" i="8"/>
  <c r="E138" i="8"/>
  <c r="F138" i="8" s="1"/>
  <c r="N138" i="8"/>
  <c r="K138" i="8"/>
  <c r="N157" i="8"/>
  <c r="K157" i="8"/>
  <c r="I157" i="8"/>
  <c r="G157" i="8"/>
  <c r="E157" i="8"/>
  <c r="F157" i="8" s="1"/>
  <c r="G225" i="8"/>
  <c r="N225" i="8"/>
  <c r="K225" i="8"/>
  <c r="G122" i="8"/>
  <c r="E122" i="8"/>
  <c r="F122" i="8" s="1"/>
  <c r="N122" i="8"/>
  <c r="K122" i="8"/>
  <c r="K147" i="8"/>
  <c r="G147" i="8"/>
  <c r="N147" i="8"/>
  <c r="I147" i="8"/>
  <c r="E147" i="8"/>
  <c r="F147" i="8" s="1"/>
  <c r="G132" i="8"/>
  <c r="E132" i="8"/>
  <c r="F132" i="8" s="1"/>
  <c r="N132" i="8"/>
  <c r="K132" i="8"/>
  <c r="I132" i="8"/>
  <c r="K198" i="8"/>
  <c r="G198" i="8"/>
  <c r="N198" i="8"/>
  <c r="I198" i="8"/>
  <c r="E198" i="8"/>
  <c r="F198" i="8" s="1"/>
  <c r="I207" i="8"/>
  <c r="E225" i="8"/>
  <c r="N153" i="8"/>
  <c r="K153" i="8"/>
  <c r="G153" i="8"/>
  <c r="K160" i="8"/>
  <c r="I160" i="8"/>
  <c r="E187" i="8"/>
  <c r="F187" i="8" s="1"/>
  <c r="G121" i="8"/>
  <c r="E121" i="8"/>
  <c r="F121" i="8" s="1"/>
  <c r="N121" i="8"/>
  <c r="G137" i="8"/>
  <c r="E137" i="8"/>
  <c r="F137" i="8" s="1"/>
  <c r="N137" i="8"/>
  <c r="N150" i="8"/>
  <c r="K150" i="8"/>
  <c r="G150" i="8"/>
  <c r="E166" i="8"/>
  <c r="F166" i="8" s="1"/>
  <c r="E169" i="8"/>
  <c r="F169" i="8" s="1"/>
  <c r="N178" i="8"/>
  <c r="K178" i="8"/>
  <c r="G178" i="8"/>
  <c r="G110" i="8"/>
  <c r="E110" i="8"/>
  <c r="F110" i="8" s="1"/>
  <c r="N110" i="8"/>
  <c r="G126" i="8"/>
  <c r="E126" i="8"/>
  <c r="F126" i="8" s="1"/>
  <c r="N126" i="8"/>
  <c r="G142" i="8"/>
  <c r="E142" i="8"/>
  <c r="F142" i="8" s="1"/>
  <c r="N142" i="8"/>
  <c r="E223" i="8"/>
  <c r="F223" i="8" s="1"/>
  <c r="G136" i="8"/>
  <c r="E136" i="8"/>
  <c r="F136" i="8" s="1"/>
  <c r="N136" i="8"/>
  <c r="G160" i="8"/>
  <c r="F205" i="8"/>
  <c r="G125" i="8"/>
  <c r="E125" i="8"/>
  <c r="F125" i="8" s="1"/>
  <c r="N125" i="8"/>
  <c r="G141" i="8"/>
  <c r="E141" i="8"/>
  <c r="F141" i="8" s="1"/>
  <c r="N141" i="8"/>
  <c r="F146" i="8"/>
  <c r="K159" i="8"/>
  <c r="G159" i="8"/>
  <c r="I187" i="8"/>
  <c r="K201" i="8"/>
  <c r="I201" i="8"/>
  <c r="F231" i="8"/>
  <c r="G114" i="8"/>
  <c r="E114" i="8"/>
  <c r="F114" i="8" s="1"/>
  <c r="N114" i="8"/>
  <c r="I121" i="8"/>
  <c r="G130" i="8"/>
  <c r="E130" i="8"/>
  <c r="F130" i="8" s="1"/>
  <c r="N130" i="8"/>
  <c r="I137" i="8"/>
  <c r="K149" i="8"/>
  <c r="I149" i="8"/>
  <c r="N152" i="8"/>
  <c r="I152" i="8"/>
  <c r="I153" i="8"/>
  <c r="I155" i="8"/>
  <c r="K166" i="8"/>
  <c r="I169" i="8"/>
  <c r="K187" i="8"/>
  <c r="E193" i="8"/>
  <c r="F193" i="8" s="1"/>
  <c r="F201" i="8"/>
  <c r="F218" i="8"/>
  <c r="E108" i="8"/>
  <c r="F108" i="8" s="1"/>
  <c r="N108" i="8"/>
  <c r="I110" i="8"/>
  <c r="G119" i="8"/>
  <c r="E119" i="8"/>
  <c r="F119" i="8" s="1"/>
  <c r="N119" i="8"/>
  <c r="I126" i="8"/>
  <c r="G135" i="8"/>
  <c r="E135" i="8"/>
  <c r="F135" i="8" s="1"/>
  <c r="N135" i="8"/>
  <c r="I142" i="8"/>
  <c r="I150" i="8"/>
  <c r="N160" i="8"/>
  <c r="K168" i="8"/>
  <c r="I168" i="8"/>
  <c r="I178" i="8"/>
  <c r="E201" i="8"/>
  <c r="K121" i="8"/>
  <c r="G124" i="8"/>
  <c r="E124" i="8"/>
  <c r="F124" i="8" s="1"/>
  <c r="N124" i="8"/>
  <c r="K137" i="8"/>
  <c r="G140" i="8"/>
  <c r="E140" i="8"/>
  <c r="F140" i="8" s="1"/>
  <c r="N140" i="8"/>
  <c r="E145" i="8"/>
  <c r="F145" i="8" s="1"/>
  <c r="F149" i="8"/>
  <c r="F152" i="8"/>
  <c r="E159" i="8"/>
  <c r="F159" i="8" s="1"/>
  <c r="E165" i="8"/>
  <c r="F165" i="8" s="1"/>
  <c r="E174" i="8"/>
  <c r="F174" i="8" s="1"/>
  <c r="E177" i="8"/>
  <c r="F177" i="8" s="1"/>
  <c r="N187" i="8"/>
  <c r="E195" i="8"/>
  <c r="N195" i="8"/>
  <c r="K195" i="8"/>
  <c r="G201" i="8"/>
  <c r="F272" i="8"/>
  <c r="E107" i="8"/>
  <c r="F107" i="8" s="1"/>
  <c r="N107" i="8"/>
  <c r="K110" i="8"/>
  <c r="G113" i="8"/>
  <c r="E113" i="8"/>
  <c r="F113" i="8" s="1"/>
  <c r="N113" i="8"/>
  <c r="K126" i="8"/>
  <c r="G129" i="8"/>
  <c r="E129" i="8"/>
  <c r="F129" i="8" s="1"/>
  <c r="N129" i="8"/>
  <c r="I136" i="8"/>
  <c r="K142" i="8"/>
  <c r="E152" i="8"/>
  <c r="E155" i="8"/>
  <c r="F155" i="8" s="1"/>
  <c r="G165" i="8"/>
  <c r="I211" i="8"/>
  <c r="N211" i="8"/>
  <c r="E211" i="8"/>
  <c r="K211" i="8"/>
  <c r="G211" i="8"/>
  <c r="N216" i="8"/>
  <c r="G216" i="8"/>
  <c r="E216" i="8"/>
  <c r="F216" i="8" s="1"/>
  <c r="K216" i="8"/>
  <c r="G118" i="8"/>
  <c r="E118" i="8"/>
  <c r="F118" i="8" s="1"/>
  <c r="N118" i="8"/>
  <c r="I125" i="8"/>
  <c r="G134" i="8"/>
  <c r="E134" i="8"/>
  <c r="F134" i="8" s="1"/>
  <c r="N134" i="8"/>
  <c r="I141" i="8"/>
  <c r="E158" i="8"/>
  <c r="I159" i="8"/>
  <c r="E161" i="8"/>
  <c r="F161" i="8" s="1"/>
  <c r="E168" i="8"/>
  <c r="F168" i="8" s="1"/>
  <c r="N170" i="8"/>
  <c r="K170" i="8"/>
  <c r="G170" i="8"/>
  <c r="K183" i="8"/>
  <c r="I183" i="8"/>
  <c r="G183" i="8"/>
  <c r="N190" i="8"/>
  <c r="I190" i="8"/>
  <c r="G108" i="8"/>
  <c r="G123" i="8"/>
  <c r="E123" i="8"/>
  <c r="F123" i="8" s="1"/>
  <c r="N123" i="8"/>
  <c r="K136" i="8"/>
  <c r="G139" i="8"/>
  <c r="E139" i="8"/>
  <c r="F139" i="8" s="1"/>
  <c r="N139" i="8"/>
  <c r="I165" i="8"/>
  <c r="G168" i="8"/>
  <c r="K185" i="8"/>
  <c r="G185" i="8"/>
  <c r="G195" i="8"/>
  <c r="F211" i="8"/>
  <c r="I214" i="8"/>
  <c r="G214" i="8"/>
  <c r="E214" i="8"/>
  <c r="F214" i="8" s="1"/>
  <c r="N214" i="8"/>
  <c r="I221" i="8"/>
  <c r="N221" i="8"/>
  <c r="K221" i="8"/>
  <c r="E221" i="8"/>
  <c r="F221" i="8" s="1"/>
  <c r="N223" i="8"/>
  <c r="E240" i="8"/>
  <c r="F240" i="8" s="1"/>
  <c r="I240" i="8"/>
  <c r="G240" i="8"/>
  <c r="K240" i="8"/>
  <c r="E245" i="8"/>
  <c r="F245" i="8" s="1"/>
  <c r="N245" i="8"/>
  <c r="K245" i="8"/>
  <c r="I245" i="8"/>
  <c r="G245" i="8"/>
  <c r="F195" i="8"/>
  <c r="G221" i="8"/>
  <c r="F225" i="8"/>
  <c r="I227" i="8"/>
  <c r="N227" i="8"/>
  <c r="G227" i="8"/>
  <c r="E227" i="8"/>
  <c r="I191" i="8"/>
  <c r="E209" i="8"/>
  <c r="F209" i="8" s="1"/>
  <c r="K214" i="8"/>
  <c r="F227" i="8"/>
  <c r="I206" i="8"/>
  <c r="G206" i="8"/>
  <c r="E257" i="8"/>
  <c r="I354" i="8"/>
  <c r="E354" i="8"/>
  <c r="F354" i="8" s="1"/>
  <c r="N354" i="8"/>
  <c r="F200" i="8"/>
  <c r="E203" i="8"/>
  <c r="F203" i="8" s="1"/>
  <c r="I222" i="8"/>
  <c r="G222" i="8"/>
  <c r="I224" i="8"/>
  <c r="E224" i="8"/>
  <c r="F224" i="8" s="1"/>
  <c r="N224" i="8"/>
  <c r="K224" i="8"/>
  <c r="F250" i="8"/>
  <c r="I208" i="8"/>
  <c r="E208" i="8"/>
  <c r="F208" i="8" s="1"/>
  <c r="N208" i="8"/>
  <c r="K208" i="8"/>
  <c r="F257" i="8"/>
  <c r="I284" i="8"/>
  <c r="G284" i="8"/>
  <c r="E284" i="8"/>
  <c r="F284" i="8" s="1"/>
  <c r="N284" i="8"/>
  <c r="K284" i="8"/>
  <c r="I228" i="8"/>
  <c r="K228" i="8"/>
  <c r="F252" i="8"/>
  <c r="G203" i="8"/>
  <c r="I217" i="8"/>
  <c r="K217" i="8"/>
  <c r="G217" i="8"/>
  <c r="E217" i="8"/>
  <c r="F217" i="8" s="1"/>
  <c r="E222" i="8"/>
  <c r="F222" i="8" s="1"/>
  <c r="E237" i="8"/>
  <c r="F237" i="8" s="1"/>
  <c r="G237" i="8"/>
  <c r="K237" i="8"/>
  <c r="I237" i="8"/>
  <c r="G188" i="8"/>
  <c r="K197" i="8"/>
  <c r="N199" i="8"/>
  <c r="I199" i="8"/>
  <c r="K206" i="8"/>
  <c r="I212" i="8"/>
  <c r="E215" i="8"/>
  <c r="F215" i="8" s="1"/>
  <c r="K222" i="8"/>
  <c r="G224" i="8"/>
  <c r="E230" i="8"/>
  <c r="F230" i="8" s="1"/>
  <c r="N230" i="8"/>
  <c r="G230" i="8"/>
  <c r="E232" i="8"/>
  <c r="F232" i="8" s="1"/>
  <c r="K232" i="8"/>
  <c r="I232" i="8"/>
  <c r="G232" i="8"/>
  <c r="I205" i="8"/>
  <c r="K205" i="8"/>
  <c r="G208" i="8"/>
  <c r="I219" i="8"/>
  <c r="E219" i="8"/>
  <c r="F219" i="8" s="1"/>
  <c r="E228" i="8"/>
  <c r="F228" i="8" s="1"/>
  <c r="E254" i="8"/>
  <c r="E263" i="8"/>
  <c r="F263" i="8" s="1"/>
  <c r="E265" i="8"/>
  <c r="F265" i="8" s="1"/>
  <c r="F274" i="8"/>
  <c r="N206" i="8"/>
  <c r="F212" i="8"/>
  <c r="G215" i="8"/>
  <c r="N222" i="8"/>
  <c r="G228" i="8"/>
  <c r="E242" i="8"/>
  <c r="F242" i="8" s="1"/>
  <c r="K242" i="8"/>
  <c r="I242" i="8"/>
  <c r="G242" i="8"/>
  <c r="E247" i="8"/>
  <c r="F247" i="8" s="1"/>
  <c r="N247" i="8"/>
  <c r="K247" i="8"/>
  <c r="I247" i="8"/>
  <c r="G247" i="8"/>
  <c r="F269" i="8"/>
  <c r="F306" i="8"/>
  <c r="K297" i="8"/>
  <c r="G297" i="8"/>
  <c r="N297" i="8"/>
  <c r="I297" i="8"/>
  <c r="E297" i="8"/>
  <c r="I306" i="8"/>
  <c r="N306" i="8"/>
  <c r="E306" i="8"/>
  <c r="F334" i="8"/>
  <c r="G207" i="8"/>
  <c r="I216" i="8"/>
  <c r="G223" i="8"/>
  <c r="K238" i="8"/>
  <c r="E243" i="8"/>
  <c r="F243" i="8" s="1"/>
  <c r="K243" i="8"/>
  <c r="I243" i="8"/>
  <c r="G243" i="8"/>
  <c r="I210" i="8"/>
  <c r="I226" i="8"/>
  <c r="E231" i="8"/>
  <c r="K231" i="8"/>
  <c r="K304" i="8"/>
  <c r="G304" i="8"/>
  <c r="N304" i="8"/>
  <c r="E304" i="8"/>
  <c r="F304" i="8" s="1"/>
  <c r="I304" i="8"/>
  <c r="F310" i="8"/>
  <c r="E335" i="8"/>
  <c r="F335" i="8" s="1"/>
  <c r="K207" i="8"/>
  <c r="I215" i="8"/>
  <c r="K223" i="8"/>
  <c r="F254" i="8"/>
  <c r="N275" i="8"/>
  <c r="K275" i="8"/>
  <c r="I275" i="8"/>
  <c r="E275" i="8"/>
  <c r="F275" i="8" s="1"/>
  <c r="F362" i="8"/>
  <c r="E256" i="8"/>
  <c r="F256" i="8" s="1"/>
  <c r="F298" i="8"/>
  <c r="N339" i="8"/>
  <c r="I339" i="8"/>
  <c r="E339" i="8"/>
  <c r="F339" i="8" s="1"/>
  <c r="E197" i="8"/>
  <c r="F197" i="8" s="1"/>
  <c r="N207" i="8"/>
  <c r="I209" i="8"/>
  <c r="E210" i="8"/>
  <c r="F210" i="8" s="1"/>
  <c r="I225" i="8"/>
  <c r="E226" i="8"/>
  <c r="F226" i="8" s="1"/>
  <c r="F236" i="8"/>
  <c r="F271" i="8"/>
  <c r="E293" i="8"/>
  <c r="N295" i="8"/>
  <c r="E295" i="8"/>
  <c r="N314" i="8"/>
  <c r="E314" i="8"/>
  <c r="E253" i="8"/>
  <c r="F253" i="8" s="1"/>
  <c r="N269" i="8"/>
  <c r="I269" i="8"/>
  <c r="F290" i="8"/>
  <c r="F293" i="8"/>
  <c r="F295" i="8"/>
  <c r="F314" i="8"/>
  <c r="N356" i="8"/>
  <c r="I356" i="8"/>
  <c r="E356" i="8"/>
  <c r="F356" i="8" s="1"/>
  <c r="E264" i="8"/>
  <c r="F264" i="8" s="1"/>
  <c r="F330" i="8"/>
  <c r="I213" i="8"/>
  <c r="G220" i="8"/>
  <c r="E244" i="8"/>
  <c r="N244" i="8"/>
  <c r="K244" i="8"/>
  <c r="E246" i="8"/>
  <c r="F246" i="8" s="1"/>
  <c r="N246" i="8"/>
  <c r="K210" i="8"/>
  <c r="I218" i="8"/>
  <c r="K226" i="8"/>
  <c r="E248" i="8"/>
  <c r="F248" i="8" s="1"/>
  <c r="N248" i="8"/>
  <c r="E252" i="8"/>
  <c r="E261" i="8"/>
  <c r="F261" i="8" s="1"/>
  <c r="G269" i="8"/>
  <c r="K312" i="8"/>
  <c r="G312" i="8"/>
  <c r="N312" i="8"/>
  <c r="E312" i="8"/>
  <c r="F312" i="8" s="1"/>
  <c r="I312" i="8"/>
  <c r="I223" i="8"/>
  <c r="E238" i="8"/>
  <c r="F238" i="8" s="1"/>
  <c r="G238" i="8"/>
  <c r="F244" i="8"/>
  <c r="E255" i="8"/>
  <c r="F255" i="8" s="1"/>
  <c r="K269" i="8"/>
  <c r="K290" i="8"/>
  <c r="G290" i="8"/>
  <c r="F321" i="8"/>
  <c r="E351" i="8"/>
  <c r="F351" i="8" s="1"/>
  <c r="N280" i="8"/>
  <c r="K280" i="8"/>
  <c r="F297" i="8"/>
  <c r="N308" i="8"/>
  <c r="I308" i="8"/>
  <c r="E308" i="8"/>
  <c r="F308" i="8" s="1"/>
  <c r="E315" i="8"/>
  <c r="F315" i="8" s="1"/>
  <c r="K317" i="8"/>
  <c r="G317" i="8"/>
  <c r="I317" i="8"/>
  <c r="N317" i="8"/>
  <c r="E317" i="8"/>
  <c r="F317" i="8" s="1"/>
  <c r="K328" i="8"/>
  <c r="G328" i="8"/>
  <c r="N328" i="8"/>
  <c r="E328" i="8"/>
  <c r="F328" i="8" s="1"/>
  <c r="I328" i="8"/>
  <c r="K342" i="8"/>
  <c r="G342" i="8"/>
  <c r="I342" i="8"/>
  <c r="N342" i="8"/>
  <c r="E342" i="8"/>
  <c r="F342" i="8" s="1"/>
  <c r="E262" i="8"/>
  <c r="F262" i="8" s="1"/>
  <c r="E277" i="8"/>
  <c r="F277" i="8" s="1"/>
  <c r="I290" i="8"/>
  <c r="F326" i="8"/>
  <c r="E241" i="8"/>
  <c r="F241" i="8" s="1"/>
  <c r="I268" i="8"/>
  <c r="G268" i="8"/>
  <c r="E268" i="8"/>
  <c r="F268" i="8" s="1"/>
  <c r="K274" i="8"/>
  <c r="G274" i="8"/>
  <c r="E280" i="8"/>
  <c r="F280" i="8" s="1"/>
  <c r="E286" i="8"/>
  <c r="F286" i="8" s="1"/>
  <c r="N290" i="8"/>
  <c r="E292" i="8"/>
  <c r="F292" i="8" s="1"/>
  <c r="E340" i="8"/>
  <c r="F340" i="8" s="1"/>
  <c r="K345" i="8"/>
  <c r="G345" i="8"/>
  <c r="N345" i="8"/>
  <c r="I345" i="8"/>
  <c r="G283" i="8"/>
  <c r="E283" i="8"/>
  <c r="F283" i="8" s="1"/>
  <c r="E357" i="8"/>
  <c r="F357" i="8" s="1"/>
  <c r="E239" i="8"/>
  <c r="F239" i="8" s="1"/>
  <c r="E274" i="8"/>
  <c r="G280" i="8"/>
  <c r="G286" i="8"/>
  <c r="N289" i="8"/>
  <c r="K289" i="8"/>
  <c r="G289" i="8"/>
  <c r="I292" i="8"/>
  <c r="I315" i="8"/>
  <c r="E322" i="8"/>
  <c r="F322" i="8" s="1"/>
  <c r="K329" i="8"/>
  <c r="G329" i="8"/>
  <c r="N329" i="8"/>
  <c r="N331" i="8"/>
  <c r="I331" i="8"/>
  <c r="I340" i="8"/>
  <c r="F345" i="8"/>
  <c r="E260" i="8"/>
  <c r="F260" i="8" s="1"/>
  <c r="I280" i="8"/>
  <c r="I286" i="8"/>
  <c r="F289" i="8"/>
  <c r="K292" i="8"/>
  <c r="N300" i="8"/>
  <c r="I300" i="8"/>
  <c r="K309" i="8"/>
  <c r="G309" i="8"/>
  <c r="I309" i="8"/>
  <c r="N309" i="8"/>
  <c r="K318" i="8"/>
  <c r="G318" i="8"/>
  <c r="I318" i="8"/>
  <c r="F338" i="8"/>
  <c r="I283" i="8"/>
  <c r="K286" i="8"/>
  <c r="N315" i="8"/>
  <c r="K320" i="8"/>
  <c r="G320" i="8"/>
  <c r="N320" i="8"/>
  <c r="E320" i="8"/>
  <c r="F320" i="8" s="1"/>
  <c r="E236" i="8"/>
  <c r="E251" i="8"/>
  <c r="F251" i="8" s="1"/>
  <c r="E259" i="8"/>
  <c r="F259" i="8" s="1"/>
  <c r="G267" i="8"/>
  <c r="E267" i="8"/>
  <c r="F267" i="8" s="1"/>
  <c r="N274" i="8"/>
  <c r="E276" i="8"/>
  <c r="F276" i="8" s="1"/>
  <c r="N279" i="8"/>
  <c r="K279" i="8"/>
  <c r="I279" i="8"/>
  <c r="K283" i="8"/>
  <c r="N285" i="8"/>
  <c r="I285" i="8"/>
  <c r="I289" i="8"/>
  <c r="N292" i="8"/>
  <c r="F294" i="8"/>
  <c r="E300" i="8"/>
  <c r="F300" i="8" s="1"/>
  <c r="F309" i="8"/>
  <c r="E329" i="8"/>
  <c r="E235" i="8"/>
  <c r="F235" i="8" s="1"/>
  <c r="G239" i="8"/>
  <c r="I241" i="8"/>
  <c r="G270" i="8"/>
  <c r="K273" i="8"/>
  <c r="G273" i="8"/>
  <c r="E282" i="8"/>
  <c r="F282" i="8" s="1"/>
  <c r="E291" i="8"/>
  <c r="F291" i="8" s="1"/>
  <c r="E296" i="8"/>
  <c r="F296" i="8" s="1"/>
  <c r="E309" i="8"/>
  <c r="E318" i="8"/>
  <c r="F318" i="8" s="1"/>
  <c r="E348" i="8"/>
  <c r="F348" i="8" s="1"/>
  <c r="E234" i="8"/>
  <c r="F234" i="8" s="1"/>
  <c r="E250" i="8"/>
  <c r="E258" i="8"/>
  <c r="F258" i="8" s="1"/>
  <c r="E266" i="8"/>
  <c r="F266" i="8" s="1"/>
  <c r="I270" i="8"/>
  <c r="F273" i="8"/>
  <c r="G276" i="8"/>
  <c r="E279" i="8"/>
  <c r="F279" i="8" s="1"/>
  <c r="N283" i="8"/>
  <c r="E285" i="8"/>
  <c r="F285" i="8" s="1"/>
  <c r="K301" i="8"/>
  <c r="G301" i="8"/>
  <c r="I301" i="8"/>
  <c r="E316" i="8"/>
  <c r="F316" i="8" s="1"/>
  <c r="I320" i="8"/>
  <c r="K334" i="8"/>
  <c r="G334" i="8"/>
  <c r="I334" i="8"/>
  <c r="N334" i="8"/>
  <c r="N357" i="8"/>
  <c r="E233" i="8"/>
  <c r="F233" i="8" s="1"/>
  <c r="I239" i="8"/>
  <c r="K241" i="8"/>
  <c r="E249" i="8"/>
  <c r="F249" i="8" s="1"/>
  <c r="K270" i="8"/>
  <c r="I314" i="8"/>
  <c r="K325" i="8"/>
  <c r="G325" i="8"/>
  <c r="I325" i="8"/>
  <c r="N325" i="8"/>
  <c r="E325" i="8"/>
  <c r="F325" i="8" s="1"/>
  <c r="I348" i="8"/>
  <c r="K353" i="8"/>
  <c r="G353" i="8"/>
  <c r="N353" i="8"/>
  <c r="I353" i="8"/>
  <c r="E353" i="8"/>
  <c r="E294" i="8"/>
  <c r="E303" i="8"/>
  <c r="F303" i="8" s="1"/>
  <c r="K350" i="8"/>
  <c r="G350" i="8"/>
  <c r="I350" i="8"/>
  <c r="F353" i="8"/>
  <c r="K361" i="8"/>
  <c r="G361" i="8"/>
  <c r="N361" i="8"/>
  <c r="K333" i="8"/>
  <c r="G333" i="8"/>
  <c r="I333" i="8"/>
  <c r="K336" i="8"/>
  <c r="G336" i="8"/>
  <c r="N336" i="8"/>
  <c r="E336" i="8"/>
  <c r="F336" i="8" s="1"/>
  <c r="E278" i="8"/>
  <c r="F278" i="8" s="1"/>
  <c r="K305" i="8"/>
  <c r="G305" i="8"/>
  <c r="N305" i="8"/>
  <c r="E311" i="8"/>
  <c r="F311" i="8" s="1"/>
  <c r="E347" i="8"/>
  <c r="F347" i="8" s="1"/>
  <c r="F350" i="8"/>
  <c r="K358" i="8"/>
  <c r="G358" i="8"/>
  <c r="I358" i="8"/>
  <c r="G294" i="8"/>
  <c r="K341" i="8"/>
  <c r="G341" i="8"/>
  <c r="I341" i="8"/>
  <c r="K344" i="8"/>
  <c r="G344" i="8"/>
  <c r="N344" i="8"/>
  <c r="E344" i="8"/>
  <c r="F344" i="8" s="1"/>
  <c r="E350" i="8"/>
  <c r="E361" i="8"/>
  <c r="F361" i="8" s="1"/>
  <c r="K302" i="8"/>
  <c r="G302" i="8"/>
  <c r="I302" i="8"/>
  <c r="F305" i="8"/>
  <c r="K313" i="8"/>
  <c r="G313" i="8"/>
  <c r="N313" i="8"/>
  <c r="E319" i="8"/>
  <c r="F319" i="8" s="1"/>
  <c r="E333" i="8"/>
  <c r="F333" i="8" s="1"/>
  <c r="E355" i="8"/>
  <c r="F355" i="8" s="1"/>
  <c r="F358" i="8"/>
  <c r="I361" i="8"/>
  <c r="K294" i="8"/>
  <c r="K296" i="8"/>
  <c r="G296" i="8"/>
  <c r="N296" i="8"/>
  <c r="E305" i="8"/>
  <c r="I336" i="8"/>
  <c r="F341" i="8"/>
  <c r="I347" i="8"/>
  <c r="K349" i="8"/>
  <c r="G349" i="8"/>
  <c r="I349" i="8"/>
  <c r="K352" i="8"/>
  <c r="G352" i="8"/>
  <c r="N352" i="8"/>
  <c r="E352" i="8"/>
  <c r="F352" i="8" s="1"/>
  <c r="E358" i="8"/>
  <c r="F302" i="8"/>
  <c r="K310" i="8"/>
  <c r="G310" i="8"/>
  <c r="I310" i="8"/>
  <c r="F313" i="8"/>
  <c r="K321" i="8"/>
  <c r="G321" i="8"/>
  <c r="N321" i="8"/>
  <c r="F324" i="8"/>
  <c r="E327" i="8"/>
  <c r="F327" i="8" s="1"/>
  <c r="E302" i="8"/>
  <c r="E313" i="8"/>
  <c r="I344" i="8"/>
  <c r="F349" i="8"/>
  <c r="N350" i="8"/>
  <c r="K357" i="8"/>
  <c r="G357" i="8"/>
  <c r="I357" i="8"/>
  <c r="K360" i="8"/>
  <c r="G360" i="8"/>
  <c r="N360" i="8"/>
  <c r="E360" i="8"/>
  <c r="F360" i="8" s="1"/>
  <c r="B11" i="10"/>
  <c r="I321" i="8"/>
  <c r="K326" i="8"/>
  <c r="G326" i="8"/>
  <c r="I326" i="8"/>
  <c r="F329" i="8"/>
  <c r="K337" i="8"/>
  <c r="G337" i="8"/>
  <c r="N337" i="8"/>
  <c r="E343" i="8"/>
  <c r="F343" i="8" s="1"/>
  <c r="K295" i="8"/>
  <c r="G295" i="8"/>
  <c r="K303" i="8"/>
  <c r="G303" i="8"/>
  <c r="K311" i="8"/>
  <c r="G311" i="8"/>
  <c r="K319" i="8"/>
  <c r="G319" i="8"/>
  <c r="K327" i="8"/>
  <c r="G327" i="8"/>
  <c r="K335" i="8"/>
  <c r="G335" i="8"/>
  <c r="K343" i="8"/>
  <c r="G343" i="8"/>
  <c r="K351" i="8"/>
  <c r="G351" i="8"/>
  <c r="K359" i="8"/>
  <c r="G359" i="8"/>
  <c r="B34" i="11"/>
  <c r="E359" i="8"/>
  <c r="F359" i="8" s="1"/>
  <c r="I295" i="8"/>
  <c r="K300" i="8"/>
  <c r="G300" i="8"/>
  <c r="I303" i="8"/>
  <c r="K308" i="8"/>
  <c r="G308" i="8"/>
  <c r="I311" i="8"/>
  <c r="K316" i="8"/>
  <c r="G316" i="8"/>
  <c r="I319" i="8"/>
  <c r="K324" i="8"/>
  <c r="G324" i="8"/>
  <c r="I327" i="8"/>
  <c r="K332" i="8"/>
  <c r="G332" i="8"/>
  <c r="I335" i="8"/>
  <c r="K340" i="8"/>
  <c r="G340" i="8"/>
  <c r="I343" i="8"/>
  <c r="K348" i="8"/>
  <c r="G348" i="8"/>
  <c r="I351" i="8"/>
  <c r="K356" i="8"/>
  <c r="G356" i="8"/>
  <c r="I359" i="8"/>
  <c r="K299" i="8"/>
  <c r="G299" i="8"/>
  <c r="K307" i="8"/>
  <c r="G307" i="8"/>
  <c r="K315" i="8"/>
  <c r="G315" i="8"/>
  <c r="K323" i="8"/>
  <c r="G323" i="8"/>
  <c r="K331" i="8"/>
  <c r="G331" i="8"/>
  <c r="K339" i="8"/>
  <c r="G339" i="8"/>
  <c r="K347" i="8"/>
  <c r="G347" i="8"/>
  <c r="K355" i="8"/>
  <c r="G355" i="8"/>
  <c r="K298" i="8"/>
  <c r="G298" i="8"/>
  <c r="N303" i="8"/>
  <c r="K306" i="8"/>
  <c r="G306" i="8"/>
  <c r="N311" i="8"/>
  <c r="K314" i="8"/>
  <c r="G314" i="8"/>
  <c r="N319" i="8"/>
  <c r="K322" i="8"/>
  <c r="G322" i="8"/>
  <c r="N327" i="8"/>
  <c r="K330" i="8"/>
  <c r="G330" i="8"/>
  <c r="N335" i="8"/>
  <c r="K338" i="8"/>
  <c r="G338" i="8"/>
  <c r="N343" i="8"/>
  <c r="K346" i="8"/>
  <c r="G346" i="8"/>
  <c r="N351" i="8"/>
  <c r="K354" i="8"/>
  <c r="G354" i="8"/>
  <c r="N359" i="8"/>
  <c r="K362" i="8"/>
  <c r="G362" i="8"/>
  <c r="F6" i="11" l="1"/>
  <c r="L278" i="8"/>
  <c r="H278" i="8"/>
  <c r="H238" i="8"/>
  <c r="L238" i="8"/>
  <c r="H207" i="8"/>
  <c r="L207" i="8"/>
  <c r="L33" i="8"/>
  <c r="H33" i="8"/>
  <c r="E6" i="10"/>
  <c r="L44" i="8"/>
  <c r="H44" i="8"/>
  <c r="H17" i="7"/>
  <c r="L17" i="7"/>
  <c r="D10" i="10"/>
  <c r="G10" i="10" s="1"/>
  <c r="J43" i="6"/>
  <c r="M43" i="6"/>
  <c r="O43" i="6"/>
  <c r="L303" i="8"/>
  <c r="H303" i="8"/>
  <c r="L62" i="7"/>
  <c r="H62" i="7"/>
  <c r="L83" i="7"/>
  <c r="H83" i="7"/>
  <c r="H254" i="6"/>
  <c r="L254" i="6"/>
  <c r="O108" i="6"/>
  <c r="M108" i="6"/>
  <c r="P108" i="6" s="1"/>
  <c r="J108" i="6"/>
  <c r="L343" i="8"/>
  <c r="H343" i="8"/>
  <c r="L262" i="8"/>
  <c r="H262" i="8"/>
  <c r="H253" i="8"/>
  <c r="L253" i="8"/>
  <c r="L203" i="8"/>
  <c r="H203" i="8"/>
  <c r="H332" i="7"/>
  <c r="L332" i="7"/>
  <c r="E8" i="11"/>
  <c r="H8" i="11" s="1"/>
  <c r="L104" i="7"/>
  <c r="H104" i="7"/>
  <c r="D7" i="10"/>
  <c r="G7" i="10" s="1"/>
  <c r="H246" i="6"/>
  <c r="L246" i="6"/>
  <c r="J62" i="6"/>
  <c r="M62" i="6" s="1"/>
  <c r="P62" i="6" s="1"/>
  <c r="O62" i="6"/>
  <c r="J17" i="6"/>
  <c r="M17" i="6" s="1"/>
  <c r="P17" i="6" s="1"/>
  <c r="O17" i="6"/>
  <c r="L29" i="8"/>
  <c r="H29" i="8"/>
  <c r="E7" i="10"/>
  <c r="H7" i="10" s="1"/>
  <c r="L340" i="8"/>
  <c r="H340" i="8"/>
  <c r="L242" i="8"/>
  <c r="H242" i="8"/>
  <c r="H214" i="8"/>
  <c r="L214" i="8"/>
  <c r="L72" i="8"/>
  <c r="H72" i="8"/>
  <c r="L121" i="7"/>
  <c r="H121" i="7"/>
  <c r="L238" i="6"/>
  <c r="H238" i="6"/>
  <c r="H198" i="6"/>
  <c r="L198" i="6"/>
  <c r="J181" i="6"/>
  <c r="O181" i="6"/>
  <c r="M181" i="6"/>
  <c r="H229" i="7"/>
  <c r="L229" i="7"/>
  <c r="J27" i="6"/>
  <c r="O27" i="6"/>
  <c r="M27" i="6"/>
  <c r="P27" i="6" s="1"/>
  <c r="O68" i="6"/>
  <c r="J68" i="6"/>
  <c r="M68" i="6" s="1"/>
  <c r="P68" i="6" s="1"/>
  <c r="E11" i="11"/>
  <c r="H11" i="11" s="1"/>
  <c r="H211" i="7"/>
  <c r="L211" i="7"/>
  <c r="H223" i="7"/>
  <c r="L223" i="7"/>
  <c r="L59" i="7"/>
  <c r="H59" i="7"/>
  <c r="L224" i="6"/>
  <c r="H224" i="6"/>
  <c r="O112" i="6"/>
  <c r="J112" i="6"/>
  <c r="M112" i="6" s="1"/>
  <c r="P112" i="6" s="1"/>
  <c r="H349" i="7"/>
  <c r="L349" i="7"/>
  <c r="L333" i="8"/>
  <c r="H333" i="8"/>
  <c r="L354" i="8"/>
  <c r="H354" i="8"/>
  <c r="L275" i="8"/>
  <c r="H275" i="8"/>
  <c r="L34" i="8"/>
  <c r="H34" i="8"/>
  <c r="L101" i="7"/>
  <c r="H101" i="7"/>
  <c r="L56" i="7"/>
  <c r="H56" i="7"/>
  <c r="H19" i="7"/>
  <c r="L19" i="7"/>
  <c r="L33" i="7"/>
  <c r="H33" i="7"/>
  <c r="L44" i="7"/>
  <c r="H44" i="7"/>
  <c r="M196" i="6"/>
  <c r="P196" i="6" s="1"/>
  <c r="J196" i="6"/>
  <c r="O196" i="6"/>
  <c r="H352" i="7"/>
  <c r="L352" i="7"/>
  <c r="J6" i="6"/>
  <c r="O6" i="6"/>
  <c r="M6" i="6"/>
  <c r="L266" i="8"/>
  <c r="H266" i="8"/>
  <c r="L251" i="8"/>
  <c r="H251" i="8"/>
  <c r="L348" i="8"/>
  <c r="H348" i="8"/>
  <c r="L37" i="8"/>
  <c r="H37" i="8"/>
  <c r="L35" i="8"/>
  <c r="H35" i="8"/>
  <c r="L52" i="7"/>
  <c r="H52" i="7"/>
  <c r="H331" i="7"/>
  <c r="L331" i="7"/>
  <c r="L226" i="6"/>
  <c r="H226" i="6"/>
  <c r="J129" i="6"/>
  <c r="M129" i="6" s="1"/>
  <c r="P129" i="6" s="1"/>
  <c r="O129" i="6"/>
  <c r="L199" i="6"/>
  <c r="H199" i="6"/>
  <c r="L288" i="8"/>
  <c r="H288" i="8"/>
  <c r="L325" i="8"/>
  <c r="H325" i="8"/>
  <c r="L318" i="8"/>
  <c r="H318" i="8"/>
  <c r="L114" i="7"/>
  <c r="H114" i="7"/>
  <c r="M209" i="6"/>
  <c r="J209" i="6"/>
  <c r="O209" i="6"/>
  <c r="J47" i="6"/>
  <c r="O47" i="6"/>
  <c r="M47" i="6"/>
  <c r="P47" i="6" s="1"/>
  <c r="L160" i="8"/>
  <c r="H160" i="8"/>
  <c r="L284" i="8"/>
  <c r="H284" i="8"/>
  <c r="E9" i="11"/>
  <c r="H9" i="11" s="1"/>
  <c r="H56" i="8"/>
  <c r="L56" i="8"/>
  <c r="L12" i="8"/>
  <c r="H12" i="8"/>
  <c r="E7" i="11"/>
  <c r="H7" i="11" s="1"/>
  <c r="E10" i="10"/>
  <c r="H10" i="10" s="1"/>
  <c r="L81" i="7"/>
  <c r="H81" i="7"/>
  <c r="D10" i="11"/>
  <c r="G10" i="11" s="1"/>
  <c r="L45" i="7"/>
  <c r="H45" i="7"/>
  <c r="L48" i="7"/>
  <c r="H48" i="7"/>
  <c r="D8" i="11"/>
  <c r="G8" i="11" s="1"/>
  <c r="H200" i="6"/>
  <c r="L200" i="6"/>
  <c r="L222" i="6"/>
  <c r="H222" i="6"/>
  <c r="J8" i="6"/>
  <c r="M8" i="6" s="1"/>
  <c r="P8" i="6" s="1"/>
  <c r="O8" i="6"/>
  <c r="L61" i="8"/>
  <c r="H61" i="8"/>
  <c r="H316" i="8"/>
  <c r="L316" i="8"/>
  <c r="H62" i="8"/>
  <c r="L62" i="8"/>
  <c r="H230" i="8"/>
  <c r="L230" i="8"/>
  <c r="L90" i="7"/>
  <c r="H90" i="7"/>
  <c r="L113" i="7"/>
  <c r="H113" i="7"/>
  <c r="L108" i="7"/>
  <c r="H108" i="7"/>
  <c r="O264" i="6"/>
  <c r="M264" i="6"/>
  <c r="P264" i="6" s="1"/>
  <c r="J264" i="6"/>
  <c r="L214" i="6"/>
  <c r="H214" i="6"/>
  <c r="L193" i="6"/>
  <c r="H193" i="6"/>
  <c r="L204" i="6"/>
  <c r="H204" i="6"/>
  <c r="J123" i="6"/>
  <c r="M123" i="6"/>
  <c r="P123" i="6" s="1"/>
  <c r="O123" i="6"/>
  <c r="L250" i="6"/>
  <c r="H250" i="6"/>
  <c r="H261" i="8"/>
  <c r="L261" i="8"/>
  <c r="H217" i="8"/>
  <c r="L217" i="8"/>
  <c r="H260" i="8"/>
  <c r="L260" i="8"/>
  <c r="L268" i="8"/>
  <c r="H268" i="8"/>
  <c r="L265" i="8"/>
  <c r="H265" i="8"/>
  <c r="L49" i="7"/>
  <c r="H49" i="7"/>
  <c r="H11" i="7"/>
  <c r="L11" i="7"/>
  <c r="M31" i="6"/>
  <c r="P31" i="6" s="1"/>
  <c r="J31" i="6"/>
  <c r="O31" i="6"/>
  <c r="L322" i="8"/>
  <c r="H322" i="8"/>
  <c r="E6" i="11"/>
  <c r="L68" i="7"/>
  <c r="H68" i="7"/>
  <c r="H120" i="7"/>
  <c r="L120" i="7"/>
  <c r="D6" i="10"/>
  <c r="L190" i="6"/>
  <c r="H190" i="6"/>
  <c r="L342" i="8"/>
  <c r="H342" i="8"/>
  <c r="H239" i="8"/>
  <c r="L239" i="8"/>
  <c r="L248" i="8"/>
  <c r="H248" i="8"/>
  <c r="L210" i="8"/>
  <c r="H210" i="8"/>
  <c r="L263" i="8"/>
  <c r="H263" i="8"/>
  <c r="H209" i="8"/>
  <c r="L209" i="8"/>
  <c r="L357" i="8"/>
  <c r="H357" i="8"/>
  <c r="H145" i="8"/>
  <c r="L145" i="8"/>
  <c r="L223" i="8"/>
  <c r="H223" i="8"/>
  <c r="H343" i="7"/>
  <c r="L343" i="7"/>
  <c r="H325" i="7"/>
  <c r="L325" i="7"/>
  <c r="L111" i="7"/>
  <c r="H111" i="7"/>
  <c r="L58" i="7"/>
  <c r="H58" i="7"/>
  <c r="D11" i="11"/>
  <c r="G11" i="11" s="1"/>
  <c r="H5" i="7"/>
  <c r="L5" i="7"/>
  <c r="D8" i="10"/>
  <c r="G8" i="10" s="1"/>
  <c r="L258" i="6"/>
  <c r="H258" i="6"/>
  <c r="L155" i="8"/>
  <c r="H155" i="8"/>
  <c r="L359" i="8"/>
  <c r="H359" i="8"/>
  <c r="H361" i="8"/>
  <c r="L361" i="8"/>
  <c r="L255" i="8"/>
  <c r="H255" i="8"/>
  <c r="L335" i="8"/>
  <c r="H335" i="8"/>
  <c r="L228" i="8"/>
  <c r="H228" i="8"/>
  <c r="H52" i="8"/>
  <c r="L52" i="8"/>
  <c r="L53" i="7"/>
  <c r="H53" i="7"/>
  <c r="L41" i="7"/>
  <c r="H41" i="7"/>
  <c r="L110" i="7"/>
  <c r="H110" i="7"/>
  <c r="L234" i="6"/>
  <c r="H234" i="6"/>
  <c r="L191" i="6"/>
  <c r="H191" i="6"/>
  <c r="O65" i="6"/>
  <c r="J65" i="6"/>
  <c r="M65" i="6" s="1"/>
  <c r="P65" i="6" s="1"/>
  <c r="L63" i="8"/>
  <c r="H63" i="8"/>
  <c r="C10" i="11"/>
  <c r="F10" i="11" s="1"/>
  <c r="H337" i="8"/>
  <c r="L337" i="8"/>
  <c r="L279" i="8"/>
  <c r="H279" i="8"/>
  <c r="L276" i="8"/>
  <c r="H276" i="8"/>
  <c r="L221" i="8"/>
  <c r="H221" i="8"/>
  <c r="L162" i="8"/>
  <c r="H162" i="8"/>
  <c r="J113" i="6"/>
  <c r="M113" i="6" s="1"/>
  <c r="P113" i="6" s="1"/>
  <c r="O113" i="6"/>
  <c r="C7" i="11"/>
  <c r="F7" i="11" s="1"/>
  <c r="H174" i="8"/>
  <c r="L174" i="8"/>
  <c r="H158" i="8"/>
  <c r="L158" i="8"/>
  <c r="L270" i="8"/>
  <c r="H270" i="8"/>
  <c r="H345" i="7"/>
  <c r="L345" i="7"/>
  <c r="L150" i="7"/>
  <c r="H150" i="7"/>
  <c r="H279" i="6"/>
  <c r="L279" i="6"/>
  <c r="L80" i="7"/>
  <c r="H80" i="7"/>
  <c r="L100" i="8"/>
  <c r="H100" i="8"/>
  <c r="L187" i="7"/>
  <c r="H187" i="7"/>
  <c r="H283" i="6"/>
  <c r="L283" i="6"/>
  <c r="H151" i="7"/>
  <c r="L151" i="7"/>
  <c r="L232" i="8"/>
  <c r="H232" i="8"/>
  <c r="H200" i="8"/>
  <c r="L200" i="8"/>
  <c r="H114" i="8"/>
  <c r="L114" i="8"/>
  <c r="H310" i="6"/>
  <c r="L310" i="6"/>
  <c r="L33" i="6"/>
  <c r="H33" i="6"/>
  <c r="L319" i="8"/>
  <c r="H319" i="8"/>
  <c r="L267" i="8"/>
  <c r="H267" i="8"/>
  <c r="L317" i="8"/>
  <c r="H317" i="8"/>
  <c r="L330" i="8"/>
  <c r="H330" i="8"/>
  <c r="L326" i="8"/>
  <c r="H326" i="8"/>
  <c r="H130" i="8"/>
  <c r="L130" i="8"/>
  <c r="L259" i="8"/>
  <c r="H259" i="8"/>
  <c r="L271" i="8"/>
  <c r="H271" i="8"/>
  <c r="H240" i="8"/>
  <c r="L240" i="8"/>
  <c r="L129" i="8"/>
  <c r="H129" i="8"/>
  <c r="L177" i="8"/>
  <c r="H177" i="8"/>
  <c r="L108" i="8"/>
  <c r="H108" i="8"/>
  <c r="H125" i="8"/>
  <c r="L125" i="8"/>
  <c r="L126" i="8"/>
  <c r="H126" i="8"/>
  <c r="L127" i="8"/>
  <c r="H127" i="8"/>
  <c r="L281" i="8"/>
  <c r="H281" i="8"/>
  <c r="L144" i="8"/>
  <c r="H144" i="8"/>
  <c r="L131" i="8"/>
  <c r="H131" i="8"/>
  <c r="L189" i="8"/>
  <c r="H189" i="8"/>
  <c r="H65" i="8"/>
  <c r="L65" i="8"/>
  <c r="L21" i="8"/>
  <c r="H21" i="8"/>
  <c r="L88" i="8"/>
  <c r="H88" i="8"/>
  <c r="H231" i="7"/>
  <c r="L231" i="7"/>
  <c r="L39" i="8"/>
  <c r="H39" i="8"/>
  <c r="L64" i="8"/>
  <c r="H64" i="8"/>
  <c r="L194" i="7"/>
  <c r="H194" i="7"/>
  <c r="H260" i="7"/>
  <c r="L260" i="7"/>
  <c r="L55" i="7"/>
  <c r="H55" i="7"/>
  <c r="H331" i="6"/>
  <c r="L331" i="6"/>
  <c r="L134" i="7"/>
  <c r="H134" i="7"/>
  <c r="L162" i="7"/>
  <c r="H162" i="7"/>
  <c r="H332" i="6"/>
  <c r="L332" i="6"/>
  <c r="H300" i="6"/>
  <c r="L300" i="6"/>
  <c r="L39" i="7"/>
  <c r="H39" i="7"/>
  <c r="L85" i="7"/>
  <c r="H85" i="7"/>
  <c r="H130" i="7"/>
  <c r="L130" i="7"/>
  <c r="H346" i="6"/>
  <c r="L346" i="6"/>
  <c r="L240" i="6"/>
  <c r="H240" i="6"/>
  <c r="J253" i="6"/>
  <c r="M253" i="6" s="1"/>
  <c r="P253" i="6" s="1"/>
  <c r="O253" i="6"/>
  <c r="L202" i="6"/>
  <c r="H202" i="6"/>
  <c r="M245" i="6"/>
  <c r="J245" i="6"/>
  <c r="O245" i="6"/>
  <c r="L158" i="6"/>
  <c r="H158" i="6"/>
  <c r="L126" i="6"/>
  <c r="H126" i="6"/>
  <c r="M237" i="6"/>
  <c r="J237" i="6"/>
  <c r="O237" i="6"/>
  <c r="L210" i="6"/>
  <c r="H210" i="6"/>
  <c r="L41" i="6"/>
  <c r="H41" i="6"/>
  <c r="H118" i="7"/>
  <c r="L118" i="7"/>
  <c r="L139" i="6"/>
  <c r="H139" i="6"/>
  <c r="L119" i="6"/>
  <c r="H119" i="6"/>
  <c r="L186" i="8"/>
  <c r="H186" i="8"/>
  <c r="O168" i="6"/>
  <c r="M168" i="6"/>
  <c r="P168" i="6" s="1"/>
  <c r="J168" i="6"/>
  <c r="H322" i="7"/>
  <c r="L322" i="7"/>
  <c r="H95" i="8"/>
  <c r="L95" i="8"/>
  <c r="L55" i="6"/>
  <c r="H55" i="6"/>
  <c r="F19" i="5"/>
  <c r="G398" i="1"/>
  <c r="G19" i="5" s="1"/>
  <c r="H284" i="7"/>
  <c r="L284" i="7"/>
  <c r="H355" i="7"/>
  <c r="L355" i="7"/>
  <c r="H307" i="7"/>
  <c r="L307" i="7"/>
  <c r="L97" i="8"/>
  <c r="H97" i="8"/>
  <c r="AD16" i="5"/>
  <c r="AE395" i="1"/>
  <c r="AE16" i="5" s="1"/>
  <c r="O34" i="6"/>
  <c r="J34" i="6"/>
  <c r="M34" i="6" s="1"/>
  <c r="P34" i="6" s="1"/>
  <c r="L78" i="8"/>
  <c r="H78" i="8"/>
  <c r="O24" i="6"/>
  <c r="J24" i="6"/>
  <c r="M24" i="6" s="1"/>
  <c r="P24" i="6" s="1"/>
  <c r="H340" i="7"/>
  <c r="L340" i="7"/>
  <c r="H341" i="8"/>
  <c r="L341" i="8"/>
  <c r="H351" i="6"/>
  <c r="L351" i="6"/>
  <c r="J21" i="6"/>
  <c r="M21" i="6"/>
  <c r="P21" i="6" s="1"/>
  <c r="O21" i="6"/>
  <c r="L6" i="8"/>
  <c r="H6" i="8"/>
  <c r="L99" i="7"/>
  <c r="H99" i="7"/>
  <c r="L128" i="8"/>
  <c r="H128" i="8"/>
  <c r="H339" i="7"/>
  <c r="L339" i="7"/>
  <c r="L168" i="7"/>
  <c r="H168" i="7"/>
  <c r="H20" i="7"/>
  <c r="L20" i="7"/>
  <c r="H294" i="6"/>
  <c r="L294" i="6"/>
  <c r="L22" i="7"/>
  <c r="H22" i="7"/>
  <c r="H139" i="8"/>
  <c r="L139" i="8"/>
  <c r="H246" i="7"/>
  <c r="L246" i="7"/>
  <c r="O270" i="6"/>
  <c r="J270" i="6"/>
  <c r="M270" i="6" s="1"/>
  <c r="P270" i="6" s="1"/>
  <c r="L78" i="6"/>
  <c r="H78" i="6"/>
  <c r="L307" i="8"/>
  <c r="H307" i="8"/>
  <c r="O46" i="6"/>
  <c r="J46" i="6"/>
  <c r="M46" i="6" s="1"/>
  <c r="P46" i="6" s="1"/>
  <c r="S398" i="1"/>
  <c r="S19" i="5" s="1"/>
  <c r="R19" i="5"/>
  <c r="L212" i="8"/>
  <c r="H212" i="8"/>
  <c r="L187" i="8"/>
  <c r="H187" i="8"/>
  <c r="L237" i="8"/>
  <c r="H237" i="8"/>
  <c r="L257" i="8"/>
  <c r="H257" i="8"/>
  <c r="H225" i="8"/>
  <c r="L225" i="8"/>
  <c r="L161" i="8"/>
  <c r="H161" i="8"/>
  <c r="L113" i="8"/>
  <c r="H113" i="8"/>
  <c r="H152" i="8"/>
  <c r="L152" i="8"/>
  <c r="L148" i="8"/>
  <c r="H148" i="8"/>
  <c r="L112" i="8"/>
  <c r="H112" i="8"/>
  <c r="H328" i="7"/>
  <c r="L328" i="7"/>
  <c r="H356" i="7"/>
  <c r="L356" i="7"/>
  <c r="H265" i="7"/>
  <c r="L265" i="7"/>
  <c r="L24" i="8"/>
  <c r="H24" i="8"/>
  <c r="H287" i="7"/>
  <c r="L287" i="7"/>
  <c r="H227" i="7"/>
  <c r="L227" i="7"/>
  <c r="H220" i="7"/>
  <c r="L220" i="7"/>
  <c r="H152" i="7"/>
  <c r="L152" i="7"/>
  <c r="H136" i="7"/>
  <c r="L136" i="7"/>
  <c r="L87" i="7"/>
  <c r="H87" i="7"/>
  <c r="L206" i="7"/>
  <c r="H206" i="7"/>
  <c r="L167" i="7"/>
  <c r="H167" i="7"/>
  <c r="H358" i="6"/>
  <c r="L358" i="6"/>
  <c r="H286" i="6"/>
  <c r="L286" i="6"/>
  <c r="H347" i="6"/>
  <c r="L347" i="6"/>
  <c r="H356" i="6"/>
  <c r="L356" i="6"/>
  <c r="H324" i="6"/>
  <c r="L324" i="6"/>
  <c r="H292" i="6"/>
  <c r="L292" i="6"/>
  <c r="L21" i="7"/>
  <c r="H21" i="7"/>
  <c r="L156" i="7"/>
  <c r="H156" i="7"/>
  <c r="O287" i="6"/>
  <c r="J287" i="6"/>
  <c r="M287" i="6" s="1"/>
  <c r="P287" i="6" s="1"/>
  <c r="H317" i="6"/>
  <c r="L317" i="6"/>
  <c r="L223" i="6"/>
  <c r="H223" i="6"/>
  <c r="J255" i="6"/>
  <c r="M255" i="6" s="1"/>
  <c r="P255" i="6" s="1"/>
  <c r="O255" i="6"/>
  <c r="J251" i="6"/>
  <c r="M251" i="6" s="1"/>
  <c r="P251" i="6" s="1"/>
  <c r="O251" i="6"/>
  <c r="L88" i="6"/>
  <c r="H88" i="6"/>
  <c r="L150" i="6"/>
  <c r="H150" i="6"/>
  <c r="L110" i="6"/>
  <c r="H110" i="6"/>
  <c r="H290" i="6"/>
  <c r="L290" i="6"/>
  <c r="J203" i="6"/>
  <c r="M203" i="6" s="1"/>
  <c r="P203" i="6" s="1"/>
  <c r="O203" i="6"/>
  <c r="M211" i="6"/>
  <c r="J211" i="6"/>
  <c r="O211" i="6"/>
  <c r="L38" i="6"/>
  <c r="H38" i="6"/>
  <c r="H289" i="7"/>
  <c r="L289" i="7"/>
  <c r="O172" i="6"/>
  <c r="J172" i="6"/>
  <c r="M172" i="6" s="1"/>
  <c r="P172" i="6" s="1"/>
  <c r="L183" i="8"/>
  <c r="H183" i="8"/>
  <c r="G405" i="1"/>
  <c r="G29" i="5" s="1"/>
  <c r="F29" i="5"/>
  <c r="H301" i="8"/>
  <c r="L301" i="8"/>
  <c r="H220" i="8"/>
  <c r="L220" i="8"/>
  <c r="L93" i="6"/>
  <c r="H93" i="6"/>
  <c r="L189" i="7"/>
  <c r="H189" i="7"/>
  <c r="H55" i="8"/>
  <c r="L55" i="8"/>
  <c r="H141" i="7"/>
  <c r="L141" i="7"/>
  <c r="F17" i="5"/>
  <c r="G396" i="1"/>
  <c r="G17" i="5" s="1"/>
  <c r="J257" i="7"/>
  <c r="O257" i="7"/>
  <c r="M257" i="7"/>
  <c r="P257" i="7" s="1"/>
  <c r="Z27" i="5"/>
  <c r="AA403" i="1"/>
  <c r="AA27" i="5" s="1"/>
  <c r="L70" i="8"/>
  <c r="H70" i="8"/>
  <c r="L109" i="6"/>
  <c r="H109" i="6"/>
  <c r="H294" i="7"/>
  <c r="L294" i="7"/>
  <c r="H360" i="6"/>
  <c r="L360" i="6"/>
  <c r="H13" i="7"/>
  <c r="L13" i="7"/>
  <c r="H362" i="7"/>
  <c r="L362" i="7"/>
  <c r="H327" i="6"/>
  <c r="L327" i="6"/>
  <c r="H6" i="7"/>
  <c r="L6" i="7"/>
  <c r="H208" i="7"/>
  <c r="L208" i="7"/>
  <c r="M173" i="6"/>
  <c r="P173" i="6" s="1"/>
  <c r="J173" i="6"/>
  <c r="O173" i="6"/>
  <c r="L171" i="7"/>
  <c r="H171" i="7"/>
  <c r="J79" i="6"/>
  <c r="O79" i="6"/>
  <c r="M79" i="6"/>
  <c r="P79" i="6" s="1"/>
  <c r="L314" i="8"/>
  <c r="H314" i="8"/>
  <c r="H306" i="8"/>
  <c r="L306" i="8"/>
  <c r="L347" i="8"/>
  <c r="H347" i="8"/>
  <c r="H353" i="8"/>
  <c r="L353" i="8"/>
  <c r="L296" i="8"/>
  <c r="H296" i="8"/>
  <c r="L292" i="8"/>
  <c r="H292" i="8"/>
  <c r="L295" i="8"/>
  <c r="H295" i="8"/>
  <c r="L243" i="8"/>
  <c r="H243" i="8"/>
  <c r="L269" i="8"/>
  <c r="H269" i="8"/>
  <c r="L274" i="8"/>
  <c r="H274" i="8"/>
  <c r="H222" i="8"/>
  <c r="L222" i="8"/>
  <c r="H149" i="8"/>
  <c r="L149" i="8"/>
  <c r="L231" i="8"/>
  <c r="H231" i="8"/>
  <c r="H136" i="8"/>
  <c r="L136" i="8"/>
  <c r="H147" i="8"/>
  <c r="L147" i="8"/>
  <c r="L115" i="8"/>
  <c r="H115" i="8"/>
  <c r="H204" i="8"/>
  <c r="L204" i="8"/>
  <c r="H10" i="8"/>
  <c r="L10" i="8"/>
  <c r="L46" i="8"/>
  <c r="H46" i="8"/>
  <c r="L49" i="8"/>
  <c r="H49" i="8"/>
  <c r="H244" i="7"/>
  <c r="L244" i="7"/>
  <c r="H327" i="7"/>
  <c r="L327" i="7"/>
  <c r="L4" i="8"/>
  <c r="H4" i="8"/>
  <c r="H313" i="7"/>
  <c r="L313" i="7"/>
  <c r="H212" i="7"/>
  <c r="L212" i="7"/>
  <c r="H179" i="7"/>
  <c r="L179" i="7"/>
  <c r="L71" i="7"/>
  <c r="H71" i="7"/>
  <c r="L170" i="7"/>
  <c r="H170" i="7"/>
  <c r="L84" i="7"/>
  <c r="H84" i="7"/>
  <c r="H163" i="7"/>
  <c r="L163" i="7"/>
  <c r="L89" i="7"/>
  <c r="H89" i="7"/>
  <c r="H303" i="6"/>
  <c r="L303" i="6"/>
  <c r="H125" i="7"/>
  <c r="L125" i="7"/>
  <c r="H16" i="7"/>
  <c r="L16" i="7"/>
  <c r="L65" i="7"/>
  <c r="H65" i="7"/>
  <c r="H4" i="7"/>
  <c r="L4" i="7"/>
  <c r="L107" i="7"/>
  <c r="H107" i="7"/>
  <c r="H280" i="6"/>
  <c r="L280" i="6"/>
  <c r="M281" i="6"/>
  <c r="J281" i="6"/>
  <c r="O281" i="6"/>
  <c r="L80" i="8"/>
  <c r="H80" i="8"/>
  <c r="L74" i="7"/>
  <c r="H74" i="7"/>
  <c r="H282" i="6"/>
  <c r="L282" i="6"/>
  <c r="L106" i="6"/>
  <c r="H106" i="6"/>
  <c r="L102" i="7"/>
  <c r="H102" i="7"/>
  <c r="M169" i="6"/>
  <c r="P169" i="6" s="1"/>
  <c r="J169" i="6"/>
  <c r="O169" i="6"/>
  <c r="M227" i="6"/>
  <c r="J227" i="6"/>
  <c r="O227" i="6"/>
  <c r="M163" i="6"/>
  <c r="P163" i="6" s="1"/>
  <c r="J163" i="6"/>
  <c r="O163" i="6"/>
  <c r="H200" i="7"/>
  <c r="L200" i="7"/>
  <c r="J153" i="6"/>
  <c r="M153" i="6" s="1"/>
  <c r="P153" i="6" s="1"/>
  <c r="O153" i="6"/>
  <c r="L73" i="6"/>
  <c r="H73" i="6"/>
  <c r="L186" i="7"/>
  <c r="H186" i="7"/>
  <c r="L103" i="6"/>
  <c r="H103" i="6"/>
  <c r="L28" i="6"/>
  <c r="H28" i="6"/>
  <c r="L153" i="7"/>
  <c r="H153" i="7"/>
  <c r="L213" i="8"/>
  <c r="H213" i="8"/>
  <c r="R28" i="5"/>
  <c r="S404" i="1"/>
  <c r="S28" i="5" s="1"/>
  <c r="M149" i="6"/>
  <c r="J149" i="6"/>
  <c r="O149" i="6"/>
  <c r="L90" i="6"/>
  <c r="H90" i="6"/>
  <c r="L159" i="7"/>
  <c r="H159" i="7"/>
  <c r="R30" i="5"/>
  <c r="S406" i="1"/>
  <c r="S30" i="5" s="1"/>
  <c r="L85" i="8"/>
  <c r="H85" i="8"/>
  <c r="L51" i="7"/>
  <c r="H51" i="7"/>
  <c r="H182" i="7"/>
  <c r="L182" i="7"/>
  <c r="G395" i="1"/>
  <c r="G16" i="5" s="1"/>
  <c r="F16" i="5"/>
  <c r="AD29" i="5"/>
  <c r="AE405" i="1"/>
  <c r="AE29" i="5" s="1"/>
  <c r="L178" i="8"/>
  <c r="H178" i="8"/>
  <c r="L309" i="8"/>
  <c r="H309" i="8"/>
  <c r="H329" i="6"/>
  <c r="L329" i="6"/>
  <c r="L254" i="8"/>
  <c r="H254" i="8"/>
  <c r="L181" i="8"/>
  <c r="H181" i="8"/>
  <c r="H328" i="6"/>
  <c r="L328" i="6"/>
  <c r="M235" i="6"/>
  <c r="J235" i="6"/>
  <c r="O235" i="6"/>
  <c r="M231" i="6"/>
  <c r="P231" i="6" s="1"/>
  <c r="J231" i="6"/>
  <c r="O231" i="6"/>
  <c r="L160" i="6"/>
  <c r="H160" i="6"/>
  <c r="L25" i="6"/>
  <c r="H25" i="6"/>
  <c r="AE396" i="1"/>
  <c r="AE17" i="5" s="1"/>
  <c r="AD17" i="5"/>
  <c r="J183" i="6"/>
  <c r="M183" i="6" s="1"/>
  <c r="P183" i="6" s="1"/>
  <c r="O183" i="6"/>
  <c r="N27" i="5"/>
  <c r="O403" i="1"/>
  <c r="O27" i="5" s="1"/>
  <c r="L13" i="8"/>
  <c r="H13" i="8"/>
  <c r="L103" i="7"/>
  <c r="H103" i="7"/>
  <c r="L66" i="7"/>
  <c r="H66" i="7"/>
  <c r="M167" i="6"/>
  <c r="J167" i="6"/>
  <c r="O167" i="6"/>
  <c r="L308" i="8"/>
  <c r="H308" i="8"/>
  <c r="L293" i="8"/>
  <c r="H293" i="8"/>
  <c r="L195" i="8"/>
  <c r="H195" i="8"/>
  <c r="L123" i="8"/>
  <c r="H123" i="8"/>
  <c r="L81" i="8"/>
  <c r="H81" i="8"/>
  <c r="H67" i="8"/>
  <c r="L67" i="8"/>
  <c r="L184" i="8"/>
  <c r="H184" i="8"/>
  <c r="H285" i="7"/>
  <c r="L285" i="7"/>
  <c r="H318" i="7"/>
  <c r="L318" i="7"/>
  <c r="H282" i="7"/>
  <c r="L282" i="7"/>
  <c r="L22" i="8"/>
  <c r="H22" i="8"/>
  <c r="H226" i="7"/>
  <c r="L226" i="7"/>
  <c r="H354" i="7"/>
  <c r="L354" i="7"/>
  <c r="H317" i="7"/>
  <c r="L317" i="7"/>
  <c r="H347" i="7"/>
  <c r="L347" i="7"/>
  <c r="H236" i="7"/>
  <c r="L236" i="7"/>
  <c r="L123" i="7"/>
  <c r="H123" i="7"/>
  <c r="L209" i="7"/>
  <c r="H209" i="7"/>
  <c r="H259" i="7"/>
  <c r="L259" i="7"/>
  <c r="L119" i="7"/>
  <c r="H119" i="7"/>
  <c r="H293" i="7"/>
  <c r="L293" i="7"/>
  <c r="L164" i="7"/>
  <c r="H164" i="7"/>
  <c r="L146" i="7"/>
  <c r="H146" i="7"/>
  <c r="H147" i="7"/>
  <c r="L147" i="7"/>
  <c r="L93" i="7"/>
  <c r="H93" i="7"/>
  <c r="L137" i="7"/>
  <c r="H137" i="7"/>
  <c r="H354" i="6"/>
  <c r="L354" i="6"/>
  <c r="L97" i="7"/>
  <c r="H97" i="7"/>
  <c r="H323" i="6"/>
  <c r="L323" i="6"/>
  <c r="H352" i="6"/>
  <c r="L352" i="6"/>
  <c r="H320" i="6"/>
  <c r="L320" i="6"/>
  <c r="H277" i="6"/>
  <c r="L277" i="6"/>
  <c r="L54" i="7"/>
  <c r="H54" i="7"/>
  <c r="H337" i="6"/>
  <c r="L337" i="6"/>
  <c r="L170" i="8"/>
  <c r="H170" i="8"/>
  <c r="H273" i="6"/>
  <c r="L273" i="6"/>
  <c r="H263" i="6"/>
  <c r="L263" i="6"/>
  <c r="L242" i="6"/>
  <c r="H242" i="6"/>
  <c r="L206" i="6"/>
  <c r="H206" i="6"/>
  <c r="L59" i="8"/>
  <c r="H59" i="8"/>
  <c r="O262" i="6"/>
  <c r="J262" i="6"/>
  <c r="M262" i="6"/>
  <c r="L178" i="6"/>
  <c r="H178" i="6"/>
  <c r="L146" i="6"/>
  <c r="H146" i="6"/>
  <c r="L102" i="6"/>
  <c r="H102" i="6"/>
  <c r="L90" i="8"/>
  <c r="H90" i="8"/>
  <c r="H312" i="7"/>
  <c r="L312" i="7"/>
  <c r="L91" i="6"/>
  <c r="H91" i="6"/>
  <c r="H320" i="7"/>
  <c r="L320" i="7"/>
  <c r="L61" i="6"/>
  <c r="H61" i="6"/>
  <c r="L40" i="6"/>
  <c r="H40" i="6"/>
  <c r="C8" i="10"/>
  <c r="F8" i="10" s="1"/>
  <c r="L84" i="8"/>
  <c r="H84" i="8"/>
  <c r="L20" i="6"/>
  <c r="H20" i="6"/>
  <c r="L183" i="7"/>
  <c r="H183" i="7"/>
  <c r="J141" i="6"/>
  <c r="M141" i="6" s="1"/>
  <c r="P141" i="6" s="1"/>
  <c r="O141" i="6"/>
  <c r="L75" i="7"/>
  <c r="H75" i="7"/>
  <c r="K395" i="1"/>
  <c r="K16" i="5" s="1"/>
  <c r="J16" i="5"/>
  <c r="J155" i="6"/>
  <c r="M155" i="6" s="1"/>
  <c r="P155" i="6" s="1"/>
  <c r="O155" i="6"/>
  <c r="L331" i="8"/>
  <c r="H331" i="8"/>
  <c r="L24" i="7"/>
  <c r="H24" i="7"/>
  <c r="H87" i="8"/>
  <c r="L87" i="8"/>
  <c r="H309" i="7"/>
  <c r="L309" i="7"/>
  <c r="L120" i="6"/>
  <c r="H120" i="6"/>
  <c r="L147" i="6"/>
  <c r="H147" i="6"/>
  <c r="U26" i="5"/>
  <c r="U408" i="1"/>
  <c r="C8" i="5" s="1"/>
  <c r="F408" i="1"/>
  <c r="G408" i="1" s="1"/>
  <c r="F26" i="5"/>
  <c r="G402" i="1"/>
  <c r="G26" i="5" s="1"/>
  <c r="L125" i="6"/>
  <c r="H125" i="6"/>
  <c r="N28" i="5"/>
  <c r="O404" i="1"/>
  <c r="O28" i="5" s="1"/>
  <c r="G397" i="1"/>
  <c r="G18" i="5" s="1"/>
  <c r="L234" i="8"/>
  <c r="H234" i="8"/>
  <c r="L121" i="8"/>
  <c r="H121" i="8"/>
  <c r="H338" i="7"/>
  <c r="L338" i="7"/>
  <c r="H255" i="7"/>
  <c r="L255" i="7"/>
  <c r="H238" i="7"/>
  <c r="L238" i="7"/>
  <c r="H357" i="6"/>
  <c r="L357" i="6"/>
  <c r="H292" i="7"/>
  <c r="L292" i="7"/>
  <c r="L190" i="8"/>
  <c r="H190" i="8"/>
  <c r="P26" i="5"/>
  <c r="P408" i="1"/>
  <c r="AD19" i="5"/>
  <c r="AE398" i="1"/>
  <c r="AE19" i="5" s="1"/>
  <c r="H165" i="8"/>
  <c r="L165" i="8"/>
  <c r="L315" i="8"/>
  <c r="H315" i="8"/>
  <c r="H54" i="8"/>
  <c r="L54" i="8"/>
  <c r="H361" i="7"/>
  <c r="L361" i="7"/>
  <c r="O176" i="6"/>
  <c r="M176" i="6"/>
  <c r="P176" i="6" s="1"/>
  <c r="J176" i="6"/>
  <c r="L80" i="6"/>
  <c r="H80" i="6"/>
  <c r="L302" i="8"/>
  <c r="H302" i="8"/>
  <c r="L344" i="8"/>
  <c r="H344" i="8"/>
  <c r="L282" i="8"/>
  <c r="H282" i="8"/>
  <c r="L286" i="8"/>
  <c r="H286" i="8"/>
  <c r="L297" i="8"/>
  <c r="H297" i="8"/>
  <c r="L312" i="8"/>
  <c r="H312" i="8"/>
  <c r="L246" i="8"/>
  <c r="H246" i="8"/>
  <c r="L290" i="8"/>
  <c r="H290" i="8"/>
  <c r="L197" i="8"/>
  <c r="H197" i="8"/>
  <c r="L310" i="8"/>
  <c r="H310" i="8"/>
  <c r="H208" i="8"/>
  <c r="L208" i="8"/>
  <c r="H167" i="8"/>
  <c r="L167" i="8"/>
  <c r="L57" i="8"/>
  <c r="H57" i="8"/>
  <c r="L14" i="8"/>
  <c r="H14" i="8"/>
  <c r="L77" i="8"/>
  <c r="H77" i="8"/>
  <c r="H342" i="7"/>
  <c r="L342" i="7"/>
  <c r="H210" i="7"/>
  <c r="L210" i="7"/>
  <c r="H295" i="7"/>
  <c r="L295" i="7"/>
  <c r="H344" i="7"/>
  <c r="L344" i="7"/>
  <c r="L50" i="8"/>
  <c r="H50" i="8"/>
  <c r="H283" i="7"/>
  <c r="L283" i="7"/>
  <c r="H26" i="8"/>
  <c r="L26" i="8"/>
  <c r="H301" i="7"/>
  <c r="L301" i="7"/>
  <c r="H213" i="7"/>
  <c r="L213" i="7"/>
  <c r="L131" i="7"/>
  <c r="H131" i="7"/>
  <c r="L94" i="7"/>
  <c r="H94" i="7"/>
  <c r="H144" i="7"/>
  <c r="L144" i="7"/>
  <c r="H343" i="6"/>
  <c r="L343" i="6"/>
  <c r="L96" i="7"/>
  <c r="H96" i="7"/>
  <c r="L105" i="7"/>
  <c r="H105" i="7"/>
  <c r="H325" i="6"/>
  <c r="L325" i="6"/>
  <c r="H353" i="6"/>
  <c r="L353" i="6"/>
  <c r="H302" i="6"/>
  <c r="L302" i="6"/>
  <c r="L218" i="6"/>
  <c r="H218" i="6"/>
  <c r="H89" i="8"/>
  <c r="L89" i="8"/>
  <c r="J247" i="6"/>
  <c r="M247" i="6" s="1"/>
  <c r="P247" i="6" s="1"/>
  <c r="O247" i="6"/>
  <c r="L98" i="6"/>
  <c r="H98" i="6"/>
  <c r="L60" i="8"/>
  <c r="H60" i="8"/>
  <c r="Z16" i="5"/>
  <c r="AA395" i="1"/>
  <c r="AA16" i="5" s="1"/>
  <c r="J165" i="6"/>
  <c r="M165" i="6" s="1"/>
  <c r="P165" i="6" s="1"/>
  <c r="O165" i="6"/>
  <c r="J195" i="6"/>
  <c r="M195" i="6" s="1"/>
  <c r="P195" i="6" s="1"/>
  <c r="O195" i="6"/>
  <c r="M161" i="6"/>
  <c r="J161" i="6"/>
  <c r="O161" i="6"/>
  <c r="L77" i="6"/>
  <c r="H77" i="6"/>
  <c r="H350" i="7"/>
  <c r="L350" i="7"/>
  <c r="L131" i="6"/>
  <c r="H131" i="6"/>
  <c r="Y26" i="5"/>
  <c r="Y408" i="1"/>
  <c r="C9" i="5" s="1"/>
  <c r="L14" i="6"/>
  <c r="H14" i="6"/>
  <c r="H243" i="7"/>
  <c r="L243" i="7"/>
  <c r="H135" i="7"/>
  <c r="L135" i="7"/>
  <c r="H332" i="8"/>
  <c r="L332" i="8"/>
  <c r="L74" i="6"/>
  <c r="H74" i="6"/>
  <c r="J99" i="6"/>
  <c r="O99" i="6"/>
  <c r="M99" i="6"/>
  <c r="P99" i="6" s="1"/>
  <c r="L37" i="6"/>
  <c r="H37" i="6"/>
  <c r="H234" i="7"/>
  <c r="L234" i="7"/>
  <c r="L11" i="8"/>
  <c r="H11" i="8"/>
  <c r="H249" i="7"/>
  <c r="L249" i="7"/>
  <c r="C11" i="11"/>
  <c r="F11" i="11" s="1"/>
  <c r="H69" i="8"/>
  <c r="L69" i="8"/>
  <c r="AA396" i="1"/>
  <c r="AA17" i="5" s="1"/>
  <c r="Z17" i="5"/>
  <c r="H261" i="7"/>
  <c r="L261" i="7"/>
  <c r="M44" i="6"/>
  <c r="P44" i="6" s="1"/>
  <c r="O44" i="6"/>
  <c r="J44" i="6"/>
  <c r="L42" i="6"/>
  <c r="H42" i="6"/>
  <c r="O398" i="1"/>
  <c r="O19" i="5" s="1"/>
  <c r="N19" i="5"/>
  <c r="H272" i="7"/>
  <c r="L272" i="7"/>
  <c r="W402" i="1"/>
  <c r="W26" i="5" s="1"/>
  <c r="V408" i="1"/>
  <c r="W408" i="1" s="1"/>
  <c r="V26" i="5"/>
  <c r="AB26" i="5"/>
  <c r="AB408" i="1"/>
  <c r="T26" i="5"/>
  <c r="T408" i="1"/>
  <c r="L87" i="6"/>
  <c r="H87" i="6"/>
  <c r="L102" i="8"/>
  <c r="H102" i="8"/>
  <c r="J101" i="6"/>
  <c r="M101" i="6" s="1"/>
  <c r="P101" i="6" s="1"/>
  <c r="O101" i="6"/>
  <c r="O164" i="6"/>
  <c r="J164" i="6"/>
  <c r="M164" i="6" s="1"/>
  <c r="P164" i="6" s="1"/>
  <c r="L226" i="8"/>
  <c r="H226" i="8"/>
  <c r="L149" i="7"/>
  <c r="H149" i="7"/>
  <c r="L98" i="7"/>
  <c r="H98" i="7"/>
  <c r="H268" i="7"/>
  <c r="L268" i="7"/>
  <c r="L59" i="6"/>
  <c r="H59" i="6"/>
  <c r="H313" i="8"/>
  <c r="L313" i="8"/>
  <c r="L168" i="8"/>
  <c r="H168" i="8"/>
  <c r="L114" i="6"/>
  <c r="H114" i="6"/>
  <c r="H140" i="7"/>
  <c r="L140" i="7"/>
  <c r="L291" i="8"/>
  <c r="H291" i="8"/>
  <c r="L285" i="8"/>
  <c r="H285" i="8"/>
  <c r="L280" i="8"/>
  <c r="H280" i="8"/>
  <c r="L339" i="8"/>
  <c r="H339" i="8"/>
  <c r="L107" i="8"/>
  <c r="H107" i="8"/>
  <c r="H140" i="8"/>
  <c r="L140" i="8"/>
  <c r="H135" i="8"/>
  <c r="L135" i="8"/>
  <c r="L169" i="8"/>
  <c r="H169" i="8"/>
  <c r="L138" i="8"/>
  <c r="H138" i="8"/>
  <c r="L163" i="8"/>
  <c r="H163" i="8"/>
  <c r="H117" i="8"/>
  <c r="L117" i="8"/>
  <c r="H175" i="8"/>
  <c r="L175" i="8"/>
  <c r="L151" i="8"/>
  <c r="H151" i="8"/>
  <c r="H51" i="8"/>
  <c r="L51" i="8"/>
  <c r="H266" i="7"/>
  <c r="L266" i="7"/>
  <c r="H336" i="7"/>
  <c r="L336" i="7"/>
  <c r="H358" i="7"/>
  <c r="L358" i="7"/>
  <c r="H298" i="7"/>
  <c r="L298" i="7"/>
  <c r="H161" i="7"/>
  <c r="L161" i="7"/>
  <c r="L203" i="7"/>
  <c r="H203" i="7"/>
  <c r="L181" i="7"/>
  <c r="H181" i="7"/>
  <c r="L143" i="7"/>
  <c r="H143" i="7"/>
  <c r="H128" i="7"/>
  <c r="L128" i="7"/>
  <c r="H350" i="6"/>
  <c r="L350" i="6"/>
  <c r="H299" i="6"/>
  <c r="L299" i="6"/>
  <c r="H348" i="6"/>
  <c r="L348" i="6"/>
  <c r="H316" i="6"/>
  <c r="L316" i="6"/>
  <c r="L46" i="7"/>
  <c r="H46" i="7"/>
  <c r="H274" i="6"/>
  <c r="L274" i="6"/>
  <c r="L35" i="7"/>
  <c r="H35" i="7"/>
  <c r="H289" i="6"/>
  <c r="L289" i="6"/>
  <c r="H275" i="6"/>
  <c r="L275" i="6"/>
  <c r="L100" i="7"/>
  <c r="H100" i="7"/>
  <c r="H349" i="6"/>
  <c r="L349" i="6"/>
  <c r="H14" i="7"/>
  <c r="L14" i="7"/>
  <c r="H293" i="6"/>
  <c r="L293" i="6"/>
  <c r="H208" i="6"/>
  <c r="L208" i="6"/>
  <c r="L201" i="6"/>
  <c r="H201" i="6"/>
  <c r="H179" i="8"/>
  <c r="L179" i="8"/>
  <c r="L174" i="6"/>
  <c r="H174" i="6"/>
  <c r="L142" i="6"/>
  <c r="H142" i="6"/>
  <c r="L150" i="8"/>
  <c r="H150" i="8"/>
  <c r="H290" i="7"/>
  <c r="L290" i="7"/>
  <c r="J121" i="6"/>
  <c r="M121" i="6" s="1"/>
  <c r="P121" i="6" s="1"/>
  <c r="O121" i="6"/>
  <c r="L8" i="8"/>
  <c r="H8" i="8"/>
  <c r="L165" i="7"/>
  <c r="H165" i="7"/>
  <c r="L16" i="8"/>
  <c r="H16" i="8"/>
  <c r="J115" i="6"/>
  <c r="O115" i="6"/>
  <c r="M115" i="6"/>
  <c r="P115" i="6" s="1"/>
  <c r="L105" i="8"/>
  <c r="H105" i="8"/>
  <c r="L204" i="7"/>
  <c r="H204" i="7"/>
  <c r="H71" i="8"/>
  <c r="L71" i="8"/>
  <c r="H279" i="7"/>
  <c r="L279" i="7"/>
  <c r="L9" i="8"/>
  <c r="H9" i="8"/>
  <c r="L89" i="6"/>
  <c r="H89" i="6"/>
  <c r="H291" i="7"/>
  <c r="L291" i="7"/>
  <c r="L140" i="6"/>
  <c r="H140" i="6"/>
  <c r="W405" i="1"/>
  <c r="W29" i="5" s="1"/>
  <c r="N21" i="5"/>
  <c r="O400" i="1"/>
  <c r="O21" i="5" s="1"/>
  <c r="L192" i="8"/>
  <c r="H192" i="8"/>
  <c r="H305" i="8"/>
  <c r="L305" i="8"/>
  <c r="L356" i="8"/>
  <c r="H356" i="8"/>
  <c r="L111" i="8"/>
  <c r="H111" i="8"/>
  <c r="H267" i="7"/>
  <c r="L267" i="7"/>
  <c r="L157" i="7"/>
  <c r="H157" i="7"/>
  <c r="H322" i="6"/>
  <c r="L322" i="6"/>
  <c r="J171" i="6"/>
  <c r="M171" i="6" s="1"/>
  <c r="P171" i="6" s="1"/>
  <c r="O171" i="6"/>
  <c r="L199" i="7"/>
  <c r="H199" i="7"/>
  <c r="O96" i="6"/>
  <c r="J96" i="6"/>
  <c r="M96" i="6" s="1"/>
  <c r="P96" i="6" s="1"/>
  <c r="H201" i="8"/>
  <c r="L201" i="8"/>
  <c r="L205" i="8"/>
  <c r="H205" i="8"/>
  <c r="H341" i="6"/>
  <c r="L341" i="6"/>
  <c r="L117" i="6"/>
  <c r="H117" i="6"/>
  <c r="H241" i="7"/>
  <c r="L241" i="7"/>
  <c r="H155" i="7"/>
  <c r="L155" i="7"/>
  <c r="H281" i="7"/>
  <c r="L281" i="7"/>
  <c r="J239" i="6"/>
  <c r="M239" i="6" s="1"/>
  <c r="P239" i="6" s="1"/>
  <c r="O239" i="6"/>
  <c r="O100" i="6"/>
  <c r="M100" i="6"/>
  <c r="P100" i="6" s="1"/>
  <c r="J100" i="6"/>
  <c r="AE408" i="1"/>
  <c r="L304" i="8"/>
  <c r="H304" i="8"/>
  <c r="L272" i="8"/>
  <c r="H272" i="8"/>
  <c r="H166" i="8"/>
  <c r="L166" i="8"/>
  <c r="L176" i="8"/>
  <c r="H176" i="8"/>
  <c r="L25" i="8"/>
  <c r="H25" i="8"/>
  <c r="H103" i="8"/>
  <c r="L103" i="8"/>
  <c r="L41" i="8"/>
  <c r="H41" i="8"/>
  <c r="H79" i="8"/>
  <c r="L79" i="8"/>
  <c r="H330" i="7"/>
  <c r="L330" i="7"/>
  <c r="H276" i="7"/>
  <c r="L276" i="7"/>
  <c r="H45" i="8"/>
  <c r="L45" i="8"/>
  <c r="H341" i="7"/>
  <c r="L341" i="7"/>
  <c r="H277" i="7"/>
  <c r="L277" i="7"/>
  <c r="H195" i="7"/>
  <c r="L195" i="7"/>
  <c r="H233" i="7"/>
  <c r="L233" i="7"/>
  <c r="L197" i="7"/>
  <c r="H197" i="7"/>
  <c r="L142" i="7"/>
  <c r="H142" i="7"/>
  <c r="L126" i="7"/>
  <c r="H126" i="7"/>
  <c r="L76" i="7"/>
  <c r="H76" i="7"/>
  <c r="H154" i="7"/>
  <c r="L154" i="7"/>
  <c r="L127" i="7"/>
  <c r="H127" i="7"/>
  <c r="L38" i="7"/>
  <c r="H38" i="7"/>
  <c r="L132" i="7"/>
  <c r="H132" i="7"/>
  <c r="L115" i="7"/>
  <c r="H115" i="7"/>
  <c r="L60" i="7"/>
  <c r="H60" i="7"/>
  <c r="H319" i="6"/>
  <c r="L319" i="6"/>
  <c r="L64" i="7"/>
  <c r="H64" i="7"/>
  <c r="H278" i="6"/>
  <c r="L278" i="6"/>
  <c r="L78" i="7"/>
  <c r="H78" i="7"/>
  <c r="H314" i="6"/>
  <c r="L314" i="6"/>
  <c r="L180" i="8"/>
  <c r="H180" i="8"/>
  <c r="L225" i="6"/>
  <c r="H225" i="6"/>
  <c r="O148" i="6"/>
  <c r="M148" i="6"/>
  <c r="P148" i="6" s="1"/>
  <c r="J148" i="6"/>
  <c r="J213" i="6"/>
  <c r="M213" i="6" s="1"/>
  <c r="P213" i="6" s="1"/>
  <c r="O213" i="6"/>
  <c r="L35" i="6"/>
  <c r="H35" i="6"/>
  <c r="L136" i="6"/>
  <c r="H136" i="6"/>
  <c r="L97" i="6"/>
  <c r="H97" i="6"/>
  <c r="H273" i="7"/>
  <c r="L273" i="7"/>
  <c r="L11" i="6"/>
  <c r="H11" i="6"/>
  <c r="L18" i="6"/>
  <c r="H18" i="6"/>
  <c r="L106" i="8"/>
  <c r="H106" i="8"/>
  <c r="L30" i="7"/>
  <c r="H30" i="7"/>
  <c r="H324" i="7"/>
  <c r="L324" i="7"/>
  <c r="H101" i="8"/>
  <c r="L101" i="8"/>
  <c r="AE403" i="1"/>
  <c r="AE27" i="5" s="1"/>
  <c r="C9" i="11"/>
  <c r="F9" i="11" s="1"/>
  <c r="J28" i="5"/>
  <c r="K404" i="1"/>
  <c r="K28" i="5" s="1"/>
  <c r="H99" i="8"/>
  <c r="L99" i="8"/>
  <c r="M26" i="5"/>
  <c r="M408" i="1"/>
  <c r="C6" i="5" s="1"/>
  <c r="H275" i="7"/>
  <c r="L275" i="7"/>
  <c r="D408" i="1"/>
  <c r="D26" i="5"/>
  <c r="L70" i="6"/>
  <c r="H70" i="6"/>
  <c r="J15" i="6"/>
  <c r="O15" i="6"/>
  <c r="M15" i="6"/>
  <c r="P15" i="6" s="1"/>
  <c r="E408" i="1"/>
  <c r="C4" i="5" s="1"/>
  <c r="E26" i="5"/>
  <c r="L66" i="6"/>
  <c r="H66" i="6"/>
  <c r="J159" i="6"/>
  <c r="M159" i="6" s="1"/>
  <c r="P159" i="6" s="1"/>
  <c r="O159" i="6"/>
  <c r="L85" i="6"/>
  <c r="H85" i="6"/>
  <c r="L86" i="7"/>
  <c r="H86" i="7"/>
  <c r="L157" i="8"/>
  <c r="H157" i="8"/>
  <c r="H311" i="7"/>
  <c r="L311" i="7"/>
  <c r="H9" i="7"/>
  <c r="L9" i="7"/>
  <c r="L63" i="7"/>
  <c r="H63" i="7"/>
  <c r="L19" i="6"/>
  <c r="H19" i="6"/>
  <c r="L216" i="8"/>
  <c r="H216" i="8"/>
  <c r="L27" i="8"/>
  <c r="H27" i="8"/>
  <c r="L236" i="6"/>
  <c r="H236" i="6"/>
  <c r="L132" i="6"/>
  <c r="H132" i="6"/>
  <c r="J205" i="6"/>
  <c r="M205" i="6" s="1"/>
  <c r="P205" i="6" s="1"/>
  <c r="O205" i="6"/>
  <c r="L60" i="6"/>
  <c r="H60" i="6"/>
  <c r="H335" i="7"/>
  <c r="L335" i="7"/>
  <c r="L188" i="6"/>
  <c r="H188" i="6"/>
  <c r="L94" i="6"/>
  <c r="H94" i="6"/>
  <c r="L338" i="8"/>
  <c r="H338" i="8"/>
  <c r="L328" i="8"/>
  <c r="H328" i="8"/>
  <c r="L351" i="8"/>
  <c r="H351" i="8"/>
  <c r="H247" i="8"/>
  <c r="L247" i="8"/>
  <c r="H215" i="8"/>
  <c r="L215" i="8"/>
  <c r="L134" i="8"/>
  <c r="H134" i="8"/>
  <c r="L92" i="8"/>
  <c r="H92" i="8"/>
  <c r="L42" i="8"/>
  <c r="H42" i="8"/>
  <c r="H310" i="7"/>
  <c r="L310" i="7"/>
  <c r="H250" i="7"/>
  <c r="L250" i="7"/>
  <c r="H239" i="7"/>
  <c r="L239" i="7"/>
  <c r="L190" i="7"/>
  <c r="H190" i="7"/>
  <c r="H242" i="7"/>
  <c r="L242" i="7"/>
  <c r="H228" i="7"/>
  <c r="L228" i="7"/>
  <c r="L61" i="7"/>
  <c r="H61" i="7"/>
  <c r="L205" i="7"/>
  <c r="H205" i="7"/>
  <c r="L106" i="7"/>
  <c r="H106" i="7"/>
  <c r="H339" i="6"/>
  <c r="L339" i="6"/>
  <c r="H344" i="6"/>
  <c r="L344" i="6"/>
  <c r="H312" i="6"/>
  <c r="L312" i="6"/>
  <c r="H271" i="6"/>
  <c r="L271" i="6"/>
  <c r="H284" i="6"/>
  <c r="L284" i="6"/>
  <c r="L94" i="8"/>
  <c r="H94" i="8"/>
  <c r="H342" i="6"/>
  <c r="L342" i="6"/>
  <c r="L194" i="6"/>
  <c r="H194" i="6"/>
  <c r="L170" i="6"/>
  <c r="H170" i="6"/>
  <c r="L138" i="6"/>
  <c r="H138" i="6"/>
  <c r="H269" i="6"/>
  <c r="L269" i="6"/>
  <c r="J157" i="6"/>
  <c r="M157" i="6" s="1"/>
  <c r="P157" i="6" s="1"/>
  <c r="O157" i="6"/>
  <c r="H124" i="7"/>
  <c r="L124" i="7"/>
  <c r="O86" i="6"/>
  <c r="J86" i="6"/>
  <c r="M86" i="6" s="1"/>
  <c r="P86" i="6" s="1"/>
  <c r="C6" i="10"/>
  <c r="L98" i="8"/>
  <c r="H98" i="8"/>
  <c r="L124" i="6"/>
  <c r="H124" i="6"/>
  <c r="L92" i="6"/>
  <c r="H92" i="6"/>
  <c r="L7" i="6"/>
  <c r="H7" i="6"/>
  <c r="G404" i="1"/>
  <c r="G28" i="5" s="1"/>
  <c r="F28" i="5"/>
  <c r="L111" i="6"/>
  <c r="H111" i="6"/>
  <c r="H315" i="7"/>
  <c r="L315" i="7"/>
  <c r="H196" i="8"/>
  <c r="L196" i="8"/>
  <c r="L76" i="6"/>
  <c r="H76" i="6"/>
  <c r="H300" i="7"/>
  <c r="L300" i="7"/>
  <c r="H269" i="7"/>
  <c r="L269" i="7"/>
  <c r="L16" i="6"/>
  <c r="H16" i="6"/>
  <c r="L58" i="6"/>
  <c r="H58" i="6"/>
  <c r="L191" i="8"/>
  <c r="H191" i="8"/>
  <c r="Q26" i="5"/>
  <c r="Q408" i="1"/>
  <c r="C7" i="5" s="1"/>
  <c r="L26" i="5"/>
  <c r="L408" i="1"/>
  <c r="H215" i="7"/>
  <c r="L215" i="7"/>
  <c r="S399" i="1"/>
  <c r="S20" i="5" s="1"/>
  <c r="R20" i="5"/>
  <c r="J64" i="6"/>
  <c r="M64" i="6" s="1"/>
  <c r="P64" i="6" s="1"/>
  <c r="O64" i="6"/>
  <c r="J127" i="6"/>
  <c r="O127" i="6"/>
  <c r="M127" i="6"/>
  <c r="O29" i="6"/>
  <c r="J29" i="6"/>
  <c r="M29" i="6" s="1"/>
  <c r="P29" i="6" s="1"/>
  <c r="L36" i="6"/>
  <c r="H36" i="6"/>
  <c r="L26" i="7"/>
  <c r="H26" i="7"/>
  <c r="J408" i="1"/>
  <c r="K408" i="1" s="1"/>
  <c r="X408" i="1"/>
  <c r="L277" i="8"/>
  <c r="H277" i="8"/>
  <c r="L156" i="8"/>
  <c r="H156" i="8"/>
  <c r="H15" i="8"/>
  <c r="L15" i="8"/>
  <c r="H192" i="7"/>
  <c r="L192" i="7"/>
  <c r="H18" i="7"/>
  <c r="L18" i="7"/>
  <c r="L122" i="6"/>
  <c r="H122" i="6"/>
  <c r="L153" i="8"/>
  <c r="H153" i="8"/>
  <c r="R18" i="5"/>
  <c r="S397" i="1"/>
  <c r="S18" i="5" s="1"/>
  <c r="L300" i="8"/>
  <c r="H300" i="8"/>
  <c r="H5" i="8"/>
  <c r="L5" i="8"/>
  <c r="H296" i="6"/>
  <c r="L296" i="6"/>
  <c r="L154" i="6"/>
  <c r="H154" i="6"/>
  <c r="L122" i="7"/>
  <c r="H122" i="7"/>
  <c r="H306" i="6"/>
  <c r="L306" i="6"/>
  <c r="L45" i="6"/>
  <c r="H45" i="6"/>
  <c r="L83" i="6"/>
  <c r="H83" i="6"/>
  <c r="L349" i="8"/>
  <c r="H349" i="8"/>
  <c r="H329" i="8"/>
  <c r="L329" i="8"/>
  <c r="L336" i="8"/>
  <c r="H336" i="8"/>
  <c r="H321" i="8"/>
  <c r="L321" i="8"/>
  <c r="L298" i="8"/>
  <c r="H298" i="8"/>
  <c r="L334" i="8"/>
  <c r="H334" i="8"/>
  <c r="L219" i="8"/>
  <c r="H219" i="8"/>
  <c r="H252" i="8"/>
  <c r="L252" i="8"/>
  <c r="L250" i="8"/>
  <c r="H250" i="8"/>
  <c r="H227" i="8"/>
  <c r="L227" i="8"/>
  <c r="H211" i="8"/>
  <c r="L211" i="8"/>
  <c r="L146" i="8"/>
  <c r="H146" i="8"/>
  <c r="L198" i="8"/>
  <c r="H198" i="8"/>
  <c r="E8" i="10"/>
  <c r="H8" i="10" s="1"/>
  <c r="L43" i="8"/>
  <c r="H43" i="8"/>
  <c r="L173" i="8"/>
  <c r="H173" i="8"/>
  <c r="F364" i="8"/>
  <c r="L3" i="8"/>
  <c r="H3" i="8"/>
  <c r="L66" i="8"/>
  <c r="H66" i="8"/>
  <c r="H237" i="7"/>
  <c r="L237" i="7"/>
  <c r="H314" i="7"/>
  <c r="L314" i="7"/>
  <c r="H319" i="7"/>
  <c r="L319" i="7"/>
  <c r="H321" i="7"/>
  <c r="L321" i="7"/>
  <c r="L36" i="8"/>
  <c r="H36" i="8"/>
  <c r="H221" i="7"/>
  <c r="L221" i="7"/>
  <c r="L198" i="7"/>
  <c r="H198" i="7"/>
  <c r="L88" i="7"/>
  <c r="H88" i="7"/>
  <c r="D9" i="10"/>
  <c r="G9" i="10" s="1"/>
  <c r="H252" i="7"/>
  <c r="L252" i="7"/>
  <c r="H359" i="6"/>
  <c r="L359" i="6"/>
  <c r="H295" i="6"/>
  <c r="L295" i="6"/>
  <c r="L34" i="7"/>
  <c r="H34" i="7"/>
  <c r="H15" i="7"/>
  <c r="L15" i="7"/>
  <c r="L117" i="7"/>
  <c r="H117" i="7"/>
  <c r="H268" i="6"/>
  <c r="L268" i="6"/>
  <c r="H334" i="6"/>
  <c r="L334" i="6"/>
  <c r="H272" i="6"/>
  <c r="L272" i="6"/>
  <c r="H321" i="6"/>
  <c r="L321" i="6"/>
  <c r="H12" i="7"/>
  <c r="L12" i="7"/>
  <c r="L220" i="6"/>
  <c r="H220" i="6"/>
  <c r="L212" i="6"/>
  <c r="H212" i="6"/>
  <c r="L299" i="8"/>
  <c r="H299" i="8"/>
  <c r="J221" i="6"/>
  <c r="M221" i="6" s="1"/>
  <c r="P221" i="6" s="1"/>
  <c r="O221" i="6"/>
  <c r="O152" i="6"/>
  <c r="M152" i="6"/>
  <c r="P152" i="6" s="1"/>
  <c r="J152" i="6"/>
  <c r="J135" i="6"/>
  <c r="O135" i="6"/>
  <c r="M135" i="6"/>
  <c r="P135" i="6" s="1"/>
  <c r="L185" i="6"/>
  <c r="H185" i="6"/>
  <c r="L82" i="8"/>
  <c r="H82" i="8"/>
  <c r="L81" i="6"/>
  <c r="H81" i="6"/>
  <c r="L187" i="6"/>
  <c r="H187" i="6"/>
  <c r="L188" i="8"/>
  <c r="H188" i="8"/>
  <c r="L84" i="6"/>
  <c r="H84" i="6"/>
  <c r="G400" i="1"/>
  <c r="G21" i="5" s="1"/>
  <c r="F21" i="5"/>
  <c r="L19" i="8"/>
  <c r="H19" i="8"/>
  <c r="W404" i="1"/>
  <c r="W28" i="5" s="1"/>
  <c r="V28" i="5"/>
  <c r="H346" i="8"/>
  <c r="L346" i="8"/>
  <c r="H270" i="7"/>
  <c r="L270" i="7"/>
  <c r="H299" i="7"/>
  <c r="L299" i="7"/>
  <c r="H308" i="7"/>
  <c r="L308" i="7"/>
  <c r="V16" i="5"/>
  <c r="W395" i="1"/>
  <c r="W16" i="5" s="1"/>
  <c r="L63" i="6"/>
  <c r="H63" i="6"/>
  <c r="J17" i="5"/>
  <c r="K396" i="1"/>
  <c r="K17" i="5" s="1"/>
  <c r="H263" i="7"/>
  <c r="L263" i="7"/>
  <c r="H245" i="7"/>
  <c r="L245" i="7"/>
  <c r="L54" i="6"/>
  <c r="H54" i="6"/>
  <c r="O13" i="6"/>
  <c r="J13" i="6"/>
  <c r="M13" i="6" s="1"/>
  <c r="P13" i="6" s="1"/>
  <c r="Y29" i="5"/>
  <c r="AA405" i="1"/>
  <c r="AA29" i="5" s="1"/>
  <c r="L196" i="7"/>
  <c r="H196" i="7"/>
  <c r="L72" i="6"/>
  <c r="H72" i="6"/>
  <c r="H176" i="7"/>
  <c r="L176" i="7"/>
  <c r="L236" i="8"/>
  <c r="H236" i="8"/>
  <c r="L218" i="8"/>
  <c r="H218" i="8"/>
  <c r="L232" i="6"/>
  <c r="H232" i="6"/>
  <c r="J177" i="6"/>
  <c r="M177" i="6" s="1"/>
  <c r="P177" i="6" s="1"/>
  <c r="O177" i="6"/>
  <c r="L69" i="7"/>
  <c r="H69" i="7"/>
  <c r="J95" i="6"/>
  <c r="O95" i="6"/>
  <c r="M95" i="6"/>
  <c r="P95" i="6" s="1"/>
  <c r="L244" i="8"/>
  <c r="H244" i="8"/>
  <c r="H333" i="7"/>
  <c r="L333" i="7"/>
  <c r="L72" i="7"/>
  <c r="H72" i="7"/>
  <c r="H10" i="7"/>
  <c r="L10" i="7"/>
  <c r="L118" i="6"/>
  <c r="H118" i="6"/>
  <c r="L104" i="6"/>
  <c r="H104" i="6"/>
  <c r="H91" i="8"/>
  <c r="L91" i="8"/>
  <c r="L294" i="8"/>
  <c r="H294" i="8"/>
  <c r="L193" i="8"/>
  <c r="H193" i="8"/>
  <c r="L104" i="8"/>
  <c r="H104" i="8"/>
  <c r="H337" i="7"/>
  <c r="L337" i="7"/>
  <c r="L139" i="7"/>
  <c r="H139" i="7"/>
  <c r="L129" i="7"/>
  <c r="H129" i="7"/>
  <c r="L350" i="8"/>
  <c r="H350" i="8"/>
  <c r="L233" i="8"/>
  <c r="H233" i="8"/>
  <c r="L273" i="8"/>
  <c r="H273" i="8"/>
  <c r="H345" i="8"/>
  <c r="L345" i="8"/>
  <c r="L256" i="8"/>
  <c r="H256" i="8"/>
  <c r="L245" i="8"/>
  <c r="H245" i="8"/>
  <c r="L124" i="8"/>
  <c r="H124" i="8"/>
  <c r="H119" i="8"/>
  <c r="L119" i="8"/>
  <c r="L122" i="8"/>
  <c r="H122" i="8"/>
  <c r="L116" i="8"/>
  <c r="H116" i="8"/>
  <c r="H109" i="8"/>
  <c r="L109" i="8"/>
  <c r="L47" i="8"/>
  <c r="H47" i="8"/>
  <c r="H225" i="7"/>
  <c r="L225" i="7"/>
  <c r="H232" i="7"/>
  <c r="L232" i="7"/>
  <c r="H280" i="7"/>
  <c r="L280" i="7"/>
  <c r="H297" i="7"/>
  <c r="L297" i="7"/>
  <c r="H306" i="7"/>
  <c r="L306" i="7"/>
  <c r="H216" i="7"/>
  <c r="L216" i="7"/>
  <c r="H240" i="7"/>
  <c r="L240" i="7"/>
  <c r="H305" i="7"/>
  <c r="L305" i="7"/>
  <c r="L116" i="7"/>
  <c r="H116" i="7"/>
  <c r="L47" i="7"/>
  <c r="H47" i="7"/>
  <c r="H201" i="7"/>
  <c r="L201" i="7"/>
  <c r="L169" i="7"/>
  <c r="H169" i="7"/>
  <c r="L42" i="7"/>
  <c r="H42" i="7"/>
  <c r="L36" i="7"/>
  <c r="H36" i="7"/>
  <c r="H315" i="6"/>
  <c r="L315" i="6"/>
  <c r="L37" i="7"/>
  <c r="H37" i="7"/>
  <c r="H340" i="6"/>
  <c r="L340" i="6"/>
  <c r="H308" i="6"/>
  <c r="L308" i="6"/>
  <c r="H313" i="6"/>
  <c r="L313" i="6"/>
  <c r="D9" i="11"/>
  <c r="G9" i="11" s="1"/>
  <c r="H301" i="6"/>
  <c r="L301" i="6"/>
  <c r="O276" i="6"/>
  <c r="M276" i="6"/>
  <c r="P276" i="6" s="1"/>
  <c r="J276" i="6"/>
  <c r="H138" i="7"/>
  <c r="L138" i="7"/>
  <c r="L74" i="8"/>
  <c r="H74" i="8"/>
  <c r="L29" i="7"/>
  <c r="H29" i="7"/>
  <c r="H326" i="6"/>
  <c r="L326" i="6"/>
  <c r="H345" i="6"/>
  <c r="L345" i="6"/>
  <c r="H288" i="6"/>
  <c r="L288" i="6"/>
  <c r="H192" i="6"/>
  <c r="L192" i="6"/>
  <c r="H184" i="6"/>
  <c r="L184" i="6"/>
  <c r="H73" i="8"/>
  <c r="L73" i="8"/>
  <c r="M260" i="6"/>
  <c r="J260" i="6"/>
  <c r="O260" i="6"/>
  <c r="L166" i="6"/>
  <c r="H166" i="6"/>
  <c r="L134" i="6"/>
  <c r="H134" i="6"/>
  <c r="H186" i="6"/>
  <c r="L186" i="6"/>
  <c r="O144" i="6"/>
  <c r="M144" i="6"/>
  <c r="P144" i="6" s="1"/>
  <c r="J144" i="6"/>
  <c r="L202" i="8"/>
  <c r="H202" i="8"/>
  <c r="H304" i="7"/>
  <c r="L304" i="7"/>
  <c r="L32" i="6"/>
  <c r="H32" i="6"/>
  <c r="C9" i="10"/>
  <c r="F9" i="10" s="1"/>
  <c r="H171" i="8"/>
  <c r="L171" i="8"/>
  <c r="O399" i="1"/>
  <c r="O20" i="5" s="1"/>
  <c r="N20" i="5"/>
  <c r="L82" i="6"/>
  <c r="H82" i="6"/>
  <c r="J145" i="6"/>
  <c r="M145" i="6" s="1"/>
  <c r="P145" i="6" s="1"/>
  <c r="O145" i="6"/>
  <c r="L5" i="6"/>
  <c r="H5" i="6"/>
  <c r="V21" i="5"/>
  <c r="W400" i="1"/>
  <c r="W21" i="5" s="1"/>
  <c r="H360" i="7"/>
  <c r="L360" i="7"/>
  <c r="L73" i="7"/>
  <c r="H73" i="7"/>
  <c r="H188" i="7"/>
  <c r="L188" i="7"/>
  <c r="H323" i="7"/>
  <c r="L323" i="7"/>
  <c r="L53" i="8"/>
  <c r="H53" i="8"/>
  <c r="O48" i="6"/>
  <c r="J48" i="6"/>
  <c r="M48" i="6" s="1"/>
  <c r="P48" i="6" s="1"/>
  <c r="H316" i="7"/>
  <c r="L316" i="7"/>
  <c r="J52" i="6"/>
  <c r="M52" i="6" s="1"/>
  <c r="P52" i="6" s="1"/>
  <c r="O52" i="6"/>
  <c r="G399" i="1"/>
  <c r="G20" i="5" s="1"/>
  <c r="F20" i="5"/>
  <c r="M56" i="6"/>
  <c r="P56" i="6" s="1"/>
  <c r="J56" i="6"/>
  <c r="O56" i="6"/>
  <c r="H296" i="7"/>
  <c r="L296" i="7"/>
  <c r="W403" i="1"/>
  <c r="W27" i="5" s="1"/>
  <c r="L20" i="8"/>
  <c r="H20" i="8"/>
  <c r="L230" i="6"/>
  <c r="H230" i="6"/>
  <c r="L91" i="7"/>
  <c r="H91" i="7"/>
  <c r="H182" i="8"/>
  <c r="L182" i="8"/>
  <c r="H357" i="7"/>
  <c r="L357" i="7"/>
  <c r="L82" i="7"/>
  <c r="H82" i="7"/>
  <c r="H159" i="8"/>
  <c r="L159" i="8"/>
  <c r="L58" i="8"/>
  <c r="H58" i="8"/>
  <c r="H185" i="7"/>
  <c r="L185" i="7"/>
  <c r="L79" i="7"/>
  <c r="H79" i="7"/>
  <c r="H330" i="6"/>
  <c r="L330" i="6"/>
  <c r="L151" i="6"/>
  <c r="H151" i="6"/>
  <c r="H93" i="8"/>
  <c r="L93" i="8"/>
  <c r="O180" i="6"/>
  <c r="M180" i="6"/>
  <c r="J180" i="6"/>
  <c r="L289" i="8"/>
  <c r="H289" i="8"/>
  <c r="L355" i="8"/>
  <c r="H355" i="8"/>
  <c r="L362" i="8"/>
  <c r="H362" i="8"/>
  <c r="H141" i="8"/>
  <c r="L141" i="8"/>
  <c r="L142" i="8"/>
  <c r="H142" i="8"/>
  <c r="L143" i="8"/>
  <c r="H143" i="8"/>
  <c r="H31" i="8"/>
  <c r="L31" i="8"/>
  <c r="H120" i="8"/>
  <c r="L120" i="8"/>
  <c r="L7" i="8"/>
  <c r="H7" i="8"/>
  <c r="L18" i="8"/>
  <c r="H18" i="8"/>
  <c r="H351" i="7"/>
  <c r="L351" i="7"/>
  <c r="H326" i="7"/>
  <c r="L326" i="7"/>
  <c r="H329" i="7"/>
  <c r="L329" i="7"/>
  <c r="H224" i="7"/>
  <c r="L224" i="7"/>
  <c r="H248" i="7"/>
  <c r="L248" i="7"/>
  <c r="H271" i="7"/>
  <c r="L271" i="7"/>
  <c r="L180" i="7"/>
  <c r="H180" i="7"/>
  <c r="L25" i="7"/>
  <c r="H25" i="7"/>
  <c r="L184" i="7"/>
  <c r="H184" i="7"/>
  <c r="L109" i="7"/>
  <c r="H109" i="7"/>
  <c r="L40" i="7"/>
  <c r="H40" i="7"/>
  <c r="L28" i="7"/>
  <c r="H28" i="7"/>
  <c r="H335" i="6"/>
  <c r="L335" i="6"/>
  <c r="L27" i="7"/>
  <c r="H27" i="7"/>
  <c r="F364" i="7"/>
  <c r="H3" i="7"/>
  <c r="L3" i="7"/>
  <c r="H7" i="7"/>
  <c r="L7" i="7"/>
  <c r="M266" i="6"/>
  <c r="P266" i="6" s="1"/>
  <c r="J266" i="6"/>
  <c r="O266" i="6"/>
  <c r="H297" i="6"/>
  <c r="L297" i="6"/>
  <c r="J244" i="6"/>
  <c r="M244" i="6" s="1"/>
  <c r="P244" i="6" s="1"/>
  <c r="O244" i="6"/>
  <c r="M215" i="6"/>
  <c r="P215" i="6" s="1"/>
  <c r="J215" i="6"/>
  <c r="O215" i="6"/>
  <c r="H267" i="6"/>
  <c r="L267" i="6"/>
  <c r="H305" i="6"/>
  <c r="L305" i="6"/>
  <c r="L164" i="8"/>
  <c r="H164" i="8"/>
  <c r="L156" i="6"/>
  <c r="H156" i="6"/>
  <c r="J219" i="6"/>
  <c r="M219" i="6" s="1"/>
  <c r="P219" i="6" s="1"/>
  <c r="O219" i="6"/>
  <c r="J137" i="6"/>
  <c r="M137" i="6" s="1"/>
  <c r="P137" i="6" s="1"/>
  <c r="O137" i="6"/>
  <c r="O128" i="6"/>
  <c r="J128" i="6"/>
  <c r="M128" i="6" s="1"/>
  <c r="P128" i="6" s="1"/>
  <c r="J179" i="6"/>
  <c r="M179" i="6" s="1"/>
  <c r="P179" i="6" s="1"/>
  <c r="O179" i="6"/>
  <c r="L172" i="8"/>
  <c r="H172" i="8"/>
  <c r="H274" i="7"/>
  <c r="L274" i="7"/>
  <c r="L69" i="6"/>
  <c r="H69" i="6"/>
  <c r="J228" i="6"/>
  <c r="M228" i="6" s="1"/>
  <c r="P228" i="6" s="1"/>
  <c r="O228" i="6"/>
  <c r="L71" i="6"/>
  <c r="H71" i="6"/>
  <c r="R17" i="5"/>
  <c r="S396" i="1"/>
  <c r="S17" i="5" s="1"/>
  <c r="H199" i="8"/>
  <c r="L199" i="8"/>
  <c r="L17" i="8"/>
  <c r="H17" i="8"/>
  <c r="AE399" i="1"/>
  <c r="AE20" i="5" s="1"/>
  <c r="AD20" i="5"/>
  <c r="L43" i="7"/>
  <c r="H43" i="7"/>
  <c r="J75" i="6"/>
  <c r="O75" i="6"/>
  <c r="M75" i="6"/>
  <c r="P75" i="6" s="1"/>
  <c r="L86" i="8"/>
  <c r="H86" i="8"/>
  <c r="H278" i="7"/>
  <c r="L278" i="7"/>
  <c r="H145" i="7"/>
  <c r="L145" i="7"/>
  <c r="L9" i="6"/>
  <c r="H9" i="6"/>
  <c r="C18" i="11" s="1"/>
  <c r="F18" i="11" s="1"/>
  <c r="O397" i="1"/>
  <c r="O18" i="5" s="1"/>
  <c r="L23" i="8"/>
  <c r="H23" i="8"/>
  <c r="L67" i="6"/>
  <c r="H67" i="6"/>
  <c r="H256" i="7"/>
  <c r="L256" i="7"/>
  <c r="L4" i="6"/>
  <c r="H4" i="6"/>
  <c r="H348" i="7"/>
  <c r="L348" i="7"/>
  <c r="L178" i="7"/>
  <c r="H178" i="7"/>
  <c r="H216" i="6"/>
  <c r="L216" i="6"/>
  <c r="L107" i="6"/>
  <c r="H107" i="6"/>
  <c r="M189" i="6"/>
  <c r="P189" i="6" s="1"/>
  <c r="J189" i="6"/>
  <c r="O189" i="6"/>
  <c r="L360" i="8"/>
  <c r="H360" i="8"/>
  <c r="L76" i="8"/>
  <c r="H76" i="8"/>
  <c r="L32" i="8"/>
  <c r="H32" i="8"/>
  <c r="H362" i="6"/>
  <c r="L362" i="6"/>
  <c r="H8" i="7"/>
  <c r="L8" i="7"/>
  <c r="L191" i="7"/>
  <c r="H191" i="7"/>
  <c r="L132" i="8"/>
  <c r="H132" i="8"/>
  <c r="L40" i="8"/>
  <c r="H40" i="8"/>
  <c r="L95" i="7"/>
  <c r="H95" i="7"/>
  <c r="L158" i="7"/>
  <c r="H158" i="7"/>
  <c r="L67" i="7"/>
  <c r="H67" i="7"/>
  <c r="L32" i="7"/>
  <c r="H32" i="7"/>
  <c r="L311" i="8"/>
  <c r="H311" i="8"/>
  <c r="L352" i="8"/>
  <c r="H352" i="8"/>
  <c r="L358" i="8"/>
  <c r="H358" i="8"/>
  <c r="H241" i="8"/>
  <c r="L241" i="8"/>
  <c r="H224" i="8"/>
  <c r="L224" i="8"/>
  <c r="L118" i="8"/>
  <c r="H118" i="8"/>
  <c r="L137" i="8"/>
  <c r="H137" i="8"/>
  <c r="E9" i="10"/>
  <c r="H9" i="10" s="1"/>
  <c r="L133" i="8"/>
  <c r="H133" i="8"/>
  <c r="H75" i="8"/>
  <c r="L75" i="8"/>
  <c r="L38" i="8"/>
  <c r="H38" i="8"/>
  <c r="H359" i="7"/>
  <c r="L359" i="7"/>
  <c r="H302" i="7"/>
  <c r="L302" i="7"/>
  <c r="H30" i="8"/>
  <c r="L30" i="8"/>
  <c r="H264" i="7"/>
  <c r="L264" i="7"/>
  <c r="H230" i="7"/>
  <c r="L230" i="7"/>
  <c r="H251" i="7"/>
  <c r="L251" i="7"/>
  <c r="H222" i="7"/>
  <c r="L222" i="7"/>
  <c r="H174" i="7"/>
  <c r="L174" i="7"/>
  <c r="L193" i="7"/>
  <c r="H193" i="7"/>
  <c r="H218" i="7"/>
  <c r="L218" i="7"/>
  <c r="H173" i="7"/>
  <c r="L173" i="7"/>
  <c r="L133" i="7"/>
  <c r="H133" i="7"/>
  <c r="L77" i="7"/>
  <c r="H77" i="7"/>
  <c r="L112" i="7"/>
  <c r="H112" i="7"/>
  <c r="H355" i="6"/>
  <c r="L355" i="6"/>
  <c r="H291" i="6"/>
  <c r="L291" i="6"/>
  <c r="L31" i="7"/>
  <c r="H31" i="7"/>
  <c r="H336" i="6"/>
  <c r="L336" i="6"/>
  <c r="H304" i="6"/>
  <c r="L304" i="6"/>
  <c r="L50" i="7"/>
  <c r="H50" i="7"/>
  <c r="H298" i="6"/>
  <c r="L298" i="6"/>
  <c r="D6" i="11"/>
  <c r="H318" i="6"/>
  <c r="L318" i="6"/>
  <c r="H361" i="6"/>
  <c r="L361" i="6"/>
  <c r="L256" i="6"/>
  <c r="H256" i="6"/>
  <c r="H258" i="7"/>
  <c r="L258" i="7"/>
  <c r="H285" i="6"/>
  <c r="L285" i="6"/>
  <c r="L207" i="7"/>
  <c r="H207" i="7"/>
  <c r="L162" i="6"/>
  <c r="H162" i="6"/>
  <c r="L130" i="6"/>
  <c r="H130" i="6"/>
  <c r="J259" i="6"/>
  <c r="M259" i="6" s="1"/>
  <c r="P259" i="6" s="1"/>
  <c r="O259" i="6"/>
  <c r="L194" i="8"/>
  <c r="H194" i="8"/>
  <c r="L133" i="6"/>
  <c r="H133" i="6"/>
  <c r="H334" i="7"/>
  <c r="L334" i="7"/>
  <c r="L57" i="6"/>
  <c r="H57" i="6"/>
  <c r="L202" i="7"/>
  <c r="H202" i="7"/>
  <c r="O406" i="1"/>
  <c r="O30" i="5" s="1"/>
  <c r="N30" i="5"/>
  <c r="O402" i="1"/>
  <c r="O26" i="5" s="1"/>
  <c r="N408" i="1"/>
  <c r="N26" i="5"/>
  <c r="L229" i="8"/>
  <c r="H229" i="8"/>
  <c r="J143" i="6"/>
  <c r="M143" i="6" s="1"/>
  <c r="P143" i="6" s="1"/>
  <c r="O143" i="6"/>
  <c r="J20" i="5"/>
  <c r="K399" i="1"/>
  <c r="K20" i="5" s="1"/>
  <c r="J51" i="6"/>
  <c r="O51" i="6"/>
  <c r="M51" i="6"/>
  <c r="P51" i="6" s="1"/>
  <c r="F27" i="5"/>
  <c r="G403" i="1"/>
  <c r="G27" i="5" s="1"/>
  <c r="L206" i="8"/>
  <c r="H206" i="8"/>
  <c r="L175" i="7"/>
  <c r="H175" i="7"/>
  <c r="F364" i="6"/>
  <c r="L3" i="6"/>
  <c r="H3" i="6"/>
  <c r="C8" i="11"/>
  <c r="F8" i="11" s="1"/>
  <c r="L49" i="6"/>
  <c r="H49" i="6"/>
  <c r="H217" i="7"/>
  <c r="L217" i="7"/>
  <c r="H83" i="8"/>
  <c r="L83" i="8"/>
  <c r="O39" i="6"/>
  <c r="M39" i="6"/>
  <c r="J39" i="6"/>
  <c r="H48" i="8"/>
  <c r="L48" i="8"/>
  <c r="H286" i="7"/>
  <c r="L286" i="7"/>
  <c r="L12" i="6"/>
  <c r="H12" i="6"/>
  <c r="O50" i="6"/>
  <c r="J50" i="6"/>
  <c r="M50" i="6" s="1"/>
  <c r="P50" i="6" s="1"/>
  <c r="L70" i="7"/>
  <c r="H70" i="7"/>
  <c r="H408" i="1"/>
  <c r="O395" i="1"/>
  <c r="O16" i="5" s="1"/>
  <c r="L96" i="8"/>
  <c r="H96" i="8"/>
  <c r="H307" i="6"/>
  <c r="L307" i="6"/>
  <c r="J217" i="6"/>
  <c r="M217" i="6" s="1"/>
  <c r="P217" i="6" s="1"/>
  <c r="O217" i="6"/>
  <c r="O10" i="6"/>
  <c r="J10" i="6"/>
  <c r="M10" i="6" s="1"/>
  <c r="P10" i="6" s="1"/>
  <c r="L320" i="8"/>
  <c r="H320" i="8"/>
  <c r="L110" i="8"/>
  <c r="H110" i="8"/>
  <c r="L154" i="8"/>
  <c r="H154" i="8"/>
  <c r="H214" i="7"/>
  <c r="L214" i="7"/>
  <c r="N17" i="5"/>
  <c r="O396" i="1"/>
  <c r="O17" i="5" s="1"/>
  <c r="S395" i="1"/>
  <c r="S16" i="5" s="1"/>
  <c r="H249" i="8"/>
  <c r="L249" i="8"/>
  <c r="L327" i="8"/>
  <c r="H327" i="8"/>
  <c r="H235" i="8"/>
  <c r="L235" i="8"/>
  <c r="L283" i="8"/>
  <c r="H283" i="8"/>
  <c r="L324" i="8"/>
  <c r="H324" i="8"/>
  <c r="L258" i="8"/>
  <c r="H258" i="8"/>
  <c r="L264" i="8"/>
  <c r="H264" i="8"/>
  <c r="L28" i="8"/>
  <c r="H28" i="8"/>
  <c r="L68" i="8"/>
  <c r="H68" i="8"/>
  <c r="E10" i="11"/>
  <c r="H10" i="11" s="1"/>
  <c r="H353" i="7"/>
  <c r="L353" i="7"/>
  <c r="H346" i="7"/>
  <c r="L346" i="7"/>
  <c r="H303" i="7"/>
  <c r="L303" i="7"/>
  <c r="H262" i="7"/>
  <c r="L262" i="7"/>
  <c r="H166" i="7"/>
  <c r="L166" i="7"/>
  <c r="H219" i="7"/>
  <c r="L219" i="7"/>
  <c r="H253" i="7"/>
  <c r="L253" i="7"/>
  <c r="L177" i="7"/>
  <c r="H177" i="7"/>
  <c r="L92" i="7"/>
  <c r="H92" i="7"/>
  <c r="L23" i="7"/>
  <c r="H23" i="7"/>
  <c r="H311" i="6"/>
  <c r="L311" i="6"/>
  <c r="H338" i="6"/>
  <c r="L338" i="6"/>
  <c r="D7" i="11"/>
  <c r="G7" i="11" s="1"/>
  <c r="H309" i="6"/>
  <c r="L309" i="6"/>
  <c r="L248" i="6"/>
  <c r="H248" i="6"/>
  <c r="H288" i="7"/>
  <c r="L288" i="7"/>
  <c r="H333" i="6"/>
  <c r="L333" i="6"/>
  <c r="L57" i="7"/>
  <c r="H57" i="7"/>
  <c r="J261" i="6"/>
  <c r="M261" i="6" s="1"/>
  <c r="P261" i="6" s="1"/>
  <c r="O261" i="6"/>
  <c r="J207" i="6"/>
  <c r="M207" i="6" s="1"/>
  <c r="P207" i="6" s="1"/>
  <c r="O207" i="6"/>
  <c r="L148" i="7"/>
  <c r="H148" i="7"/>
  <c r="M252" i="6"/>
  <c r="P252" i="6" s="1"/>
  <c r="J252" i="6"/>
  <c r="O252" i="6"/>
  <c r="J175" i="6"/>
  <c r="M175" i="6" s="1"/>
  <c r="P175" i="6" s="1"/>
  <c r="O175" i="6"/>
  <c r="M243" i="6"/>
  <c r="P243" i="6" s="1"/>
  <c r="J243" i="6"/>
  <c r="O243" i="6"/>
  <c r="L182" i="6"/>
  <c r="H182" i="6"/>
  <c r="C7" i="10"/>
  <c r="F7" i="10" s="1"/>
  <c r="L172" i="7"/>
  <c r="H172" i="7"/>
  <c r="O116" i="6"/>
  <c r="M116" i="6"/>
  <c r="J116" i="6"/>
  <c r="L30" i="6"/>
  <c r="H30" i="6"/>
  <c r="L185" i="8"/>
  <c r="H185" i="8"/>
  <c r="L53" i="6"/>
  <c r="H53" i="6"/>
  <c r="L287" i="8"/>
  <c r="H287" i="8"/>
  <c r="W398" i="1"/>
  <c r="W19" i="5" s="1"/>
  <c r="V19" i="5"/>
  <c r="H254" i="7"/>
  <c r="L254" i="7"/>
  <c r="V18" i="5"/>
  <c r="W397" i="1"/>
  <c r="W18" i="5" s="1"/>
  <c r="L22" i="6"/>
  <c r="H22" i="6"/>
  <c r="H235" i="7"/>
  <c r="L235" i="7"/>
  <c r="L23" i="6"/>
  <c r="H23" i="6"/>
  <c r="H247" i="7"/>
  <c r="L247" i="7"/>
  <c r="J105" i="6"/>
  <c r="O105" i="6"/>
  <c r="M105" i="6"/>
  <c r="P105" i="6" s="1"/>
  <c r="L323" i="8"/>
  <c r="H323" i="8"/>
  <c r="AA400" i="1"/>
  <c r="AA21" i="5" s="1"/>
  <c r="Z21" i="5"/>
  <c r="S400" i="1"/>
  <c r="S21" i="5" s="1"/>
  <c r="L26" i="6"/>
  <c r="H26" i="6"/>
  <c r="AD18" i="5"/>
  <c r="AE397" i="1"/>
  <c r="AE18" i="5" s="1"/>
  <c r="H160" i="7"/>
  <c r="L160" i="7"/>
  <c r="O348" i="8" l="1"/>
  <c r="M348" i="8"/>
  <c r="P348" i="8" s="1"/>
  <c r="J348" i="8"/>
  <c r="O72" i="8"/>
  <c r="J72" i="8"/>
  <c r="M72" i="8" s="1"/>
  <c r="P72" i="8" s="1"/>
  <c r="O323" i="8"/>
  <c r="J323" i="8"/>
  <c r="M323" i="8" s="1"/>
  <c r="P323" i="8" s="1"/>
  <c r="J254" i="7"/>
  <c r="M254" i="7" s="1"/>
  <c r="P254" i="7" s="1"/>
  <c r="O254" i="7"/>
  <c r="O338" i="6"/>
  <c r="M338" i="6"/>
  <c r="J338" i="6"/>
  <c r="J262" i="7"/>
  <c r="M262" i="7" s="1"/>
  <c r="P262" i="7" s="1"/>
  <c r="O262" i="7"/>
  <c r="O324" i="8"/>
  <c r="J324" i="8"/>
  <c r="M324" i="8"/>
  <c r="P324" i="8" s="1"/>
  <c r="B5" i="5"/>
  <c r="D5" i="5" s="1"/>
  <c r="B5" i="9"/>
  <c r="O83" i="8"/>
  <c r="J83" i="8"/>
  <c r="M83" i="8" s="1"/>
  <c r="P83" i="8" s="1"/>
  <c r="O57" i="6"/>
  <c r="J57" i="6"/>
  <c r="M57" i="6" s="1"/>
  <c r="P57" i="6" s="1"/>
  <c r="J224" i="7"/>
  <c r="M224" i="7" s="1"/>
  <c r="P224" i="7" s="1"/>
  <c r="O224" i="7"/>
  <c r="J151" i="6"/>
  <c r="M151" i="6" s="1"/>
  <c r="P151" i="6" s="1"/>
  <c r="O151" i="6"/>
  <c r="O32" i="6"/>
  <c r="J32" i="6"/>
  <c r="M32" i="6" s="1"/>
  <c r="P32" i="6" s="1"/>
  <c r="O74" i="8"/>
  <c r="J74" i="8"/>
  <c r="M74" i="8"/>
  <c r="P74" i="8" s="1"/>
  <c r="J37" i="7"/>
  <c r="M37" i="7" s="1"/>
  <c r="P37" i="7" s="1"/>
  <c r="O37" i="7"/>
  <c r="O47" i="8"/>
  <c r="M47" i="8"/>
  <c r="J47" i="8"/>
  <c r="O193" i="8"/>
  <c r="J193" i="8"/>
  <c r="M193" i="8"/>
  <c r="J244" i="8"/>
  <c r="M244" i="8" s="1"/>
  <c r="P244" i="8" s="1"/>
  <c r="O244" i="8"/>
  <c r="J263" i="7"/>
  <c r="O263" i="7"/>
  <c r="M263" i="7"/>
  <c r="P263" i="7" s="1"/>
  <c r="J321" i="7"/>
  <c r="M321" i="7" s="1"/>
  <c r="P321" i="7" s="1"/>
  <c r="O321" i="7"/>
  <c r="J306" i="6"/>
  <c r="M306" i="6" s="1"/>
  <c r="P306" i="6" s="1"/>
  <c r="O306" i="6"/>
  <c r="O342" i="6"/>
  <c r="M342" i="6"/>
  <c r="P342" i="6" s="1"/>
  <c r="J342" i="6"/>
  <c r="O216" i="8"/>
  <c r="J216" i="8"/>
  <c r="M216" i="8" s="1"/>
  <c r="P216" i="8" s="1"/>
  <c r="J275" i="7"/>
  <c r="O275" i="7"/>
  <c r="M275" i="7"/>
  <c r="O319" i="6"/>
  <c r="M319" i="6"/>
  <c r="P319" i="6" s="1"/>
  <c r="J319" i="6"/>
  <c r="J276" i="7"/>
  <c r="O276" i="7"/>
  <c r="M276" i="7"/>
  <c r="P276" i="7" s="1"/>
  <c r="J117" i="6"/>
  <c r="M117" i="6" s="1"/>
  <c r="P117" i="6" s="1"/>
  <c r="O117" i="6"/>
  <c r="O349" i="6"/>
  <c r="J349" i="6"/>
  <c r="M349" i="6" s="1"/>
  <c r="P349" i="6" s="1"/>
  <c r="J348" i="6"/>
  <c r="M348" i="6" s="1"/>
  <c r="P348" i="6" s="1"/>
  <c r="O348" i="6"/>
  <c r="J298" i="7"/>
  <c r="O298" i="7"/>
  <c r="M298" i="7"/>
  <c r="P298" i="7" s="1"/>
  <c r="J261" i="7"/>
  <c r="O261" i="7"/>
  <c r="M261" i="7"/>
  <c r="O350" i="7"/>
  <c r="M350" i="7"/>
  <c r="J350" i="7"/>
  <c r="O98" i="6"/>
  <c r="J98" i="6"/>
  <c r="M98" i="6" s="1"/>
  <c r="P98" i="6" s="1"/>
  <c r="O26" i="8"/>
  <c r="J26" i="8"/>
  <c r="M26" i="8" s="1"/>
  <c r="P26" i="8" s="1"/>
  <c r="O331" i="8"/>
  <c r="J331" i="8"/>
  <c r="M331" i="8" s="1"/>
  <c r="P331" i="8" s="1"/>
  <c r="O84" i="8"/>
  <c r="J84" i="8"/>
  <c r="M84" i="8"/>
  <c r="O97" i="7"/>
  <c r="M97" i="7"/>
  <c r="P97" i="7" s="1"/>
  <c r="J97" i="7"/>
  <c r="O119" i="7"/>
  <c r="J119" i="7"/>
  <c r="M119" i="7" s="1"/>
  <c r="P119" i="7" s="1"/>
  <c r="O123" i="8"/>
  <c r="J123" i="8"/>
  <c r="M123" i="8"/>
  <c r="P123" i="8" s="1"/>
  <c r="O106" i="6"/>
  <c r="M106" i="6"/>
  <c r="P106" i="6" s="1"/>
  <c r="J106" i="6"/>
  <c r="J4" i="7"/>
  <c r="M4" i="7"/>
  <c r="P4" i="7" s="1"/>
  <c r="O4" i="7"/>
  <c r="D17" i="10"/>
  <c r="G17" i="10" s="1"/>
  <c r="J149" i="8"/>
  <c r="M149" i="8"/>
  <c r="P149" i="8" s="1"/>
  <c r="O149" i="8"/>
  <c r="J353" i="8"/>
  <c r="M353" i="8" s="1"/>
  <c r="P353" i="8" s="1"/>
  <c r="O353" i="8"/>
  <c r="O208" i="7"/>
  <c r="J208" i="7"/>
  <c r="M208" i="7" s="1"/>
  <c r="P208" i="7" s="1"/>
  <c r="O237" i="8"/>
  <c r="J237" i="8"/>
  <c r="M237" i="8" s="1"/>
  <c r="P237" i="8" s="1"/>
  <c r="O128" i="8"/>
  <c r="M128" i="8"/>
  <c r="P128" i="8" s="1"/>
  <c r="J128" i="8"/>
  <c r="J284" i="7"/>
  <c r="O284" i="7"/>
  <c r="M284" i="7"/>
  <c r="P284" i="7" s="1"/>
  <c r="J139" i="6"/>
  <c r="M139" i="6" s="1"/>
  <c r="P139" i="6" s="1"/>
  <c r="O139" i="6"/>
  <c r="J283" i="6"/>
  <c r="O283" i="6"/>
  <c r="M283" i="6"/>
  <c r="O158" i="8"/>
  <c r="J158" i="8"/>
  <c r="M158" i="8"/>
  <c r="P158" i="8" s="1"/>
  <c r="O53" i="7"/>
  <c r="J53" i="7"/>
  <c r="M53" i="7" s="1"/>
  <c r="P53" i="7" s="1"/>
  <c r="J258" i="6"/>
  <c r="M258" i="6" s="1"/>
  <c r="P258" i="6" s="1"/>
  <c r="O258" i="6"/>
  <c r="M190" i="6"/>
  <c r="P190" i="6" s="1"/>
  <c r="J190" i="6"/>
  <c r="O190" i="6"/>
  <c r="M204" i="6"/>
  <c r="P204" i="6" s="1"/>
  <c r="J204" i="6"/>
  <c r="O204" i="6"/>
  <c r="J230" i="8"/>
  <c r="O230" i="8"/>
  <c r="M230" i="8"/>
  <c r="P230" i="8" s="1"/>
  <c r="J48" i="7"/>
  <c r="O48" i="7"/>
  <c r="M48" i="7"/>
  <c r="P48" i="7" s="1"/>
  <c r="O160" i="8"/>
  <c r="J160" i="8"/>
  <c r="M160" i="8"/>
  <c r="J199" i="6"/>
  <c r="M199" i="6" s="1"/>
  <c r="P199" i="6" s="1"/>
  <c r="O199" i="6"/>
  <c r="J33" i="7"/>
  <c r="M33" i="7" s="1"/>
  <c r="P33" i="7" s="1"/>
  <c r="O33" i="7"/>
  <c r="J17" i="7"/>
  <c r="O17" i="7"/>
  <c r="M17" i="7"/>
  <c r="P17" i="7" s="1"/>
  <c r="J285" i="8"/>
  <c r="M285" i="8"/>
  <c r="P285" i="8" s="1"/>
  <c r="O285" i="8"/>
  <c r="J45" i="7"/>
  <c r="M45" i="7"/>
  <c r="P45" i="7" s="1"/>
  <c r="O45" i="7"/>
  <c r="O334" i="7"/>
  <c r="J334" i="7"/>
  <c r="M334" i="7" s="1"/>
  <c r="P334" i="7" s="1"/>
  <c r="J336" i="6"/>
  <c r="M336" i="6" s="1"/>
  <c r="P336" i="6" s="1"/>
  <c r="O336" i="6"/>
  <c r="J218" i="7"/>
  <c r="O218" i="7"/>
  <c r="M218" i="7"/>
  <c r="O156" i="6"/>
  <c r="J156" i="6"/>
  <c r="M156" i="6" s="1"/>
  <c r="P156" i="6" s="1"/>
  <c r="J109" i="7"/>
  <c r="M109" i="7" s="1"/>
  <c r="P109" i="7" s="1"/>
  <c r="O109" i="7"/>
  <c r="O330" i="6"/>
  <c r="M330" i="6"/>
  <c r="P330" i="6" s="1"/>
  <c r="J330" i="6"/>
  <c r="O315" i="6"/>
  <c r="M315" i="6"/>
  <c r="J315" i="6"/>
  <c r="J359" i="6"/>
  <c r="M359" i="6" s="1"/>
  <c r="P359" i="6" s="1"/>
  <c r="O359" i="6"/>
  <c r="J146" i="8"/>
  <c r="M146" i="8"/>
  <c r="P146" i="8" s="1"/>
  <c r="O146" i="8"/>
  <c r="O154" i="6"/>
  <c r="J154" i="6"/>
  <c r="M154" i="6"/>
  <c r="P154" i="6" s="1"/>
  <c r="O124" i="7"/>
  <c r="J124" i="7"/>
  <c r="M124" i="7"/>
  <c r="M115" i="7"/>
  <c r="O115" i="7"/>
  <c r="J115" i="7"/>
  <c r="O50" i="8"/>
  <c r="M50" i="8"/>
  <c r="P50" i="8" s="1"/>
  <c r="J50" i="8"/>
  <c r="J259" i="7"/>
  <c r="O259" i="7"/>
  <c r="M259" i="7"/>
  <c r="P259" i="7" s="1"/>
  <c r="J274" i="8"/>
  <c r="O274" i="8"/>
  <c r="M274" i="8"/>
  <c r="J223" i="6"/>
  <c r="M223" i="6" s="1"/>
  <c r="P223" i="6" s="1"/>
  <c r="O223" i="6"/>
  <c r="O63" i="8"/>
  <c r="J63" i="8"/>
  <c r="M63" i="8" s="1"/>
  <c r="P63" i="8" s="1"/>
  <c r="O52" i="8"/>
  <c r="J52" i="8"/>
  <c r="M52" i="8"/>
  <c r="J268" i="8"/>
  <c r="M268" i="8"/>
  <c r="P268" i="8" s="1"/>
  <c r="O268" i="8"/>
  <c r="J266" i="8"/>
  <c r="O266" i="8"/>
  <c r="M266" i="8"/>
  <c r="P266" i="8" s="1"/>
  <c r="J19" i="7"/>
  <c r="O19" i="7"/>
  <c r="M19" i="7"/>
  <c r="P19" i="7" s="1"/>
  <c r="J242" i="8"/>
  <c r="M242" i="8"/>
  <c r="P242" i="8" s="1"/>
  <c r="O242" i="8"/>
  <c r="M104" i="7"/>
  <c r="P104" i="7" s="1"/>
  <c r="J104" i="7"/>
  <c r="O104" i="7"/>
  <c r="H6" i="10"/>
  <c r="E11" i="10"/>
  <c r="H11" i="10" s="1"/>
  <c r="O172" i="7"/>
  <c r="J172" i="7"/>
  <c r="M172" i="7" s="1"/>
  <c r="P172" i="7" s="1"/>
  <c r="O31" i="8"/>
  <c r="J31" i="8"/>
  <c r="M31" i="8" s="1"/>
  <c r="P31" i="8" s="1"/>
  <c r="O73" i="7"/>
  <c r="M73" i="7"/>
  <c r="P73" i="7" s="1"/>
  <c r="J73" i="7"/>
  <c r="M116" i="7"/>
  <c r="J116" i="7"/>
  <c r="O116" i="7"/>
  <c r="O104" i="8"/>
  <c r="J104" i="8"/>
  <c r="M104" i="8"/>
  <c r="J346" i="8"/>
  <c r="M346" i="8" s="1"/>
  <c r="P346" i="8" s="1"/>
  <c r="O346" i="8"/>
  <c r="O43" i="8"/>
  <c r="J43" i="8"/>
  <c r="M43" i="8" s="1"/>
  <c r="P43" i="8" s="1"/>
  <c r="J310" i="7"/>
  <c r="O310" i="7"/>
  <c r="M310" i="7"/>
  <c r="P310" i="7" s="1"/>
  <c r="O161" i="7"/>
  <c r="M161" i="7"/>
  <c r="P161" i="7" s="1"/>
  <c r="J161" i="7"/>
  <c r="O20" i="6"/>
  <c r="J20" i="6"/>
  <c r="M20" i="6" s="1"/>
  <c r="P20" i="6" s="1"/>
  <c r="O102" i="7"/>
  <c r="J102" i="7"/>
  <c r="M102" i="7" s="1"/>
  <c r="P102" i="7" s="1"/>
  <c r="J193" i="6"/>
  <c r="M193" i="6" s="1"/>
  <c r="P193" i="6" s="1"/>
  <c r="O193" i="6"/>
  <c r="O62" i="8"/>
  <c r="J62" i="8"/>
  <c r="M62" i="8" s="1"/>
  <c r="P62" i="8" s="1"/>
  <c r="J287" i="8"/>
  <c r="M287" i="8" s="1"/>
  <c r="P287" i="8" s="1"/>
  <c r="O287" i="8"/>
  <c r="J23" i="7"/>
  <c r="M23" i="7" s="1"/>
  <c r="P23" i="7" s="1"/>
  <c r="O23" i="7"/>
  <c r="D21" i="11"/>
  <c r="G21" i="11" s="1"/>
  <c r="O320" i="8"/>
  <c r="J320" i="8"/>
  <c r="M320" i="8" s="1"/>
  <c r="P320" i="8" s="1"/>
  <c r="O49" i="6"/>
  <c r="J49" i="6"/>
  <c r="M49" i="6" s="1"/>
  <c r="P49" i="6" s="1"/>
  <c r="J302" i="7"/>
  <c r="O302" i="7"/>
  <c r="M302" i="7"/>
  <c r="P302" i="7" s="1"/>
  <c r="O40" i="8"/>
  <c r="J40" i="8"/>
  <c r="M40" i="8" s="1"/>
  <c r="P40" i="8" s="1"/>
  <c r="J304" i="7"/>
  <c r="M304" i="7" s="1"/>
  <c r="P304" i="7" s="1"/>
  <c r="O304" i="7"/>
  <c r="O73" i="8"/>
  <c r="J73" i="8"/>
  <c r="M73" i="8" s="1"/>
  <c r="P73" i="8" s="1"/>
  <c r="M138" i="7"/>
  <c r="J138" i="7"/>
  <c r="O138" i="7"/>
  <c r="J240" i="7"/>
  <c r="O240" i="7"/>
  <c r="M240" i="7"/>
  <c r="J109" i="8"/>
  <c r="M109" i="8"/>
  <c r="P109" i="8" s="1"/>
  <c r="O109" i="8"/>
  <c r="J63" i="6"/>
  <c r="O63" i="6"/>
  <c r="M63" i="6"/>
  <c r="P63" i="6" s="1"/>
  <c r="O321" i="6"/>
  <c r="J321" i="6"/>
  <c r="M321" i="6" s="1"/>
  <c r="P321" i="6" s="1"/>
  <c r="O134" i="8"/>
  <c r="M134" i="8"/>
  <c r="P134" i="8" s="1"/>
  <c r="J134" i="8"/>
  <c r="O11" i="6"/>
  <c r="J11" i="6"/>
  <c r="M11" i="6"/>
  <c r="P11" i="6" s="1"/>
  <c r="J225" i="6"/>
  <c r="M225" i="6" s="1"/>
  <c r="P225" i="6" s="1"/>
  <c r="O225" i="6"/>
  <c r="J197" i="7"/>
  <c r="M197" i="7" s="1"/>
  <c r="P197" i="7" s="1"/>
  <c r="O197" i="7"/>
  <c r="M341" i="6"/>
  <c r="P341" i="6" s="1"/>
  <c r="J341" i="6"/>
  <c r="O341" i="6"/>
  <c r="O174" i="6"/>
  <c r="J174" i="6"/>
  <c r="M174" i="6" s="1"/>
  <c r="P174" i="6" s="1"/>
  <c r="O169" i="8"/>
  <c r="J169" i="8"/>
  <c r="M169" i="8" s="1"/>
  <c r="P169" i="8" s="1"/>
  <c r="O226" i="8"/>
  <c r="J226" i="8"/>
  <c r="M226" i="8" s="1"/>
  <c r="P226" i="8" s="1"/>
  <c r="J286" i="8"/>
  <c r="M286" i="8" s="1"/>
  <c r="P286" i="8" s="1"/>
  <c r="O286" i="8"/>
  <c r="O54" i="8"/>
  <c r="M54" i="8"/>
  <c r="P54" i="8" s="1"/>
  <c r="J54" i="8"/>
  <c r="J238" i="7"/>
  <c r="M238" i="7" s="1"/>
  <c r="P238" i="7" s="1"/>
  <c r="O238" i="7"/>
  <c r="O40" i="6"/>
  <c r="J40" i="6"/>
  <c r="M40" i="6"/>
  <c r="P40" i="6" s="1"/>
  <c r="O178" i="6"/>
  <c r="M178" i="6"/>
  <c r="P178" i="6" s="1"/>
  <c r="J178" i="6"/>
  <c r="O354" i="6"/>
  <c r="M354" i="6"/>
  <c r="P354" i="6" s="1"/>
  <c r="J354" i="6"/>
  <c r="J328" i="6"/>
  <c r="O328" i="6"/>
  <c r="M328" i="6"/>
  <c r="P328" i="6" s="1"/>
  <c r="O182" i="7"/>
  <c r="J182" i="7"/>
  <c r="M182" i="7" s="1"/>
  <c r="P182" i="7" s="1"/>
  <c r="O282" i="6"/>
  <c r="M282" i="6"/>
  <c r="P282" i="6" s="1"/>
  <c r="J282" i="6"/>
  <c r="O301" i="8"/>
  <c r="J301" i="8"/>
  <c r="M301" i="8" s="1"/>
  <c r="P301" i="8" s="1"/>
  <c r="J356" i="6"/>
  <c r="M356" i="6" s="1"/>
  <c r="P356" i="6" s="1"/>
  <c r="O356" i="6"/>
  <c r="J152" i="7"/>
  <c r="O152" i="7"/>
  <c r="M152" i="7"/>
  <c r="J246" i="7"/>
  <c r="M246" i="7" s="1"/>
  <c r="P246" i="7" s="1"/>
  <c r="O246" i="7"/>
  <c r="J55" i="6"/>
  <c r="M55" i="6" s="1"/>
  <c r="P55" i="6" s="1"/>
  <c r="O55" i="6"/>
  <c r="M118" i="7"/>
  <c r="O118" i="7"/>
  <c r="J118" i="7"/>
  <c r="O39" i="8"/>
  <c r="J39" i="8"/>
  <c r="M39" i="8"/>
  <c r="P39" i="8" s="1"/>
  <c r="J281" i="8"/>
  <c r="M281" i="8" s="1"/>
  <c r="P281" i="8" s="1"/>
  <c r="O281" i="8"/>
  <c r="J271" i="8"/>
  <c r="M271" i="8" s="1"/>
  <c r="P271" i="8" s="1"/>
  <c r="O271" i="8"/>
  <c r="J33" i="6"/>
  <c r="M33" i="6" s="1"/>
  <c r="P33" i="6" s="1"/>
  <c r="O33" i="6"/>
  <c r="O100" i="8"/>
  <c r="J100" i="8"/>
  <c r="M100" i="8"/>
  <c r="P100" i="8" s="1"/>
  <c r="O57" i="7"/>
  <c r="M57" i="7"/>
  <c r="P57" i="7" s="1"/>
  <c r="J57" i="7"/>
  <c r="O346" i="7"/>
  <c r="M346" i="7"/>
  <c r="P346" i="7" s="1"/>
  <c r="J346" i="7"/>
  <c r="M133" i="6"/>
  <c r="J133" i="6"/>
  <c r="O133" i="6"/>
  <c r="J258" i="7"/>
  <c r="O258" i="7"/>
  <c r="M258" i="7"/>
  <c r="J31" i="7"/>
  <c r="M31" i="7" s="1"/>
  <c r="P31" i="7" s="1"/>
  <c r="O31" i="7"/>
  <c r="M193" i="7"/>
  <c r="J193" i="7"/>
  <c r="O193" i="7"/>
  <c r="J241" i="8"/>
  <c r="O241" i="8"/>
  <c r="M241" i="8"/>
  <c r="P241" i="8" s="1"/>
  <c r="O23" i="8"/>
  <c r="M23" i="8"/>
  <c r="P23" i="8" s="1"/>
  <c r="J23" i="8"/>
  <c r="E21" i="11"/>
  <c r="H21" i="11" s="1"/>
  <c r="J274" i="7"/>
  <c r="O274" i="7"/>
  <c r="M274" i="7"/>
  <c r="J326" i="7"/>
  <c r="M326" i="7" s="1"/>
  <c r="P326" i="7" s="1"/>
  <c r="O326" i="7"/>
  <c r="J141" i="8"/>
  <c r="O141" i="8"/>
  <c r="M141" i="8"/>
  <c r="P141" i="8" s="1"/>
  <c r="O79" i="7"/>
  <c r="J79" i="7"/>
  <c r="M79" i="7" s="1"/>
  <c r="P79" i="7" s="1"/>
  <c r="J230" i="6"/>
  <c r="M230" i="6" s="1"/>
  <c r="P230" i="6" s="1"/>
  <c r="O230" i="6"/>
  <c r="J316" i="7"/>
  <c r="M316" i="7" s="1"/>
  <c r="P316" i="7" s="1"/>
  <c r="O316" i="7"/>
  <c r="J5" i="6"/>
  <c r="M5" i="6" s="1"/>
  <c r="P5" i="6" s="1"/>
  <c r="O5" i="6"/>
  <c r="C18" i="10"/>
  <c r="F18" i="10" s="1"/>
  <c r="O202" i="8"/>
  <c r="J202" i="8"/>
  <c r="M202" i="8" s="1"/>
  <c r="P202" i="8" s="1"/>
  <c r="J36" i="7"/>
  <c r="M36" i="7" s="1"/>
  <c r="P36" i="7" s="1"/>
  <c r="O36" i="7"/>
  <c r="O116" i="8"/>
  <c r="M116" i="8"/>
  <c r="P116" i="8" s="1"/>
  <c r="J116" i="8"/>
  <c r="M233" i="8"/>
  <c r="P233" i="8" s="1"/>
  <c r="O233" i="8"/>
  <c r="J233" i="8"/>
  <c r="M196" i="7"/>
  <c r="P196" i="7" s="1"/>
  <c r="J196" i="7"/>
  <c r="O196" i="7"/>
  <c r="J314" i="7"/>
  <c r="M314" i="7" s="1"/>
  <c r="P314" i="7" s="1"/>
  <c r="O314" i="7"/>
  <c r="J321" i="8"/>
  <c r="O321" i="8"/>
  <c r="M321" i="8"/>
  <c r="P321" i="8" s="1"/>
  <c r="O192" i="7"/>
  <c r="J192" i="7"/>
  <c r="M192" i="7" s="1"/>
  <c r="P192" i="7" s="1"/>
  <c r="P127" i="6"/>
  <c r="M58" i="6"/>
  <c r="P58" i="6" s="1"/>
  <c r="J58" i="6"/>
  <c r="O58" i="6"/>
  <c r="M284" i="6"/>
  <c r="P284" i="6" s="1"/>
  <c r="O284" i="6"/>
  <c r="J284" i="6"/>
  <c r="J228" i="7"/>
  <c r="M228" i="7" s="1"/>
  <c r="P228" i="7" s="1"/>
  <c r="O228" i="7"/>
  <c r="O335" i="7"/>
  <c r="J335" i="7"/>
  <c r="M335" i="7" s="1"/>
  <c r="P335" i="7" s="1"/>
  <c r="O63" i="7"/>
  <c r="J63" i="7"/>
  <c r="M63" i="7" s="1"/>
  <c r="P63" i="7" s="1"/>
  <c r="J66" i="6"/>
  <c r="M66" i="6" s="1"/>
  <c r="P66" i="6" s="1"/>
  <c r="O66" i="6"/>
  <c r="O99" i="8"/>
  <c r="J99" i="8"/>
  <c r="M99" i="8" s="1"/>
  <c r="P99" i="8" s="1"/>
  <c r="O79" i="8"/>
  <c r="J79" i="8"/>
  <c r="M79" i="8" s="1"/>
  <c r="P79" i="8" s="1"/>
  <c r="O205" i="8"/>
  <c r="M205" i="8"/>
  <c r="P205" i="8" s="1"/>
  <c r="J205" i="8"/>
  <c r="J291" i="7"/>
  <c r="M291" i="7" s="1"/>
  <c r="P291" i="7" s="1"/>
  <c r="O291" i="7"/>
  <c r="M16" i="8"/>
  <c r="J16" i="8"/>
  <c r="O16" i="8"/>
  <c r="J275" i="6"/>
  <c r="O275" i="6"/>
  <c r="M275" i="6"/>
  <c r="O350" i="6"/>
  <c r="J350" i="6"/>
  <c r="M350" i="6" s="1"/>
  <c r="P350" i="6" s="1"/>
  <c r="O336" i="7"/>
  <c r="J336" i="7"/>
  <c r="M336" i="7" s="1"/>
  <c r="P336" i="7" s="1"/>
  <c r="O140" i="7"/>
  <c r="J140" i="7"/>
  <c r="M140" i="7" s="1"/>
  <c r="P140" i="7" s="1"/>
  <c r="O69" i="8"/>
  <c r="J69" i="8"/>
  <c r="M69" i="8" s="1"/>
  <c r="P69" i="8" s="1"/>
  <c r="O332" i="8"/>
  <c r="J332" i="8"/>
  <c r="M332" i="8" s="1"/>
  <c r="P332" i="8" s="1"/>
  <c r="O343" i="6"/>
  <c r="J343" i="6"/>
  <c r="M343" i="6" s="1"/>
  <c r="P343" i="6" s="1"/>
  <c r="O167" i="8"/>
  <c r="J167" i="8"/>
  <c r="M167" i="8" s="1"/>
  <c r="P167" i="8" s="1"/>
  <c r="O315" i="8"/>
  <c r="J315" i="8"/>
  <c r="M315" i="8" s="1"/>
  <c r="P315" i="8" s="1"/>
  <c r="M137" i="7"/>
  <c r="P137" i="7" s="1"/>
  <c r="J137" i="7"/>
  <c r="O137" i="7"/>
  <c r="J209" i="7"/>
  <c r="M209" i="7" s="1"/>
  <c r="P209" i="7" s="1"/>
  <c r="O209" i="7"/>
  <c r="J293" i="8"/>
  <c r="M293" i="8" s="1"/>
  <c r="P293" i="8" s="1"/>
  <c r="O293" i="8"/>
  <c r="O181" i="8"/>
  <c r="J181" i="8"/>
  <c r="M181" i="8" s="1"/>
  <c r="P181" i="8" s="1"/>
  <c r="J51" i="7"/>
  <c r="M51" i="7" s="1"/>
  <c r="P51" i="7" s="1"/>
  <c r="O51" i="7"/>
  <c r="O213" i="8"/>
  <c r="M213" i="8"/>
  <c r="P213" i="8" s="1"/>
  <c r="J213" i="8"/>
  <c r="O200" i="7"/>
  <c r="J200" i="7"/>
  <c r="M200" i="7" s="1"/>
  <c r="P200" i="7" s="1"/>
  <c r="O74" i="7"/>
  <c r="M74" i="7"/>
  <c r="P74" i="7" s="1"/>
  <c r="J74" i="7"/>
  <c r="J16" i="7"/>
  <c r="O16" i="7"/>
  <c r="M16" i="7"/>
  <c r="P16" i="7" s="1"/>
  <c r="O179" i="7"/>
  <c r="J179" i="7"/>
  <c r="M179" i="7" s="1"/>
  <c r="P179" i="7" s="1"/>
  <c r="O10" i="8"/>
  <c r="J10" i="8"/>
  <c r="M10" i="8" s="1"/>
  <c r="P10" i="8" s="1"/>
  <c r="J306" i="8"/>
  <c r="M306" i="8" s="1"/>
  <c r="P306" i="8" s="1"/>
  <c r="O306" i="8"/>
  <c r="O327" i="6"/>
  <c r="J327" i="6"/>
  <c r="M327" i="6" s="1"/>
  <c r="P327" i="6" s="1"/>
  <c r="J148" i="8"/>
  <c r="M148" i="8" s="1"/>
  <c r="P148" i="8" s="1"/>
  <c r="O148" i="8"/>
  <c r="O212" i="8"/>
  <c r="M212" i="8"/>
  <c r="J212" i="8"/>
  <c r="M6" i="8"/>
  <c r="J6" i="8"/>
  <c r="O6" i="8"/>
  <c r="E19" i="10"/>
  <c r="H19" i="10" s="1"/>
  <c r="J41" i="6"/>
  <c r="M41" i="6" s="1"/>
  <c r="P41" i="6" s="1"/>
  <c r="O41" i="6"/>
  <c r="J332" i="6"/>
  <c r="M332" i="6" s="1"/>
  <c r="P332" i="6" s="1"/>
  <c r="O332" i="6"/>
  <c r="S408" i="1"/>
  <c r="O228" i="8"/>
  <c r="J228" i="8"/>
  <c r="M228" i="8" s="1"/>
  <c r="P228" i="8" s="1"/>
  <c r="J5" i="7"/>
  <c r="M5" i="7" s="1"/>
  <c r="P5" i="7" s="1"/>
  <c r="O5" i="7"/>
  <c r="D18" i="10"/>
  <c r="G18" i="10" s="1"/>
  <c r="O120" i="7"/>
  <c r="J120" i="7"/>
  <c r="M120" i="7" s="1"/>
  <c r="P120" i="7" s="1"/>
  <c r="M214" i="6"/>
  <c r="J214" i="6"/>
  <c r="O214" i="6"/>
  <c r="O316" i="8"/>
  <c r="M316" i="8"/>
  <c r="P316" i="8" s="1"/>
  <c r="J316" i="8"/>
  <c r="O56" i="7"/>
  <c r="J56" i="7"/>
  <c r="M56" i="7" s="1"/>
  <c r="P56" i="7" s="1"/>
  <c r="M254" i="6"/>
  <c r="J254" i="6"/>
  <c r="O254" i="6"/>
  <c r="O33" i="8"/>
  <c r="J33" i="8"/>
  <c r="M33" i="8" s="1"/>
  <c r="P33" i="8" s="1"/>
  <c r="J166" i="7"/>
  <c r="M166" i="7" s="1"/>
  <c r="P166" i="7" s="1"/>
  <c r="O166" i="7"/>
  <c r="J50" i="7"/>
  <c r="M50" i="7" s="1"/>
  <c r="P50" i="7" s="1"/>
  <c r="O50" i="7"/>
  <c r="O171" i="8"/>
  <c r="J171" i="8"/>
  <c r="M171" i="8"/>
  <c r="J245" i="7"/>
  <c r="M245" i="7" s="1"/>
  <c r="P245" i="7" s="1"/>
  <c r="O245" i="7"/>
  <c r="J316" i="6"/>
  <c r="M316" i="6"/>
  <c r="P316" i="6" s="1"/>
  <c r="O316" i="6"/>
  <c r="J119" i="6"/>
  <c r="M119" i="6" s="1"/>
  <c r="P119" i="6" s="1"/>
  <c r="O119" i="6"/>
  <c r="O93" i="8"/>
  <c r="J93" i="8"/>
  <c r="M93" i="8" s="1"/>
  <c r="P93" i="8" s="1"/>
  <c r="M185" i="6"/>
  <c r="P185" i="6" s="1"/>
  <c r="J185" i="6"/>
  <c r="O185" i="6"/>
  <c r="O196" i="8"/>
  <c r="M196" i="8"/>
  <c r="P196" i="8" s="1"/>
  <c r="J196" i="8"/>
  <c r="J272" i="8"/>
  <c r="O272" i="8"/>
  <c r="M272" i="8"/>
  <c r="P272" i="8" s="1"/>
  <c r="J150" i="8"/>
  <c r="M150" i="8" s="1"/>
  <c r="P150" i="8" s="1"/>
  <c r="O150" i="8"/>
  <c r="B8" i="9"/>
  <c r="B8" i="5"/>
  <c r="D8" i="5" s="1"/>
  <c r="O263" i="6"/>
  <c r="J263" i="6"/>
  <c r="M263" i="6" s="1"/>
  <c r="P263" i="6" s="1"/>
  <c r="O49" i="8"/>
  <c r="J49" i="8"/>
  <c r="M49" i="8" s="1"/>
  <c r="P49" i="8" s="1"/>
  <c r="J292" i="6"/>
  <c r="M292" i="6" s="1"/>
  <c r="P292" i="6" s="1"/>
  <c r="O292" i="6"/>
  <c r="O49" i="7"/>
  <c r="M49" i="7"/>
  <c r="P49" i="7" s="1"/>
  <c r="J49" i="7"/>
  <c r="O70" i="7"/>
  <c r="J70" i="7"/>
  <c r="M70" i="7"/>
  <c r="J304" i="6"/>
  <c r="M304" i="6"/>
  <c r="P304" i="6" s="1"/>
  <c r="O304" i="6"/>
  <c r="O95" i="7"/>
  <c r="M95" i="7"/>
  <c r="J95" i="7"/>
  <c r="O69" i="6"/>
  <c r="J69" i="6"/>
  <c r="M69" i="6" s="1"/>
  <c r="P69" i="6" s="1"/>
  <c r="O295" i="6"/>
  <c r="J295" i="6"/>
  <c r="M295" i="6" s="1"/>
  <c r="P295" i="6" s="1"/>
  <c r="J315" i="7"/>
  <c r="M315" i="7" s="1"/>
  <c r="P315" i="7" s="1"/>
  <c r="O315" i="7"/>
  <c r="O142" i="6"/>
  <c r="J142" i="6"/>
  <c r="M142" i="6" s="1"/>
  <c r="P142" i="6" s="1"/>
  <c r="J149" i="7"/>
  <c r="M149" i="7" s="1"/>
  <c r="P149" i="7" s="1"/>
  <c r="O149" i="7"/>
  <c r="O146" i="6"/>
  <c r="J146" i="6"/>
  <c r="M146" i="6" s="1"/>
  <c r="P146" i="6" s="1"/>
  <c r="P235" i="6"/>
  <c r="J65" i="7"/>
  <c r="O65" i="7"/>
  <c r="M65" i="7"/>
  <c r="P65" i="7" s="1"/>
  <c r="O328" i="7"/>
  <c r="M328" i="7"/>
  <c r="P328" i="7" s="1"/>
  <c r="J328" i="7"/>
  <c r="J144" i="8"/>
  <c r="O144" i="8"/>
  <c r="M144" i="8"/>
  <c r="P144" i="8" s="1"/>
  <c r="J294" i="8"/>
  <c r="M294" i="8"/>
  <c r="P294" i="8" s="1"/>
  <c r="O294" i="8"/>
  <c r="J111" i="6"/>
  <c r="O111" i="6"/>
  <c r="M111" i="6"/>
  <c r="P111" i="6" s="1"/>
  <c r="P161" i="6"/>
  <c r="J282" i="8"/>
  <c r="M282" i="8"/>
  <c r="O282" i="8"/>
  <c r="J255" i="7"/>
  <c r="M255" i="7" s="1"/>
  <c r="P255" i="7" s="1"/>
  <c r="O255" i="7"/>
  <c r="O61" i="6"/>
  <c r="J61" i="6"/>
  <c r="M61" i="6" s="1"/>
  <c r="P61" i="6" s="1"/>
  <c r="P262" i="6"/>
  <c r="M337" i="6"/>
  <c r="P337" i="6" s="1"/>
  <c r="O337" i="6"/>
  <c r="J337" i="6"/>
  <c r="J282" i="7"/>
  <c r="O282" i="7"/>
  <c r="M282" i="7"/>
  <c r="J269" i="8"/>
  <c r="M269" i="8"/>
  <c r="O269" i="8"/>
  <c r="J314" i="8"/>
  <c r="M314" i="8" s="1"/>
  <c r="P314" i="8" s="1"/>
  <c r="O314" i="8"/>
  <c r="O347" i="6"/>
  <c r="J347" i="6"/>
  <c r="M347" i="6" s="1"/>
  <c r="P347" i="6" s="1"/>
  <c r="J220" i="7"/>
  <c r="M220" i="7"/>
  <c r="P220" i="7" s="1"/>
  <c r="O220" i="7"/>
  <c r="O139" i="8"/>
  <c r="J139" i="8"/>
  <c r="M139" i="8" s="1"/>
  <c r="P139" i="8" s="1"/>
  <c r="J162" i="7"/>
  <c r="O162" i="7"/>
  <c r="M162" i="7"/>
  <c r="P162" i="7" s="1"/>
  <c r="O127" i="8"/>
  <c r="J127" i="8"/>
  <c r="M127" i="8" s="1"/>
  <c r="P127" i="8" s="1"/>
  <c r="J259" i="8"/>
  <c r="M259" i="8" s="1"/>
  <c r="P259" i="8" s="1"/>
  <c r="O259" i="8"/>
  <c r="O80" i="7"/>
  <c r="J80" i="7"/>
  <c r="M80" i="7" s="1"/>
  <c r="P80" i="7" s="1"/>
  <c r="O209" i="8"/>
  <c r="J209" i="8"/>
  <c r="M209" i="8" s="1"/>
  <c r="P209" i="8" s="1"/>
  <c r="M68" i="7"/>
  <c r="P68" i="7" s="1"/>
  <c r="J68" i="7"/>
  <c r="O68" i="7"/>
  <c r="O61" i="8"/>
  <c r="J61" i="8"/>
  <c r="M61" i="8" s="1"/>
  <c r="P61" i="8" s="1"/>
  <c r="O81" i="7"/>
  <c r="J81" i="7"/>
  <c r="M81" i="7"/>
  <c r="J226" i="6"/>
  <c r="M226" i="6" s="1"/>
  <c r="P226" i="6" s="1"/>
  <c r="O226" i="6"/>
  <c r="C19" i="10"/>
  <c r="F19" i="10" s="1"/>
  <c r="M224" i="6"/>
  <c r="P224" i="6" s="1"/>
  <c r="J224" i="6"/>
  <c r="O224" i="6"/>
  <c r="J229" i="7"/>
  <c r="M229" i="7" s="1"/>
  <c r="P229" i="7" s="1"/>
  <c r="O229" i="7"/>
  <c r="O340" i="8"/>
  <c r="M340" i="8"/>
  <c r="P340" i="8" s="1"/>
  <c r="J340" i="8"/>
  <c r="M83" i="7"/>
  <c r="P83" i="7" s="1"/>
  <c r="J83" i="7"/>
  <c r="O83" i="7"/>
  <c r="O258" i="8"/>
  <c r="M258" i="8"/>
  <c r="P258" i="8" s="1"/>
  <c r="J258" i="8"/>
  <c r="J214" i="7"/>
  <c r="M214" i="7" s="1"/>
  <c r="P214" i="7" s="1"/>
  <c r="O214" i="7"/>
  <c r="O202" i="7"/>
  <c r="M202" i="7"/>
  <c r="P202" i="7" s="1"/>
  <c r="J202" i="7"/>
  <c r="O335" i="6"/>
  <c r="J335" i="6"/>
  <c r="M335" i="6" s="1"/>
  <c r="P335" i="6" s="1"/>
  <c r="O29" i="7"/>
  <c r="M29" i="7"/>
  <c r="P29" i="7" s="1"/>
  <c r="J29" i="7"/>
  <c r="M325" i="6"/>
  <c r="J325" i="6"/>
  <c r="O325" i="6"/>
  <c r="O24" i="7"/>
  <c r="J24" i="7"/>
  <c r="M24" i="7" s="1"/>
  <c r="P24" i="7" s="1"/>
  <c r="J11" i="7"/>
  <c r="M11" i="7"/>
  <c r="O11" i="7"/>
  <c r="O333" i="8"/>
  <c r="J333" i="8"/>
  <c r="M333" i="8"/>
  <c r="P333" i="8" s="1"/>
  <c r="O14" i="8"/>
  <c r="J14" i="8"/>
  <c r="M14" i="8" s="1"/>
  <c r="P14" i="8" s="1"/>
  <c r="P260" i="6"/>
  <c r="O114" i="6"/>
  <c r="J114" i="6"/>
  <c r="M114" i="6"/>
  <c r="P114" i="6" s="1"/>
  <c r="J247" i="7"/>
  <c r="O247" i="7"/>
  <c r="M247" i="7"/>
  <c r="O353" i="7"/>
  <c r="J353" i="7"/>
  <c r="M353" i="7" s="1"/>
  <c r="P353" i="7" s="1"/>
  <c r="J327" i="8"/>
  <c r="O327" i="8"/>
  <c r="M327" i="8"/>
  <c r="P327" i="8" s="1"/>
  <c r="O12" i="6"/>
  <c r="J12" i="6"/>
  <c r="M12" i="6" s="1"/>
  <c r="P12" i="6" s="1"/>
  <c r="H364" i="6"/>
  <c r="O3" i="6"/>
  <c r="J3" i="6"/>
  <c r="M3" i="6" s="1"/>
  <c r="C16" i="10"/>
  <c r="C17" i="11"/>
  <c r="O194" i="8"/>
  <c r="J194" i="8"/>
  <c r="M194" i="8" s="1"/>
  <c r="P194" i="8" s="1"/>
  <c r="O38" i="8"/>
  <c r="J38" i="8"/>
  <c r="M38" i="8" s="1"/>
  <c r="P38" i="8" s="1"/>
  <c r="J107" i="6"/>
  <c r="O107" i="6"/>
  <c r="M107" i="6"/>
  <c r="O17" i="8"/>
  <c r="J17" i="8"/>
  <c r="M17" i="8" s="1"/>
  <c r="P17" i="8" s="1"/>
  <c r="O351" i="7"/>
  <c r="M351" i="7"/>
  <c r="P351" i="7" s="1"/>
  <c r="J351" i="7"/>
  <c r="M20" i="8"/>
  <c r="P20" i="8" s="1"/>
  <c r="J20" i="8"/>
  <c r="O20" i="8"/>
  <c r="O42" i="7"/>
  <c r="M42" i="7"/>
  <c r="P42" i="7" s="1"/>
  <c r="J42" i="7"/>
  <c r="O122" i="8"/>
  <c r="J122" i="8"/>
  <c r="M122" i="8" s="1"/>
  <c r="P122" i="8" s="1"/>
  <c r="J350" i="8"/>
  <c r="M350" i="8" s="1"/>
  <c r="P350" i="8" s="1"/>
  <c r="O350" i="8"/>
  <c r="O104" i="6"/>
  <c r="J104" i="6"/>
  <c r="M104" i="6" s="1"/>
  <c r="P104" i="6" s="1"/>
  <c r="J237" i="7"/>
  <c r="M237" i="7" s="1"/>
  <c r="P237" i="7" s="1"/>
  <c r="O237" i="7"/>
  <c r="O211" i="8"/>
  <c r="J211" i="8"/>
  <c r="M211" i="8" s="1"/>
  <c r="P211" i="8" s="1"/>
  <c r="J296" i="6"/>
  <c r="O296" i="6"/>
  <c r="M296" i="6"/>
  <c r="P296" i="6" s="1"/>
  <c r="J15" i="8"/>
  <c r="O15" i="8"/>
  <c r="M15" i="8"/>
  <c r="P15" i="8" s="1"/>
  <c r="J16" i="6"/>
  <c r="O16" i="6"/>
  <c r="M16" i="6"/>
  <c r="M7" i="6"/>
  <c r="P7" i="6" s="1"/>
  <c r="O7" i="6"/>
  <c r="J7" i="6"/>
  <c r="C20" i="10"/>
  <c r="F20" i="10" s="1"/>
  <c r="O271" i="6"/>
  <c r="J271" i="6"/>
  <c r="M271" i="6" s="1"/>
  <c r="P271" i="6" s="1"/>
  <c r="J242" i="7"/>
  <c r="O242" i="7"/>
  <c r="M242" i="7"/>
  <c r="P242" i="7" s="1"/>
  <c r="O215" i="8"/>
  <c r="J215" i="8"/>
  <c r="M215" i="8" s="1"/>
  <c r="P215" i="8" s="1"/>
  <c r="J273" i="7"/>
  <c r="O273" i="7"/>
  <c r="M273" i="7"/>
  <c r="J233" i="7"/>
  <c r="M233" i="7" s="1"/>
  <c r="P233" i="7" s="1"/>
  <c r="O233" i="7"/>
  <c r="O111" i="8"/>
  <c r="J111" i="8"/>
  <c r="M111" i="8" s="1"/>
  <c r="P111" i="8" s="1"/>
  <c r="M165" i="7"/>
  <c r="P165" i="7" s="1"/>
  <c r="J165" i="7"/>
  <c r="O165" i="7"/>
  <c r="O179" i="8"/>
  <c r="J179" i="8"/>
  <c r="M179" i="8" s="1"/>
  <c r="P179" i="8" s="1"/>
  <c r="M289" i="6"/>
  <c r="P289" i="6" s="1"/>
  <c r="J289" i="6"/>
  <c r="O289" i="6"/>
  <c r="O128" i="7"/>
  <c r="J128" i="7"/>
  <c r="M128" i="7" s="1"/>
  <c r="P128" i="7" s="1"/>
  <c r="J266" i="7"/>
  <c r="M266" i="7" s="1"/>
  <c r="P266" i="7" s="1"/>
  <c r="O266" i="7"/>
  <c r="O135" i="8"/>
  <c r="M135" i="8"/>
  <c r="P135" i="8" s="1"/>
  <c r="J135" i="8"/>
  <c r="O135" i="7"/>
  <c r="J135" i="7"/>
  <c r="M135" i="7"/>
  <c r="P135" i="7" s="1"/>
  <c r="O89" i="8"/>
  <c r="J89" i="8"/>
  <c r="M89" i="8" s="1"/>
  <c r="P89" i="8" s="1"/>
  <c r="O144" i="7"/>
  <c r="J144" i="7"/>
  <c r="M144" i="7" s="1"/>
  <c r="P144" i="7" s="1"/>
  <c r="O344" i="7"/>
  <c r="M344" i="7"/>
  <c r="P344" i="7" s="1"/>
  <c r="J344" i="7"/>
  <c r="O208" i="8"/>
  <c r="J208" i="8"/>
  <c r="M208" i="8" s="1"/>
  <c r="P208" i="8" s="1"/>
  <c r="M147" i="6"/>
  <c r="J147" i="6"/>
  <c r="O147" i="6"/>
  <c r="O54" i="7"/>
  <c r="J54" i="7"/>
  <c r="M54" i="7" s="1"/>
  <c r="P54" i="7" s="1"/>
  <c r="J93" i="7"/>
  <c r="O93" i="7"/>
  <c r="M93" i="7"/>
  <c r="O123" i="7"/>
  <c r="J123" i="7"/>
  <c r="M123" i="7" s="1"/>
  <c r="P123" i="7" s="1"/>
  <c r="O308" i="8"/>
  <c r="J308" i="8"/>
  <c r="M308" i="8"/>
  <c r="J254" i="8"/>
  <c r="M254" i="8" s="1"/>
  <c r="P254" i="8" s="1"/>
  <c r="O254" i="8"/>
  <c r="O85" i="8"/>
  <c r="J85" i="8"/>
  <c r="M85" i="8" s="1"/>
  <c r="P85" i="8" s="1"/>
  <c r="M153" i="7"/>
  <c r="P153" i="7" s="1"/>
  <c r="J153" i="7"/>
  <c r="O153" i="7"/>
  <c r="O80" i="8"/>
  <c r="J80" i="8"/>
  <c r="M80" i="8" s="1"/>
  <c r="P80" i="8" s="1"/>
  <c r="J125" i="7"/>
  <c r="M125" i="7" s="1"/>
  <c r="P125" i="7" s="1"/>
  <c r="O125" i="7"/>
  <c r="J212" i="7"/>
  <c r="M212" i="7"/>
  <c r="P212" i="7" s="1"/>
  <c r="O212" i="7"/>
  <c r="O204" i="8"/>
  <c r="J204" i="8"/>
  <c r="M204" i="8" s="1"/>
  <c r="P204" i="8" s="1"/>
  <c r="O362" i="7"/>
  <c r="M362" i="7"/>
  <c r="P362" i="7" s="1"/>
  <c r="J362" i="7"/>
  <c r="O183" i="8"/>
  <c r="J183" i="8"/>
  <c r="M183" i="8"/>
  <c r="P183" i="8" s="1"/>
  <c r="J290" i="6"/>
  <c r="M290" i="6" s="1"/>
  <c r="P290" i="6" s="1"/>
  <c r="O290" i="6"/>
  <c r="O317" i="6"/>
  <c r="J317" i="6"/>
  <c r="M317" i="6" s="1"/>
  <c r="P317" i="6" s="1"/>
  <c r="O22" i="7"/>
  <c r="J22" i="7"/>
  <c r="M22" i="7"/>
  <c r="P22" i="7" s="1"/>
  <c r="O95" i="8"/>
  <c r="J95" i="8"/>
  <c r="M95" i="8"/>
  <c r="P95" i="8" s="1"/>
  <c r="J210" i="6"/>
  <c r="M210" i="6" s="1"/>
  <c r="P210" i="6" s="1"/>
  <c r="O210" i="6"/>
  <c r="J231" i="7"/>
  <c r="M231" i="7" s="1"/>
  <c r="P231" i="7" s="1"/>
  <c r="O231" i="7"/>
  <c r="M310" i="6"/>
  <c r="P310" i="6" s="1"/>
  <c r="J310" i="6"/>
  <c r="O310" i="6"/>
  <c r="O335" i="8"/>
  <c r="M335" i="8"/>
  <c r="J335" i="8"/>
  <c r="O58" i="7"/>
  <c r="J58" i="7"/>
  <c r="M58" i="7" s="1"/>
  <c r="P58" i="7" s="1"/>
  <c r="M263" i="8"/>
  <c r="P263" i="8" s="1"/>
  <c r="J263" i="8"/>
  <c r="O263" i="8"/>
  <c r="O260" i="8"/>
  <c r="J260" i="8"/>
  <c r="M260" i="8" s="1"/>
  <c r="P260" i="8" s="1"/>
  <c r="P6" i="6"/>
  <c r="O101" i="7"/>
  <c r="J101" i="7"/>
  <c r="M101" i="7"/>
  <c r="P181" i="6"/>
  <c r="O166" i="8"/>
  <c r="J166" i="8"/>
  <c r="M166" i="8"/>
  <c r="P166" i="8" s="1"/>
  <c r="O117" i="8"/>
  <c r="J117" i="8"/>
  <c r="M117" i="8" s="1"/>
  <c r="P117" i="8" s="1"/>
  <c r="O81" i="8"/>
  <c r="J81" i="8"/>
  <c r="M81" i="8" s="1"/>
  <c r="P81" i="8" s="1"/>
  <c r="O93" i="6"/>
  <c r="J93" i="6"/>
  <c r="M93" i="6" s="1"/>
  <c r="P93" i="6" s="1"/>
  <c r="J340" i="7"/>
  <c r="M340" i="7" s="1"/>
  <c r="P340" i="7" s="1"/>
  <c r="O340" i="7"/>
  <c r="O41" i="7"/>
  <c r="J41" i="7"/>
  <c r="M41" i="7" s="1"/>
  <c r="P41" i="7" s="1"/>
  <c r="O223" i="8"/>
  <c r="M223" i="8"/>
  <c r="P223" i="8" s="1"/>
  <c r="J223" i="8"/>
  <c r="J284" i="8"/>
  <c r="M284" i="8" s="1"/>
  <c r="P284" i="8" s="1"/>
  <c r="O284" i="8"/>
  <c r="O357" i="7"/>
  <c r="M357" i="7"/>
  <c r="P357" i="7" s="1"/>
  <c r="J357" i="7"/>
  <c r="O70" i="8"/>
  <c r="J70" i="8"/>
  <c r="M70" i="8" s="1"/>
  <c r="P70" i="8" s="1"/>
  <c r="J339" i="7"/>
  <c r="O339" i="7"/>
  <c r="M339" i="7"/>
  <c r="O122" i="7"/>
  <c r="J122" i="7"/>
  <c r="M122" i="7" s="1"/>
  <c r="P122" i="7" s="1"/>
  <c r="J142" i="7"/>
  <c r="M142" i="7" s="1"/>
  <c r="P142" i="7" s="1"/>
  <c r="O142" i="7"/>
  <c r="O140" i="6"/>
  <c r="J140" i="6"/>
  <c r="M140" i="6" s="1"/>
  <c r="P140" i="6" s="1"/>
  <c r="O57" i="8"/>
  <c r="J57" i="8"/>
  <c r="M57" i="8" s="1"/>
  <c r="P57" i="8" s="1"/>
  <c r="O46" i="8"/>
  <c r="J46" i="8"/>
  <c r="M46" i="8" s="1"/>
  <c r="P46" i="8" s="1"/>
  <c r="P211" i="6"/>
  <c r="P245" i="6"/>
  <c r="O319" i="8"/>
  <c r="M319" i="8"/>
  <c r="P319" i="8" s="1"/>
  <c r="J319" i="8"/>
  <c r="J337" i="8"/>
  <c r="M337" i="8" s="1"/>
  <c r="P337" i="8" s="1"/>
  <c r="O337" i="8"/>
  <c r="J283" i="8"/>
  <c r="O283" i="8"/>
  <c r="M283" i="8"/>
  <c r="O43" i="7"/>
  <c r="M43" i="7"/>
  <c r="J43" i="7"/>
  <c r="O157" i="7"/>
  <c r="J157" i="7"/>
  <c r="M157" i="7" s="1"/>
  <c r="P157" i="7" s="1"/>
  <c r="O358" i="7"/>
  <c r="J358" i="7"/>
  <c r="M358" i="7" s="1"/>
  <c r="P358" i="7" s="1"/>
  <c r="O170" i="8"/>
  <c r="J170" i="8"/>
  <c r="M170" i="8" s="1"/>
  <c r="P170" i="8" s="1"/>
  <c r="J6" i="7"/>
  <c r="O6" i="7"/>
  <c r="M6" i="7"/>
  <c r="P6" i="7" s="1"/>
  <c r="D19" i="10"/>
  <c r="G19" i="10" s="1"/>
  <c r="O112" i="8"/>
  <c r="J112" i="8"/>
  <c r="M112" i="8" s="1"/>
  <c r="P112" i="8" s="1"/>
  <c r="J99" i="7"/>
  <c r="M99" i="7" s="1"/>
  <c r="P99" i="7" s="1"/>
  <c r="O99" i="7"/>
  <c r="J202" i="6"/>
  <c r="M202" i="6" s="1"/>
  <c r="P202" i="6" s="1"/>
  <c r="O202" i="6"/>
  <c r="O214" i="8"/>
  <c r="M214" i="8"/>
  <c r="P214" i="8" s="1"/>
  <c r="J214" i="8"/>
  <c r="M359" i="7"/>
  <c r="J359" i="7"/>
  <c r="O359" i="7"/>
  <c r="O164" i="8"/>
  <c r="J164" i="8"/>
  <c r="M164" i="8" s="1"/>
  <c r="P164" i="8" s="1"/>
  <c r="O184" i="7"/>
  <c r="J184" i="7"/>
  <c r="M184" i="7" s="1"/>
  <c r="P184" i="7" s="1"/>
  <c r="M60" i="6"/>
  <c r="J60" i="6"/>
  <c r="O60" i="6"/>
  <c r="J267" i="7"/>
  <c r="O267" i="7"/>
  <c r="M267" i="7"/>
  <c r="P267" i="7" s="1"/>
  <c r="O291" i="6"/>
  <c r="M291" i="6"/>
  <c r="P291" i="6" s="1"/>
  <c r="J291" i="6"/>
  <c r="M185" i="7"/>
  <c r="P185" i="7" s="1"/>
  <c r="J185" i="7"/>
  <c r="O185" i="7"/>
  <c r="O188" i="8"/>
  <c r="J188" i="8"/>
  <c r="M188" i="8"/>
  <c r="P209" i="6"/>
  <c r="O59" i="7"/>
  <c r="J59" i="7"/>
  <c r="M59" i="7" s="1"/>
  <c r="P59" i="7" s="1"/>
  <c r="O332" i="7"/>
  <c r="J332" i="7"/>
  <c r="M332" i="7" s="1"/>
  <c r="P332" i="7" s="1"/>
  <c r="J62" i="7"/>
  <c r="O62" i="7"/>
  <c r="M62" i="7"/>
  <c r="O207" i="8"/>
  <c r="J207" i="8"/>
  <c r="M207" i="8" s="1"/>
  <c r="P207" i="8" s="1"/>
  <c r="M133" i="7"/>
  <c r="P133" i="7" s="1"/>
  <c r="J133" i="7"/>
  <c r="O133" i="7"/>
  <c r="D11" i="10"/>
  <c r="G11" i="10" s="1"/>
  <c r="G6" i="10"/>
  <c r="O172" i="8"/>
  <c r="J172" i="8"/>
  <c r="M172" i="8"/>
  <c r="P172" i="8" s="1"/>
  <c r="J362" i="8"/>
  <c r="M362" i="8" s="1"/>
  <c r="P362" i="8" s="1"/>
  <c r="O362" i="8"/>
  <c r="M184" i="6"/>
  <c r="J184" i="6"/>
  <c r="O184" i="6"/>
  <c r="J216" i="7"/>
  <c r="M216" i="7" s="1"/>
  <c r="P216" i="7" s="1"/>
  <c r="O216" i="7"/>
  <c r="O91" i="8"/>
  <c r="J91" i="8"/>
  <c r="M91" i="8"/>
  <c r="P91" i="8" s="1"/>
  <c r="O69" i="7"/>
  <c r="J69" i="7"/>
  <c r="M69" i="7" s="1"/>
  <c r="P69" i="7" s="1"/>
  <c r="O84" i="6"/>
  <c r="J84" i="6"/>
  <c r="M84" i="6" s="1"/>
  <c r="P84" i="6" s="1"/>
  <c r="J272" i="6"/>
  <c r="O272" i="6"/>
  <c r="M272" i="6"/>
  <c r="J252" i="7"/>
  <c r="M252" i="7" s="1"/>
  <c r="P252" i="7" s="1"/>
  <c r="O252" i="7"/>
  <c r="M336" i="8"/>
  <c r="P336" i="8" s="1"/>
  <c r="J336" i="8"/>
  <c r="O336" i="8"/>
  <c r="O132" i="7"/>
  <c r="M132" i="7"/>
  <c r="J132" i="7"/>
  <c r="J89" i="6"/>
  <c r="M89" i="6" s="1"/>
  <c r="P89" i="6" s="1"/>
  <c r="O89" i="6"/>
  <c r="O185" i="8"/>
  <c r="J185" i="8"/>
  <c r="M185" i="8"/>
  <c r="O333" i="6"/>
  <c r="J333" i="6"/>
  <c r="M333" i="6" s="1"/>
  <c r="P333" i="6" s="1"/>
  <c r="O229" i="8"/>
  <c r="M229" i="8"/>
  <c r="J229" i="8"/>
  <c r="O191" i="7"/>
  <c r="M191" i="7"/>
  <c r="P191" i="7" s="1"/>
  <c r="J191" i="7"/>
  <c r="J7" i="7"/>
  <c r="O7" i="7"/>
  <c r="M7" i="7"/>
  <c r="P7" i="7" s="1"/>
  <c r="D20" i="10"/>
  <c r="G20" i="10" s="1"/>
  <c r="O18" i="8"/>
  <c r="J18" i="8"/>
  <c r="M18" i="8" s="1"/>
  <c r="P18" i="8" s="1"/>
  <c r="E20" i="11"/>
  <c r="H20" i="11" s="1"/>
  <c r="O334" i="6"/>
  <c r="J334" i="6"/>
  <c r="M334" i="6" s="1"/>
  <c r="P334" i="6" s="1"/>
  <c r="O88" i="7"/>
  <c r="J88" i="7"/>
  <c r="M88" i="7" s="1"/>
  <c r="P88" i="7" s="1"/>
  <c r="O66" i="8"/>
  <c r="M66" i="8"/>
  <c r="J66" i="8"/>
  <c r="O156" i="8"/>
  <c r="J156" i="8"/>
  <c r="M156" i="8" s="1"/>
  <c r="P156" i="8" s="1"/>
  <c r="J9" i="7"/>
  <c r="M9" i="7" s="1"/>
  <c r="P9" i="7" s="1"/>
  <c r="O9" i="7"/>
  <c r="O38" i="7"/>
  <c r="J38" i="7"/>
  <c r="M38" i="7" s="1"/>
  <c r="P38" i="7" s="1"/>
  <c r="O201" i="8"/>
  <c r="M201" i="8"/>
  <c r="J201" i="8"/>
  <c r="J143" i="7"/>
  <c r="O143" i="7"/>
  <c r="M143" i="7"/>
  <c r="J218" i="6"/>
  <c r="M218" i="6" s="1"/>
  <c r="P218" i="6" s="1"/>
  <c r="O218" i="6"/>
  <c r="O165" i="8"/>
  <c r="J165" i="8"/>
  <c r="M165" i="8" s="1"/>
  <c r="P165" i="8" s="1"/>
  <c r="M243" i="8"/>
  <c r="J243" i="8"/>
  <c r="O243" i="8"/>
  <c r="J227" i="7"/>
  <c r="M227" i="7"/>
  <c r="P227" i="7" s="1"/>
  <c r="O227" i="7"/>
  <c r="J152" i="8"/>
  <c r="M152" i="8"/>
  <c r="O152" i="8"/>
  <c r="O134" i="7"/>
  <c r="J134" i="7"/>
  <c r="M134" i="7" s="1"/>
  <c r="P134" i="7" s="1"/>
  <c r="J126" i="8"/>
  <c r="M126" i="8" s="1"/>
  <c r="P126" i="8" s="1"/>
  <c r="O126" i="8"/>
  <c r="O68" i="8"/>
  <c r="J68" i="8"/>
  <c r="M68" i="8" s="1"/>
  <c r="P68" i="8" s="1"/>
  <c r="L364" i="7"/>
  <c r="O53" i="8"/>
  <c r="M53" i="8"/>
  <c r="P53" i="8" s="1"/>
  <c r="J53" i="8"/>
  <c r="J301" i="6"/>
  <c r="M301" i="6" s="1"/>
  <c r="P301" i="6" s="1"/>
  <c r="O301" i="6"/>
  <c r="O169" i="7"/>
  <c r="J169" i="7"/>
  <c r="M169" i="7" s="1"/>
  <c r="P169" i="7" s="1"/>
  <c r="J129" i="7"/>
  <c r="O129" i="7"/>
  <c r="M129" i="7"/>
  <c r="P129" i="7" s="1"/>
  <c r="O118" i="6"/>
  <c r="J118" i="6"/>
  <c r="M118" i="6" s="1"/>
  <c r="P118" i="6" s="1"/>
  <c r="J308" i="7"/>
  <c r="M308" i="7" s="1"/>
  <c r="P308" i="7" s="1"/>
  <c r="O308" i="7"/>
  <c r="O227" i="8"/>
  <c r="J227" i="8"/>
  <c r="M227" i="8" s="1"/>
  <c r="P227" i="8" s="1"/>
  <c r="J329" i="8"/>
  <c r="M329" i="8" s="1"/>
  <c r="P329" i="8" s="1"/>
  <c r="O329" i="8"/>
  <c r="O5" i="8"/>
  <c r="J5" i="8"/>
  <c r="M5" i="8" s="1"/>
  <c r="P5" i="8" s="1"/>
  <c r="E18" i="10"/>
  <c r="H18" i="10" s="1"/>
  <c r="O92" i="6"/>
  <c r="M92" i="6"/>
  <c r="P92" i="6" s="1"/>
  <c r="J92" i="6"/>
  <c r="M269" i="6"/>
  <c r="P269" i="6" s="1"/>
  <c r="J269" i="6"/>
  <c r="O269" i="6"/>
  <c r="J312" i="6"/>
  <c r="M312" i="6" s="1"/>
  <c r="P312" i="6" s="1"/>
  <c r="O312" i="6"/>
  <c r="O247" i="8"/>
  <c r="M247" i="8"/>
  <c r="J247" i="8"/>
  <c r="J314" i="6"/>
  <c r="M314" i="6" s="1"/>
  <c r="P314" i="6" s="1"/>
  <c r="O314" i="6"/>
  <c r="J195" i="7"/>
  <c r="M195" i="7" s="1"/>
  <c r="P195" i="7" s="1"/>
  <c r="O195" i="7"/>
  <c r="O103" i="8"/>
  <c r="J103" i="8"/>
  <c r="M103" i="8" s="1"/>
  <c r="P103" i="8" s="1"/>
  <c r="O356" i="8"/>
  <c r="M356" i="8"/>
  <c r="J356" i="8"/>
  <c r="O8" i="8"/>
  <c r="M8" i="8"/>
  <c r="P8" i="8" s="1"/>
  <c r="J8" i="8"/>
  <c r="E18" i="11"/>
  <c r="H18" i="11" s="1"/>
  <c r="O51" i="8"/>
  <c r="J51" i="8"/>
  <c r="M51" i="8" s="1"/>
  <c r="P51" i="8" s="1"/>
  <c r="O140" i="8"/>
  <c r="J140" i="8"/>
  <c r="M140" i="8" s="1"/>
  <c r="P140" i="8" s="1"/>
  <c r="J11" i="8"/>
  <c r="M11" i="8" s="1"/>
  <c r="P11" i="8" s="1"/>
  <c r="O11" i="8"/>
  <c r="J243" i="7"/>
  <c r="M243" i="7" s="1"/>
  <c r="P243" i="7" s="1"/>
  <c r="O243" i="7"/>
  <c r="J295" i="7"/>
  <c r="O295" i="7"/>
  <c r="M295" i="7"/>
  <c r="O121" i="8"/>
  <c r="J121" i="8"/>
  <c r="M121" i="8" s="1"/>
  <c r="P121" i="8" s="1"/>
  <c r="O120" i="6"/>
  <c r="M120" i="6"/>
  <c r="P120" i="6" s="1"/>
  <c r="J120" i="6"/>
  <c r="J320" i="7"/>
  <c r="O320" i="7"/>
  <c r="M320" i="7"/>
  <c r="P320" i="7" s="1"/>
  <c r="O59" i="8"/>
  <c r="M59" i="8"/>
  <c r="P59" i="8" s="1"/>
  <c r="J59" i="8"/>
  <c r="O25" i="6"/>
  <c r="J25" i="6"/>
  <c r="M25" i="6" s="1"/>
  <c r="P25" i="6" s="1"/>
  <c r="J28" i="6"/>
  <c r="M28" i="6" s="1"/>
  <c r="P28" i="6" s="1"/>
  <c r="O28" i="6"/>
  <c r="C22" i="11"/>
  <c r="F22" i="11" s="1"/>
  <c r="O303" i="6"/>
  <c r="M303" i="6"/>
  <c r="P303" i="6" s="1"/>
  <c r="J303" i="6"/>
  <c r="J313" i="7"/>
  <c r="O313" i="7"/>
  <c r="M313" i="7"/>
  <c r="P313" i="7" s="1"/>
  <c r="J13" i="7"/>
  <c r="M13" i="7" s="1"/>
  <c r="P13" i="7" s="1"/>
  <c r="O13" i="7"/>
  <c r="D19" i="11"/>
  <c r="G19" i="11" s="1"/>
  <c r="O113" i="8"/>
  <c r="J113" i="8"/>
  <c r="M113" i="8" s="1"/>
  <c r="P113" i="8" s="1"/>
  <c r="J322" i="7"/>
  <c r="O322" i="7"/>
  <c r="M322" i="7"/>
  <c r="P322" i="7" s="1"/>
  <c r="O130" i="8"/>
  <c r="M130" i="8"/>
  <c r="P130" i="8" s="1"/>
  <c r="J130" i="8"/>
  <c r="O114" i="8"/>
  <c r="J114" i="8"/>
  <c r="M114" i="8" s="1"/>
  <c r="P114" i="8" s="1"/>
  <c r="O279" i="6"/>
  <c r="M279" i="6"/>
  <c r="P279" i="6" s="1"/>
  <c r="J279" i="6"/>
  <c r="O162" i="8"/>
  <c r="J162" i="8"/>
  <c r="M162" i="8"/>
  <c r="P162" i="8" s="1"/>
  <c r="J191" i="6"/>
  <c r="M191" i="6" s="1"/>
  <c r="P191" i="6" s="1"/>
  <c r="O191" i="6"/>
  <c r="M255" i="8"/>
  <c r="J255" i="8"/>
  <c r="O255" i="8"/>
  <c r="J111" i="7"/>
  <c r="M111" i="7" s="1"/>
  <c r="P111" i="7" s="1"/>
  <c r="O111" i="7"/>
  <c r="O210" i="8"/>
  <c r="J210" i="8"/>
  <c r="M210" i="8" s="1"/>
  <c r="P210" i="8" s="1"/>
  <c r="M322" i="8"/>
  <c r="P322" i="8" s="1"/>
  <c r="J322" i="8"/>
  <c r="O322" i="8"/>
  <c r="O217" i="8"/>
  <c r="J217" i="8"/>
  <c r="M217" i="8" s="1"/>
  <c r="P217" i="8" s="1"/>
  <c r="O114" i="7"/>
  <c r="J114" i="7"/>
  <c r="M114" i="7" s="1"/>
  <c r="P114" i="7" s="1"/>
  <c r="O331" i="7"/>
  <c r="J331" i="7"/>
  <c r="M331" i="7"/>
  <c r="O34" i="8"/>
  <c r="M34" i="8"/>
  <c r="P34" i="8" s="1"/>
  <c r="J34" i="8"/>
  <c r="O29" i="8"/>
  <c r="M29" i="8"/>
  <c r="J29" i="8"/>
  <c r="O203" i="8"/>
  <c r="M203" i="8"/>
  <c r="P203" i="8" s="1"/>
  <c r="J203" i="8"/>
  <c r="O4" i="6"/>
  <c r="J4" i="6"/>
  <c r="M4" i="6" s="1"/>
  <c r="P4" i="6" s="1"/>
  <c r="C17" i="10"/>
  <c r="F17" i="10" s="1"/>
  <c r="J248" i="7"/>
  <c r="M248" i="7" s="1"/>
  <c r="P248" i="7" s="1"/>
  <c r="O248" i="7"/>
  <c r="J236" i="8"/>
  <c r="O236" i="8"/>
  <c r="M236" i="8"/>
  <c r="O34" i="7"/>
  <c r="M34" i="7"/>
  <c r="J34" i="7"/>
  <c r="O27" i="8"/>
  <c r="M27" i="8"/>
  <c r="P27" i="8" s="1"/>
  <c r="J27" i="8"/>
  <c r="O73" i="6"/>
  <c r="J73" i="6"/>
  <c r="M73" i="6"/>
  <c r="P73" i="6" s="1"/>
  <c r="O257" i="8"/>
  <c r="M257" i="8"/>
  <c r="P257" i="8" s="1"/>
  <c r="J257" i="8"/>
  <c r="O155" i="8"/>
  <c r="J155" i="8"/>
  <c r="M155" i="8"/>
  <c r="P155" i="8" s="1"/>
  <c r="O343" i="8"/>
  <c r="M343" i="8"/>
  <c r="P343" i="8" s="1"/>
  <c r="J343" i="8"/>
  <c r="O207" i="7"/>
  <c r="J207" i="7"/>
  <c r="M207" i="7"/>
  <c r="P207" i="7" s="1"/>
  <c r="O143" i="8"/>
  <c r="M143" i="8"/>
  <c r="P143" i="8" s="1"/>
  <c r="J143" i="8"/>
  <c r="J36" i="6"/>
  <c r="M36" i="6" s="1"/>
  <c r="P36" i="6" s="1"/>
  <c r="O36" i="6"/>
  <c r="O42" i="8"/>
  <c r="M42" i="8"/>
  <c r="P42" i="8" s="1"/>
  <c r="J42" i="8"/>
  <c r="O106" i="8"/>
  <c r="J106" i="8"/>
  <c r="M106" i="8"/>
  <c r="J241" i="7"/>
  <c r="M241" i="7" s="1"/>
  <c r="P241" i="7" s="1"/>
  <c r="O241" i="7"/>
  <c r="O163" i="8"/>
  <c r="J163" i="8"/>
  <c r="M163" i="8"/>
  <c r="J292" i="7"/>
  <c r="O292" i="7"/>
  <c r="M292" i="7"/>
  <c r="P292" i="7" s="1"/>
  <c r="O102" i="6"/>
  <c r="J102" i="6"/>
  <c r="M102" i="6"/>
  <c r="O13" i="8"/>
  <c r="M13" i="8"/>
  <c r="P13" i="8" s="1"/>
  <c r="J13" i="8"/>
  <c r="E19" i="11"/>
  <c r="H19" i="11" s="1"/>
  <c r="J194" i="7"/>
  <c r="M194" i="7" s="1"/>
  <c r="P194" i="7" s="1"/>
  <c r="O194" i="7"/>
  <c r="M110" i="8"/>
  <c r="P110" i="8" s="1"/>
  <c r="J110" i="8"/>
  <c r="O110" i="8"/>
  <c r="O182" i="8"/>
  <c r="J182" i="8"/>
  <c r="M182" i="8"/>
  <c r="P182" i="8" s="1"/>
  <c r="J345" i="8"/>
  <c r="M345" i="8" s="1"/>
  <c r="P345" i="8" s="1"/>
  <c r="O345" i="8"/>
  <c r="J12" i="7"/>
  <c r="M12" i="7"/>
  <c r="P12" i="7" s="1"/>
  <c r="O12" i="7"/>
  <c r="M298" i="8"/>
  <c r="P298" i="8" s="1"/>
  <c r="J298" i="8"/>
  <c r="O298" i="8"/>
  <c r="J188" i="6"/>
  <c r="M188" i="6" s="1"/>
  <c r="P188" i="6" s="1"/>
  <c r="O188" i="6"/>
  <c r="M18" i="6"/>
  <c r="J18" i="6"/>
  <c r="O18" i="6"/>
  <c r="C20" i="11"/>
  <c r="F20" i="11" s="1"/>
  <c r="M100" i="7"/>
  <c r="P100" i="7" s="1"/>
  <c r="J100" i="7"/>
  <c r="O100" i="7"/>
  <c r="B10" i="5"/>
  <c r="D10" i="5" s="1"/>
  <c r="B10" i="9"/>
  <c r="O96" i="7"/>
  <c r="M96" i="7"/>
  <c r="P96" i="7" s="1"/>
  <c r="J96" i="7"/>
  <c r="O357" i="6"/>
  <c r="J357" i="6"/>
  <c r="M357" i="6" s="1"/>
  <c r="P357" i="6" s="1"/>
  <c r="O347" i="8"/>
  <c r="M347" i="8"/>
  <c r="P347" i="8" s="1"/>
  <c r="J347" i="8"/>
  <c r="O136" i="7"/>
  <c r="J136" i="7"/>
  <c r="M136" i="7" s="1"/>
  <c r="P136" i="7" s="1"/>
  <c r="O251" i="8"/>
  <c r="M251" i="8"/>
  <c r="P251" i="8" s="1"/>
  <c r="J251" i="8"/>
  <c r="O44" i="8"/>
  <c r="J44" i="8"/>
  <c r="M44" i="8" s="1"/>
  <c r="P44" i="8" s="1"/>
  <c r="O329" i="7"/>
  <c r="M329" i="7"/>
  <c r="J329" i="7"/>
  <c r="O91" i="7"/>
  <c r="J91" i="7"/>
  <c r="M91" i="7" s="1"/>
  <c r="P91" i="7" s="1"/>
  <c r="O72" i="6"/>
  <c r="J72" i="6"/>
  <c r="M72" i="6" s="1"/>
  <c r="P72" i="6" s="1"/>
  <c r="O191" i="8"/>
  <c r="J191" i="8"/>
  <c r="M191" i="8"/>
  <c r="J299" i="6"/>
  <c r="M299" i="6"/>
  <c r="P299" i="6" s="1"/>
  <c r="O299" i="6"/>
  <c r="J283" i="7"/>
  <c r="M283" i="7" s="1"/>
  <c r="P283" i="7" s="1"/>
  <c r="O283" i="7"/>
  <c r="O195" i="8"/>
  <c r="M195" i="8"/>
  <c r="P195" i="8" s="1"/>
  <c r="J195" i="8"/>
  <c r="O132" i="8"/>
  <c r="J132" i="8"/>
  <c r="M132" i="8" s="1"/>
  <c r="P132" i="8" s="1"/>
  <c r="O180" i="8"/>
  <c r="J180" i="8"/>
  <c r="M180" i="8" s="1"/>
  <c r="P180" i="8" s="1"/>
  <c r="O41" i="8"/>
  <c r="J41" i="8"/>
  <c r="M41" i="8"/>
  <c r="P41" i="8" s="1"/>
  <c r="J23" i="6"/>
  <c r="M23" i="6" s="1"/>
  <c r="P23" i="6" s="1"/>
  <c r="O23" i="6"/>
  <c r="C21" i="11"/>
  <c r="F21" i="11" s="1"/>
  <c r="O177" i="7"/>
  <c r="M177" i="7"/>
  <c r="P177" i="7" s="1"/>
  <c r="J177" i="7"/>
  <c r="M174" i="7"/>
  <c r="J174" i="7"/>
  <c r="O174" i="7"/>
  <c r="J352" i="8"/>
  <c r="M352" i="8" s="1"/>
  <c r="P352" i="8" s="1"/>
  <c r="O352" i="8"/>
  <c r="O355" i="8"/>
  <c r="J355" i="8"/>
  <c r="M355" i="8" s="1"/>
  <c r="P355" i="8" s="1"/>
  <c r="J192" i="6"/>
  <c r="M192" i="6" s="1"/>
  <c r="P192" i="6" s="1"/>
  <c r="O192" i="6"/>
  <c r="M190" i="7"/>
  <c r="P190" i="7" s="1"/>
  <c r="J190" i="7"/>
  <c r="O190" i="7"/>
  <c r="J97" i="6"/>
  <c r="M97" i="6"/>
  <c r="P97" i="6" s="1"/>
  <c r="O97" i="6"/>
  <c r="J201" i="6"/>
  <c r="M201" i="6" s="1"/>
  <c r="P201" i="6" s="1"/>
  <c r="O201" i="6"/>
  <c r="O168" i="8"/>
  <c r="J168" i="8"/>
  <c r="M168" i="8" s="1"/>
  <c r="P168" i="8" s="1"/>
  <c r="J272" i="7"/>
  <c r="O272" i="7"/>
  <c r="M272" i="7"/>
  <c r="P272" i="7" s="1"/>
  <c r="J249" i="7"/>
  <c r="M249" i="7" s="1"/>
  <c r="P249" i="7" s="1"/>
  <c r="O249" i="7"/>
  <c r="O344" i="8"/>
  <c r="J344" i="8"/>
  <c r="M344" i="8" s="1"/>
  <c r="P344" i="8" s="1"/>
  <c r="J338" i="7"/>
  <c r="O338" i="7"/>
  <c r="M338" i="7"/>
  <c r="P338" i="7" s="1"/>
  <c r="O75" i="7"/>
  <c r="J75" i="7"/>
  <c r="M75" i="7" s="1"/>
  <c r="P75" i="7" s="1"/>
  <c r="J115" i="8"/>
  <c r="O115" i="8"/>
  <c r="M115" i="8"/>
  <c r="O110" i="6"/>
  <c r="J110" i="6"/>
  <c r="M110" i="6" s="1"/>
  <c r="P110" i="6" s="1"/>
  <c r="O286" i="6"/>
  <c r="J286" i="6"/>
  <c r="M286" i="6" s="1"/>
  <c r="P286" i="6" s="1"/>
  <c r="M240" i="6"/>
  <c r="J240" i="6"/>
  <c r="O240" i="6"/>
  <c r="O88" i="8"/>
  <c r="J88" i="8"/>
  <c r="M88" i="8" s="1"/>
  <c r="P88" i="8" s="1"/>
  <c r="J297" i="7"/>
  <c r="O297" i="7"/>
  <c r="M297" i="7"/>
  <c r="P297" i="7" s="1"/>
  <c r="O119" i="8"/>
  <c r="M119" i="8"/>
  <c r="P119" i="8" s="1"/>
  <c r="J119" i="8"/>
  <c r="M187" i="6"/>
  <c r="P187" i="6" s="1"/>
  <c r="J187" i="6"/>
  <c r="O187" i="6"/>
  <c r="O268" i="6"/>
  <c r="M268" i="6"/>
  <c r="P268" i="6" s="1"/>
  <c r="J268" i="6"/>
  <c r="O198" i="7"/>
  <c r="J198" i="7"/>
  <c r="M198" i="7"/>
  <c r="P198" i="7" s="1"/>
  <c r="H364" i="8"/>
  <c r="O3" i="8"/>
  <c r="J3" i="8"/>
  <c r="M3" i="8" s="1"/>
  <c r="E16" i="10"/>
  <c r="E17" i="11"/>
  <c r="O250" i="8"/>
  <c r="M250" i="8"/>
  <c r="P250" i="8" s="1"/>
  <c r="J250" i="8"/>
  <c r="J349" i="8"/>
  <c r="M349" i="8" s="1"/>
  <c r="P349" i="8" s="1"/>
  <c r="O349" i="8"/>
  <c r="O300" i="8"/>
  <c r="J300" i="8"/>
  <c r="M300" i="8" s="1"/>
  <c r="P300" i="8" s="1"/>
  <c r="J277" i="8"/>
  <c r="M277" i="8" s="1"/>
  <c r="P277" i="8" s="1"/>
  <c r="O277" i="8"/>
  <c r="J269" i="7"/>
  <c r="O269" i="7"/>
  <c r="M269" i="7"/>
  <c r="P269" i="7" s="1"/>
  <c r="O138" i="6"/>
  <c r="J138" i="6"/>
  <c r="M138" i="6" s="1"/>
  <c r="P138" i="6" s="1"/>
  <c r="O351" i="8"/>
  <c r="M351" i="8"/>
  <c r="P351" i="8" s="1"/>
  <c r="J351" i="8"/>
  <c r="J311" i="7"/>
  <c r="O311" i="7"/>
  <c r="M311" i="7"/>
  <c r="P311" i="7" s="1"/>
  <c r="O136" i="6"/>
  <c r="M136" i="6"/>
  <c r="P136" i="6" s="1"/>
  <c r="J136" i="6"/>
  <c r="J78" i="7"/>
  <c r="O78" i="7"/>
  <c r="M78" i="7"/>
  <c r="P78" i="7" s="1"/>
  <c r="J127" i="7"/>
  <c r="M127" i="7" s="1"/>
  <c r="P127" i="7" s="1"/>
  <c r="O127" i="7"/>
  <c r="O25" i="8"/>
  <c r="J25" i="8"/>
  <c r="M25" i="8" s="1"/>
  <c r="P25" i="8" s="1"/>
  <c r="J181" i="7"/>
  <c r="M181" i="7" s="1"/>
  <c r="P181" i="7" s="1"/>
  <c r="O181" i="7"/>
  <c r="J151" i="8"/>
  <c r="O151" i="8"/>
  <c r="M151" i="8"/>
  <c r="P151" i="8" s="1"/>
  <c r="O107" i="8"/>
  <c r="M107" i="8"/>
  <c r="P107" i="8" s="1"/>
  <c r="J107" i="8"/>
  <c r="J14" i="6"/>
  <c r="M14" i="6"/>
  <c r="O14" i="6"/>
  <c r="C19" i="11"/>
  <c r="F19" i="11" s="1"/>
  <c r="J131" i="7"/>
  <c r="M131" i="7" s="1"/>
  <c r="P131" i="7" s="1"/>
  <c r="O131" i="7"/>
  <c r="O197" i="8"/>
  <c r="M197" i="8"/>
  <c r="P197" i="8" s="1"/>
  <c r="J197" i="8"/>
  <c r="O302" i="8"/>
  <c r="J302" i="8"/>
  <c r="M302" i="8" s="1"/>
  <c r="P302" i="8" s="1"/>
  <c r="O91" i="6"/>
  <c r="M91" i="6"/>
  <c r="P91" i="6" s="1"/>
  <c r="J91" i="6"/>
  <c r="O277" i="6"/>
  <c r="J277" i="6"/>
  <c r="M277" i="6" s="1"/>
  <c r="P277" i="6" s="1"/>
  <c r="M147" i="7"/>
  <c r="P147" i="7" s="1"/>
  <c r="O147" i="7"/>
  <c r="J147" i="7"/>
  <c r="J236" i="7"/>
  <c r="M236" i="7" s="1"/>
  <c r="P236" i="7" s="1"/>
  <c r="O236" i="7"/>
  <c r="J285" i="7"/>
  <c r="O285" i="7"/>
  <c r="M285" i="7"/>
  <c r="P285" i="7" s="1"/>
  <c r="M329" i="6"/>
  <c r="P329" i="6" s="1"/>
  <c r="O329" i="6"/>
  <c r="J329" i="6"/>
  <c r="O89" i="7"/>
  <c r="J89" i="7"/>
  <c r="M89" i="7" s="1"/>
  <c r="P89" i="7" s="1"/>
  <c r="O4" i="8"/>
  <c r="J4" i="8"/>
  <c r="M4" i="8" s="1"/>
  <c r="P4" i="8" s="1"/>
  <c r="E17" i="10"/>
  <c r="H17" i="10" s="1"/>
  <c r="O295" i="8"/>
  <c r="J295" i="8"/>
  <c r="M295" i="8"/>
  <c r="J141" i="7"/>
  <c r="M141" i="7" s="1"/>
  <c r="P141" i="7" s="1"/>
  <c r="O141" i="7"/>
  <c r="O150" i="6"/>
  <c r="J150" i="6"/>
  <c r="M150" i="6" s="1"/>
  <c r="P150" i="6" s="1"/>
  <c r="O358" i="6"/>
  <c r="J358" i="6"/>
  <c r="M358" i="6" s="1"/>
  <c r="P358" i="6" s="1"/>
  <c r="J287" i="7"/>
  <c r="M287" i="7" s="1"/>
  <c r="P287" i="7" s="1"/>
  <c r="O287" i="7"/>
  <c r="J294" i="6"/>
  <c r="M294" i="6" s="1"/>
  <c r="P294" i="6" s="1"/>
  <c r="O294" i="6"/>
  <c r="O97" i="8"/>
  <c r="J97" i="8"/>
  <c r="M97" i="8"/>
  <c r="P97" i="8" s="1"/>
  <c r="O21" i="8"/>
  <c r="M21" i="8"/>
  <c r="P21" i="8" s="1"/>
  <c r="J21" i="8"/>
  <c r="O326" i="8"/>
  <c r="J326" i="8"/>
  <c r="M326" i="8" s="1"/>
  <c r="P326" i="8" s="1"/>
  <c r="O150" i="7"/>
  <c r="M150" i="7"/>
  <c r="P150" i="7" s="1"/>
  <c r="J150" i="7"/>
  <c r="M108" i="7"/>
  <c r="P108" i="7" s="1"/>
  <c r="J108" i="7"/>
  <c r="O108" i="7"/>
  <c r="O12" i="8"/>
  <c r="M12" i="8"/>
  <c r="P12" i="8" s="1"/>
  <c r="J12" i="8"/>
  <c r="O52" i="7"/>
  <c r="J52" i="7"/>
  <c r="M52" i="7" s="1"/>
  <c r="P52" i="7" s="1"/>
  <c r="O303" i="8"/>
  <c r="M303" i="8"/>
  <c r="P303" i="8" s="1"/>
  <c r="J303" i="8"/>
  <c r="O238" i="8"/>
  <c r="J238" i="8"/>
  <c r="M238" i="8" s="1"/>
  <c r="P238" i="8" s="1"/>
  <c r="O22" i="8"/>
  <c r="M22" i="8"/>
  <c r="J22" i="8"/>
  <c r="O222" i="8"/>
  <c r="J222" i="8"/>
  <c r="M222" i="8" s="1"/>
  <c r="P222" i="8" s="1"/>
  <c r="O187" i="8"/>
  <c r="J187" i="8"/>
  <c r="M187" i="8"/>
  <c r="P187" i="8" s="1"/>
  <c r="J300" i="6"/>
  <c r="M300" i="6" s="1"/>
  <c r="P300" i="6" s="1"/>
  <c r="O300" i="6"/>
  <c r="J240" i="8"/>
  <c r="O240" i="8"/>
  <c r="M240" i="8"/>
  <c r="P240" i="8" s="1"/>
  <c r="O174" i="8"/>
  <c r="J174" i="8"/>
  <c r="M174" i="8" s="1"/>
  <c r="P174" i="8" s="1"/>
  <c r="O357" i="8"/>
  <c r="M357" i="8"/>
  <c r="P357" i="8" s="1"/>
  <c r="J357" i="8"/>
  <c r="O53" i="6"/>
  <c r="J53" i="6"/>
  <c r="M53" i="6" s="1"/>
  <c r="P53" i="6" s="1"/>
  <c r="O92" i="7"/>
  <c r="M92" i="7"/>
  <c r="P92" i="7" s="1"/>
  <c r="J92" i="7"/>
  <c r="O235" i="8"/>
  <c r="J235" i="8"/>
  <c r="M235" i="8" s="1"/>
  <c r="P235" i="8" s="1"/>
  <c r="J256" i="6"/>
  <c r="M256" i="6" s="1"/>
  <c r="P256" i="6" s="1"/>
  <c r="O256" i="6"/>
  <c r="O358" i="8"/>
  <c r="J358" i="8"/>
  <c r="M358" i="8"/>
  <c r="E12" i="11"/>
  <c r="H12" i="11" s="1"/>
  <c r="H6" i="11"/>
  <c r="J160" i="7"/>
  <c r="O160" i="7"/>
  <c r="M160" i="7"/>
  <c r="P160" i="7" s="1"/>
  <c r="E364" i="6"/>
  <c r="C4" i="9"/>
  <c r="O361" i="6"/>
  <c r="J361" i="6"/>
  <c r="M361" i="6" s="1"/>
  <c r="P361" i="6" s="1"/>
  <c r="M305" i="6"/>
  <c r="O305" i="6"/>
  <c r="J305" i="6"/>
  <c r="O58" i="8"/>
  <c r="J58" i="8"/>
  <c r="M58" i="8" s="1"/>
  <c r="P58" i="8" s="1"/>
  <c r="J30" i="6"/>
  <c r="O30" i="6"/>
  <c r="M30" i="6"/>
  <c r="J288" i="7"/>
  <c r="O288" i="7"/>
  <c r="M288" i="7"/>
  <c r="P288" i="7" s="1"/>
  <c r="O249" i="8"/>
  <c r="M249" i="8"/>
  <c r="P249" i="8" s="1"/>
  <c r="J249" i="8"/>
  <c r="J286" i="7"/>
  <c r="O286" i="7"/>
  <c r="M286" i="7"/>
  <c r="P286" i="7" s="1"/>
  <c r="J175" i="7"/>
  <c r="M175" i="7" s="1"/>
  <c r="P175" i="7" s="1"/>
  <c r="O175" i="7"/>
  <c r="J355" i="6"/>
  <c r="M355" i="6" s="1"/>
  <c r="P355" i="6" s="1"/>
  <c r="O355" i="6"/>
  <c r="J222" i="7"/>
  <c r="M222" i="7"/>
  <c r="O222" i="7"/>
  <c r="O75" i="8"/>
  <c r="J75" i="8"/>
  <c r="M75" i="8"/>
  <c r="J311" i="8"/>
  <c r="M311" i="8" s="1"/>
  <c r="P311" i="8" s="1"/>
  <c r="O311" i="8"/>
  <c r="M216" i="6"/>
  <c r="P216" i="6" s="1"/>
  <c r="J216" i="6"/>
  <c r="O216" i="6"/>
  <c r="O199" i="8"/>
  <c r="M199" i="8"/>
  <c r="P199" i="8" s="1"/>
  <c r="J199" i="8"/>
  <c r="H364" i="7"/>
  <c r="J3" i="7"/>
  <c r="O3" i="7"/>
  <c r="M3" i="7"/>
  <c r="D16" i="10"/>
  <c r="D17" i="11"/>
  <c r="O180" i="7"/>
  <c r="J180" i="7"/>
  <c r="M180" i="7" s="1"/>
  <c r="P180" i="7" s="1"/>
  <c r="O7" i="8"/>
  <c r="M7" i="8"/>
  <c r="P7" i="8" s="1"/>
  <c r="J7" i="8"/>
  <c r="E20" i="10"/>
  <c r="H20" i="10" s="1"/>
  <c r="J289" i="8"/>
  <c r="M289" i="8" s="1"/>
  <c r="P289" i="8" s="1"/>
  <c r="O289" i="8"/>
  <c r="J82" i="6"/>
  <c r="M82" i="6" s="1"/>
  <c r="P82" i="6" s="1"/>
  <c r="O82" i="6"/>
  <c r="J288" i="6"/>
  <c r="M288" i="6" s="1"/>
  <c r="P288" i="6" s="1"/>
  <c r="O288" i="6"/>
  <c r="J235" i="7"/>
  <c r="O235" i="7"/>
  <c r="M235" i="7"/>
  <c r="P235" i="7" s="1"/>
  <c r="J248" i="6"/>
  <c r="M248" i="6" s="1"/>
  <c r="P248" i="6" s="1"/>
  <c r="O248" i="6"/>
  <c r="J253" i="7"/>
  <c r="M253" i="7" s="1"/>
  <c r="P253" i="7" s="1"/>
  <c r="O253" i="7"/>
  <c r="O28" i="8"/>
  <c r="J28" i="8"/>
  <c r="M28" i="8" s="1"/>
  <c r="P28" i="8" s="1"/>
  <c r="E22" i="11"/>
  <c r="H22" i="11" s="1"/>
  <c r="O408" i="1"/>
  <c r="O318" i="6"/>
  <c r="J318" i="6"/>
  <c r="M318" i="6" s="1"/>
  <c r="P318" i="6" s="1"/>
  <c r="J112" i="7"/>
  <c r="M112" i="7" s="1"/>
  <c r="P112" i="7" s="1"/>
  <c r="O112" i="7"/>
  <c r="O133" i="8"/>
  <c r="J133" i="8"/>
  <c r="M133" i="8" s="1"/>
  <c r="P133" i="8" s="1"/>
  <c r="J8" i="7"/>
  <c r="M8" i="7"/>
  <c r="P8" i="7" s="1"/>
  <c r="O8" i="7"/>
  <c r="D18" i="11"/>
  <c r="G18" i="11" s="1"/>
  <c r="J178" i="7"/>
  <c r="O178" i="7"/>
  <c r="M178" i="7"/>
  <c r="P178" i="7" s="1"/>
  <c r="M145" i="7"/>
  <c r="P145" i="7" s="1"/>
  <c r="J145" i="7"/>
  <c r="O145" i="7"/>
  <c r="O267" i="6"/>
  <c r="J267" i="6"/>
  <c r="M267" i="6" s="1"/>
  <c r="P267" i="6" s="1"/>
  <c r="E364" i="7"/>
  <c r="D4" i="9"/>
  <c r="J296" i="7"/>
  <c r="M296" i="7" s="1"/>
  <c r="P296" i="7" s="1"/>
  <c r="O296" i="7"/>
  <c r="J186" i="6"/>
  <c r="M186" i="6" s="1"/>
  <c r="P186" i="6" s="1"/>
  <c r="O186" i="6"/>
  <c r="O124" i="8"/>
  <c r="J124" i="8"/>
  <c r="M124" i="8" s="1"/>
  <c r="P124" i="8" s="1"/>
  <c r="O139" i="7"/>
  <c r="M139" i="7"/>
  <c r="P139" i="7" s="1"/>
  <c r="J139" i="7"/>
  <c r="J232" i="6"/>
  <c r="M232" i="6" s="1"/>
  <c r="P232" i="6" s="1"/>
  <c r="O232" i="6"/>
  <c r="J299" i="7"/>
  <c r="M299" i="7" s="1"/>
  <c r="P299" i="7" s="1"/>
  <c r="O299" i="7"/>
  <c r="O299" i="8"/>
  <c r="J299" i="8"/>
  <c r="M299" i="8" s="1"/>
  <c r="P299" i="8" s="1"/>
  <c r="J117" i="7"/>
  <c r="M117" i="7" s="1"/>
  <c r="P117" i="7" s="1"/>
  <c r="O117" i="7"/>
  <c r="L364" i="8"/>
  <c r="O124" i="6"/>
  <c r="M124" i="6"/>
  <c r="P124" i="6" s="1"/>
  <c r="J124" i="6"/>
  <c r="J344" i="6"/>
  <c r="O344" i="6"/>
  <c r="M344" i="6"/>
  <c r="P344" i="6" s="1"/>
  <c r="J239" i="7"/>
  <c r="M239" i="7" s="1"/>
  <c r="P239" i="7" s="1"/>
  <c r="O239" i="7"/>
  <c r="O132" i="6"/>
  <c r="J132" i="6"/>
  <c r="M132" i="6" s="1"/>
  <c r="P132" i="6" s="1"/>
  <c r="O157" i="8"/>
  <c r="J157" i="8"/>
  <c r="M157" i="8"/>
  <c r="P157" i="8" s="1"/>
  <c r="O101" i="8"/>
  <c r="J101" i="8"/>
  <c r="M101" i="8"/>
  <c r="J277" i="7"/>
  <c r="O277" i="7"/>
  <c r="M277" i="7"/>
  <c r="P277" i="7" s="1"/>
  <c r="J279" i="7"/>
  <c r="M279" i="7" s="1"/>
  <c r="P279" i="7" s="1"/>
  <c r="O279" i="7"/>
  <c r="J208" i="6"/>
  <c r="M208" i="6" s="1"/>
  <c r="P208" i="6" s="1"/>
  <c r="O208" i="6"/>
  <c r="O274" i="6"/>
  <c r="J274" i="6"/>
  <c r="M274" i="6" s="1"/>
  <c r="P274" i="6" s="1"/>
  <c r="J313" i="8"/>
  <c r="M313" i="8"/>
  <c r="P313" i="8" s="1"/>
  <c r="O313" i="8"/>
  <c r="O42" i="6"/>
  <c r="J42" i="6"/>
  <c r="M42" i="6"/>
  <c r="P42" i="6" s="1"/>
  <c r="J302" i="6"/>
  <c r="M302" i="6" s="1"/>
  <c r="P302" i="6" s="1"/>
  <c r="O302" i="6"/>
  <c r="J210" i="7"/>
  <c r="M210" i="7" s="1"/>
  <c r="P210" i="7" s="1"/>
  <c r="O210" i="7"/>
  <c r="B7" i="5"/>
  <c r="D7" i="5" s="1"/>
  <c r="B7" i="9"/>
  <c r="O234" i="8"/>
  <c r="J234" i="8"/>
  <c r="M234" i="8" s="1"/>
  <c r="P234" i="8" s="1"/>
  <c r="M206" i="6"/>
  <c r="P206" i="6" s="1"/>
  <c r="J206" i="6"/>
  <c r="O206" i="6"/>
  <c r="J146" i="7"/>
  <c r="O146" i="7"/>
  <c r="M146" i="7"/>
  <c r="P146" i="7" s="1"/>
  <c r="O184" i="8"/>
  <c r="J184" i="8"/>
  <c r="M184" i="8"/>
  <c r="P167" i="6"/>
  <c r="O160" i="6"/>
  <c r="J160" i="6"/>
  <c r="M160" i="6" s="1"/>
  <c r="P160" i="6" s="1"/>
  <c r="O309" i="8"/>
  <c r="J309" i="8"/>
  <c r="M309" i="8" s="1"/>
  <c r="P309" i="8" s="1"/>
  <c r="AA408" i="1"/>
  <c r="J103" i="6"/>
  <c r="M103" i="6"/>
  <c r="P103" i="6" s="1"/>
  <c r="O103" i="6"/>
  <c r="P227" i="6"/>
  <c r="P281" i="6"/>
  <c r="J147" i="8"/>
  <c r="M147" i="8" s="1"/>
  <c r="P147" i="8" s="1"/>
  <c r="O147" i="8"/>
  <c r="O171" i="7"/>
  <c r="M171" i="7"/>
  <c r="P171" i="7" s="1"/>
  <c r="J171" i="7"/>
  <c r="M360" i="6"/>
  <c r="J360" i="6"/>
  <c r="O360" i="6"/>
  <c r="O156" i="7"/>
  <c r="M156" i="7"/>
  <c r="P156" i="7" s="1"/>
  <c r="J156" i="7"/>
  <c r="O167" i="7"/>
  <c r="J167" i="7"/>
  <c r="M167" i="7" s="1"/>
  <c r="P167" i="7" s="1"/>
  <c r="O24" i="8"/>
  <c r="M24" i="8"/>
  <c r="P24" i="8" s="1"/>
  <c r="J24" i="8"/>
  <c r="O161" i="8"/>
  <c r="J161" i="8"/>
  <c r="M161" i="8"/>
  <c r="O351" i="6"/>
  <c r="M351" i="6"/>
  <c r="P351" i="6" s="1"/>
  <c r="J351" i="6"/>
  <c r="P237" i="6"/>
  <c r="O346" i="6"/>
  <c r="M346" i="6"/>
  <c r="P346" i="6" s="1"/>
  <c r="J346" i="6"/>
  <c r="O331" i="6"/>
  <c r="J331" i="6"/>
  <c r="M331" i="6" s="1"/>
  <c r="P331" i="6" s="1"/>
  <c r="J125" i="8"/>
  <c r="M125" i="8" s="1"/>
  <c r="P125" i="8" s="1"/>
  <c r="O125" i="8"/>
  <c r="O200" i="8"/>
  <c r="J200" i="8"/>
  <c r="M200" i="8" s="1"/>
  <c r="P200" i="8" s="1"/>
  <c r="O221" i="8"/>
  <c r="M221" i="8"/>
  <c r="P221" i="8" s="1"/>
  <c r="J221" i="8"/>
  <c r="J234" i="6"/>
  <c r="M234" i="6" s="1"/>
  <c r="P234" i="6" s="1"/>
  <c r="O234" i="6"/>
  <c r="O248" i="8"/>
  <c r="J248" i="8"/>
  <c r="M248" i="8" s="1"/>
  <c r="P248" i="8" s="1"/>
  <c r="J261" i="8"/>
  <c r="O261" i="8"/>
  <c r="M261" i="8"/>
  <c r="P261" i="8" s="1"/>
  <c r="O318" i="8"/>
  <c r="J318" i="8"/>
  <c r="M318" i="8" s="1"/>
  <c r="P318" i="8" s="1"/>
  <c r="O352" i="7"/>
  <c r="J352" i="7"/>
  <c r="M352" i="7" s="1"/>
  <c r="P352" i="7" s="1"/>
  <c r="J275" i="8"/>
  <c r="O275" i="8"/>
  <c r="M275" i="8"/>
  <c r="P275" i="8" s="1"/>
  <c r="J223" i="7"/>
  <c r="M223" i="7" s="1"/>
  <c r="P223" i="7" s="1"/>
  <c r="O223" i="7"/>
  <c r="J198" i="6"/>
  <c r="M198" i="6" s="1"/>
  <c r="P198" i="6" s="1"/>
  <c r="O198" i="6"/>
  <c r="J278" i="8"/>
  <c r="M278" i="8" s="1"/>
  <c r="P278" i="8" s="1"/>
  <c r="O278" i="8"/>
  <c r="O256" i="8"/>
  <c r="M256" i="8"/>
  <c r="P256" i="8" s="1"/>
  <c r="J256" i="8"/>
  <c r="M220" i="6"/>
  <c r="J220" i="6"/>
  <c r="O220" i="6"/>
  <c r="B6" i="9"/>
  <c r="B6" i="5"/>
  <c r="D6" i="5" s="1"/>
  <c r="J14" i="7"/>
  <c r="M14" i="7" s="1"/>
  <c r="P14" i="7" s="1"/>
  <c r="O14" i="7"/>
  <c r="J268" i="7"/>
  <c r="O268" i="7"/>
  <c r="M268" i="7"/>
  <c r="P268" i="7" s="1"/>
  <c r="J301" i="7"/>
  <c r="M301" i="7" s="1"/>
  <c r="P301" i="7" s="1"/>
  <c r="O301" i="7"/>
  <c r="J355" i="7"/>
  <c r="M355" i="7" s="1"/>
  <c r="P355" i="7" s="1"/>
  <c r="O355" i="7"/>
  <c r="J279" i="8"/>
  <c r="O279" i="8"/>
  <c r="M279" i="8"/>
  <c r="P279" i="8" s="1"/>
  <c r="O118" i="8"/>
  <c r="J118" i="8"/>
  <c r="M118" i="8" s="1"/>
  <c r="P118" i="8" s="1"/>
  <c r="J225" i="7"/>
  <c r="O225" i="7"/>
  <c r="M225" i="7"/>
  <c r="P225" i="7" s="1"/>
  <c r="O122" i="6"/>
  <c r="J122" i="6"/>
  <c r="M122" i="6" s="1"/>
  <c r="P122" i="6" s="1"/>
  <c r="O205" i="7"/>
  <c r="M205" i="7"/>
  <c r="P205" i="7" s="1"/>
  <c r="J205" i="7"/>
  <c r="J126" i="7"/>
  <c r="O126" i="7"/>
  <c r="M126" i="7"/>
  <c r="P126" i="7" s="1"/>
  <c r="O105" i="8"/>
  <c r="J105" i="8"/>
  <c r="M105" i="8" s="1"/>
  <c r="P105" i="8" s="1"/>
  <c r="J293" i="7"/>
  <c r="O293" i="7"/>
  <c r="M293" i="7"/>
  <c r="P293" i="7" s="1"/>
  <c r="O39" i="7"/>
  <c r="J39" i="7"/>
  <c r="M39" i="7" s="1"/>
  <c r="P39" i="7" s="1"/>
  <c r="J131" i="8"/>
  <c r="M131" i="8" s="1"/>
  <c r="P131" i="8" s="1"/>
  <c r="O131" i="8"/>
  <c r="J267" i="8"/>
  <c r="M267" i="8"/>
  <c r="P267" i="8" s="1"/>
  <c r="O267" i="8"/>
  <c r="J360" i="8"/>
  <c r="O360" i="8"/>
  <c r="M360" i="8"/>
  <c r="P360" i="8" s="1"/>
  <c r="M40" i="7"/>
  <c r="O40" i="7"/>
  <c r="J40" i="7"/>
  <c r="J305" i="7"/>
  <c r="O305" i="7"/>
  <c r="M305" i="7"/>
  <c r="P305" i="7" s="1"/>
  <c r="O176" i="7"/>
  <c r="M176" i="7"/>
  <c r="P176" i="7" s="1"/>
  <c r="J176" i="7"/>
  <c r="O198" i="8"/>
  <c r="J198" i="8"/>
  <c r="M198" i="8" s="1"/>
  <c r="P198" i="8" s="1"/>
  <c r="O94" i="8"/>
  <c r="J94" i="8"/>
  <c r="M94" i="8"/>
  <c r="P94" i="8" s="1"/>
  <c r="O60" i="7"/>
  <c r="J60" i="7"/>
  <c r="M60" i="7"/>
  <c r="J291" i="8"/>
  <c r="O291" i="8"/>
  <c r="M291" i="8"/>
  <c r="P291" i="8" s="1"/>
  <c r="O77" i="6"/>
  <c r="J77" i="6"/>
  <c r="M77" i="6" s="1"/>
  <c r="P77" i="6" s="1"/>
  <c r="J297" i="8"/>
  <c r="M297" i="8" s="1"/>
  <c r="P297" i="8" s="1"/>
  <c r="O297" i="8"/>
  <c r="O220" i="8"/>
  <c r="J220" i="8"/>
  <c r="M220" i="8" s="1"/>
  <c r="P220" i="8" s="1"/>
  <c r="O187" i="7"/>
  <c r="M187" i="7"/>
  <c r="P187" i="7" s="1"/>
  <c r="J187" i="7"/>
  <c r="J145" i="8"/>
  <c r="O145" i="8"/>
  <c r="M145" i="8"/>
  <c r="P145" i="8" s="1"/>
  <c r="O265" i="8"/>
  <c r="M265" i="8"/>
  <c r="P265" i="8" s="1"/>
  <c r="J265" i="8"/>
  <c r="J311" i="6"/>
  <c r="M311" i="6" s="1"/>
  <c r="P311" i="6" s="1"/>
  <c r="O311" i="6"/>
  <c r="O285" i="6"/>
  <c r="M285" i="6"/>
  <c r="P285" i="6" s="1"/>
  <c r="J285" i="6"/>
  <c r="O224" i="8"/>
  <c r="J224" i="8"/>
  <c r="M224" i="8" s="1"/>
  <c r="P224" i="8" s="1"/>
  <c r="J67" i="6"/>
  <c r="M67" i="6" s="1"/>
  <c r="P67" i="6" s="1"/>
  <c r="O67" i="6"/>
  <c r="O297" i="6"/>
  <c r="J297" i="6"/>
  <c r="M297" i="6" s="1"/>
  <c r="P297" i="6" s="1"/>
  <c r="O330" i="7"/>
  <c r="M330" i="7"/>
  <c r="P330" i="7" s="1"/>
  <c r="J330" i="7"/>
  <c r="O78" i="8"/>
  <c r="J78" i="8"/>
  <c r="M78" i="8"/>
  <c r="O9" i="8"/>
  <c r="J9" i="8"/>
  <c r="M9" i="8" s="1"/>
  <c r="P9" i="8" s="1"/>
  <c r="M35" i="7"/>
  <c r="P35" i="7" s="1"/>
  <c r="O35" i="7"/>
  <c r="J35" i="7"/>
  <c r="J94" i="7"/>
  <c r="O94" i="7"/>
  <c r="M94" i="7"/>
  <c r="P94" i="7" s="1"/>
  <c r="O310" i="8"/>
  <c r="J310" i="8"/>
  <c r="M310" i="8" s="1"/>
  <c r="P310" i="8" s="1"/>
  <c r="J318" i="7"/>
  <c r="M318" i="7" s="1"/>
  <c r="P318" i="7" s="1"/>
  <c r="O318" i="7"/>
  <c r="M26" i="6"/>
  <c r="J26" i="6"/>
  <c r="O26" i="6"/>
  <c r="O22" i="6"/>
  <c r="M22" i="6"/>
  <c r="P22" i="6" s="1"/>
  <c r="J22" i="6"/>
  <c r="O48" i="8"/>
  <c r="J48" i="8"/>
  <c r="M48" i="8" s="1"/>
  <c r="P48" i="8" s="1"/>
  <c r="O206" i="8"/>
  <c r="M206" i="8"/>
  <c r="P206" i="8" s="1"/>
  <c r="J206" i="8"/>
  <c r="O130" i="6"/>
  <c r="J130" i="6"/>
  <c r="M130" i="6"/>
  <c r="D12" i="11"/>
  <c r="G12" i="11" s="1"/>
  <c r="G6" i="11"/>
  <c r="J251" i="7"/>
  <c r="O251" i="7"/>
  <c r="M251" i="7"/>
  <c r="P251" i="7" s="1"/>
  <c r="O32" i="7"/>
  <c r="J32" i="7"/>
  <c r="M32" i="7" s="1"/>
  <c r="P32" i="7" s="1"/>
  <c r="J27" i="7"/>
  <c r="O27" i="7"/>
  <c r="M27" i="7"/>
  <c r="P27" i="7" s="1"/>
  <c r="O159" i="8"/>
  <c r="J159" i="8"/>
  <c r="M159" i="8"/>
  <c r="J323" i="7"/>
  <c r="M323" i="7" s="1"/>
  <c r="P323" i="7" s="1"/>
  <c r="O323" i="7"/>
  <c r="O134" i="6"/>
  <c r="J134" i="6"/>
  <c r="M134" i="6" s="1"/>
  <c r="P134" i="6" s="1"/>
  <c r="M345" i="6"/>
  <c r="O345" i="6"/>
  <c r="J345" i="6"/>
  <c r="O313" i="6"/>
  <c r="J313" i="6"/>
  <c r="M313" i="6" s="1"/>
  <c r="P313" i="6" s="1"/>
  <c r="J201" i="7"/>
  <c r="M201" i="7" s="1"/>
  <c r="P201" i="7" s="1"/>
  <c r="O201" i="7"/>
  <c r="J280" i="7"/>
  <c r="M280" i="7" s="1"/>
  <c r="P280" i="7" s="1"/>
  <c r="O280" i="7"/>
  <c r="J10" i="7"/>
  <c r="O10" i="7"/>
  <c r="M10" i="7"/>
  <c r="O54" i="6"/>
  <c r="J54" i="6"/>
  <c r="M54" i="6" s="1"/>
  <c r="P54" i="6" s="1"/>
  <c r="O81" i="6"/>
  <c r="J81" i="6"/>
  <c r="M81" i="6" s="1"/>
  <c r="P81" i="6" s="1"/>
  <c r="E364" i="8"/>
  <c r="E4" i="9"/>
  <c r="O83" i="6"/>
  <c r="J83" i="6"/>
  <c r="M83" i="6" s="1"/>
  <c r="P83" i="6" s="1"/>
  <c r="B9" i="5"/>
  <c r="D9" i="5" s="1"/>
  <c r="B9" i="9"/>
  <c r="J300" i="7"/>
  <c r="O300" i="7"/>
  <c r="M300" i="7"/>
  <c r="O170" i="6"/>
  <c r="J170" i="6"/>
  <c r="M170" i="6" s="1"/>
  <c r="P170" i="6" s="1"/>
  <c r="O328" i="8"/>
  <c r="M328" i="8"/>
  <c r="P328" i="8" s="1"/>
  <c r="J328" i="8"/>
  <c r="J70" i="6"/>
  <c r="M70" i="6" s="1"/>
  <c r="P70" i="6" s="1"/>
  <c r="O70" i="6"/>
  <c r="J35" i="6"/>
  <c r="M35" i="6" s="1"/>
  <c r="P35" i="6" s="1"/>
  <c r="O35" i="6"/>
  <c r="O176" i="8"/>
  <c r="J176" i="8"/>
  <c r="M176" i="8"/>
  <c r="J281" i="7"/>
  <c r="O281" i="7"/>
  <c r="M281" i="7"/>
  <c r="P281" i="7" s="1"/>
  <c r="O199" i="7"/>
  <c r="J199" i="7"/>
  <c r="M199" i="7" s="1"/>
  <c r="P199" i="7" s="1"/>
  <c r="J305" i="8"/>
  <c r="O305" i="8"/>
  <c r="M305" i="8"/>
  <c r="P305" i="8" s="1"/>
  <c r="J46" i="7"/>
  <c r="M46" i="7" s="1"/>
  <c r="P46" i="7" s="1"/>
  <c r="O46" i="7"/>
  <c r="O203" i="7"/>
  <c r="M203" i="7"/>
  <c r="P203" i="7" s="1"/>
  <c r="J203" i="7"/>
  <c r="O339" i="8"/>
  <c r="J339" i="8"/>
  <c r="M339" i="8" s="1"/>
  <c r="P339" i="8" s="1"/>
  <c r="J59" i="6"/>
  <c r="M59" i="6" s="1"/>
  <c r="P59" i="6" s="1"/>
  <c r="O59" i="6"/>
  <c r="O102" i="8"/>
  <c r="J102" i="8"/>
  <c r="M102" i="8"/>
  <c r="P102" i="8" s="1"/>
  <c r="J234" i="7"/>
  <c r="M234" i="7" s="1"/>
  <c r="P234" i="7" s="1"/>
  <c r="O234" i="7"/>
  <c r="J290" i="8"/>
  <c r="M290" i="8" s="1"/>
  <c r="P290" i="8" s="1"/>
  <c r="O290" i="8"/>
  <c r="O80" i="6"/>
  <c r="J80" i="6"/>
  <c r="M80" i="6" s="1"/>
  <c r="P80" i="6" s="1"/>
  <c r="J309" i="7"/>
  <c r="O309" i="7"/>
  <c r="M309" i="7"/>
  <c r="P309" i="7" s="1"/>
  <c r="J320" i="6"/>
  <c r="M320" i="6" s="1"/>
  <c r="P320" i="6" s="1"/>
  <c r="O320" i="6"/>
  <c r="O347" i="7"/>
  <c r="J347" i="7"/>
  <c r="M347" i="7"/>
  <c r="P347" i="7" s="1"/>
  <c r="O66" i="7"/>
  <c r="M66" i="7"/>
  <c r="P66" i="7" s="1"/>
  <c r="J66" i="7"/>
  <c r="M159" i="7"/>
  <c r="P159" i="7" s="1"/>
  <c r="J159" i="7"/>
  <c r="O159" i="7"/>
  <c r="J292" i="8"/>
  <c r="O292" i="8"/>
  <c r="M292" i="8"/>
  <c r="P292" i="8" s="1"/>
  <c r="O55" i="8"/>
  <c r="J55" i="8"/>
  <c r="M55" i="8" s="1"/>
  <c r="P55" i="8" s="1"/>
  <c r="O88" i="6"/>
  <c r="J88" i="6"/>
  <c r="M88" i="6" s="1"/>
  <c r="P88" i="6" s="1"/>
  <c r="O307" i="8"/>
  <c r="J307" i="8"/>
  <c r="M307" i="8" s="1"/>
  <c r="P307" i="8" s="1"/>
  <c r="O20" i="7"/>
  <c r="J20" i="7"/>
  <c r="M20" i="7" s="1"/>
  <c r="P20" i="7" s="1"/>
  <c r="O126" i="6"/>
  <c r="J126" i="6"/>
  <c r="M126" i="6"/>
  <c r="P126" i="6" s="1"/>
  <c r="J55" i="7"/>
  <c r="M55" i="7"/>
  <c r="P55" i="7" s="1"/>
  <c r="O55" i="7"/>
  <c r="O108" i="8"/>
  <c r="J108" i="8"/>
  <c r="M108" i="8" s="1"/>
  <c r="P108" i="8" s="1"/>
  <c r="J330" i="8"/>
  <c r="M330" i="8" s="1"/>
  <c r="P330" i="8" s="1"/>
  <c r="O330" i="8"/>
  <c r="O232" i="8"/>
  <c r="J232" i="8"/>
  <c r="M232" i="8"/>
  <c r="J361" i="8"/>
  <c r="O361" i="8"/>
  <c r="M361" i="8"/>
  <c r="J325" i="7"/>
  <c r="M325" i="7"/>
  <c r="O325" i="7"/>
  <c r="J250" i="6"/>
  <c r="M250" i="6" s="1"/>
  <c r="P250" i="6" s="1"/>
  <c r="O250" i="6"/>
  <c r="J113" i="7"/>
  <c r="M113" i="7" s="1"/>
  <c r="P113" i="7" s="1"/>
  <c r="O113" i="7"/>
  <c r="J222" i="6"/>
  <c r="M222" i="6" s="1"/>
  <c r="P222" i="6" s="1"/>
  <c r="O222" i="6"/>
  <c r="O35" i="8"/>
  <c r="J35" i="8"/>
  <c r="M35" i="8" s="1"/>
  <c r="P35" i="8" s="1"/>
  <c r="J238" i="6"/>
  <c r="M238" i="6" s="1"/>
  <c r="P238" i="6" s="1"/>
  <c r="O238" i="6"/>
  <c r="J253" i="8"/>
  <c r="M253" i="8" s="1"/>
  <c r="P253" i="8" s="1"/>
  <c r="O253" i="8"/>
  <c r="F6" i="10"/>
  <c r="C11" i="10"/>
  <c r="F11" i="10" s="1"/>
  <c r="B4" i="9"/>
  <c r="B4" i="5"/>
  <c r="D4" i="5" s="1"/>
  <c r="O45" i="8"/>
  <c r="J45" i="8"/>
  <c r="M45" i="8" s="1"/>
  <c r="P45" i="8" s="1"/>
  <c r="J290" i="7"/>
  <c r="M290" i="7" s="1"/>
  <c r="P290" i="7" s="1"/>
  <c r="O290" i="7"/>
  <c r="O60" i="8"/>
  <c r="J60" i="8"/>
  <c r="M60" i="8"/>
  <c r="P60" i="8" s="1"/>
  <c r="J244" i="7"/>
  <c r="M244" i="7" s="1"/>
  <c r="P244" i="7" s="1"/>
  <c r="O244" i="7"/>
  <c r="J87" i="7"/>
  <c r="M87" i="7" s="1"/>
  <c r="P87" i="7" s="1"/>
  <c r="O87" i="7"/>
  <c r="J260" i="7"/>
  <c r="M260" i="7" s="1"/>
  <c r="P260" i="7" s="1"/>
  <c r="O260" i="7"/>
  <c r="O151" i="7"/>
  <c r="M151" i="7"/>
  <c r="P151" i="7" s="1"/>
  <c r="J151" i="7"/>
  <c r="O342" i="8"/>
  <c r="J342" i="8"/>
  <c r="M342" i="8" s="1"/>
  <c r="P342" i="8" s="1"/>
  <c r="J200" i="6"/>
  <c r="M200" i="6" s="1"/>
  <c r="P200" i="6" s="1"/>
  <c r="O200" i="6"/>
  <c r="J288" i="8"/>
  <c r="O288" i="8"/>
  <c r="M288" i="8"/>
  <c r="P288" i="8" s="1"/>
  <c r="M44" i="7"/>
  <c r="O44" i="7"/>
  <c r="J44" i="7"/>
  <c r="O76" i="8"/>
  <c r="J76" i="8"/>
  <c r="M76" i="8"/>
  <c r="O28" i="7"/>
  <c r="J28" i="7"/>
  <c r="M28" i="7" s="1"/>
  <c r="P28" i="7" s="1"/>
  <c r="D22" i="11"/>
  <c r="G22" i="11" s="1"/>
  <c r="O333" i="7"/>
  <c r="M333" i="7"/>
  <c r="P333" i="7" s="1"/>
  <c r="J333" i="7"/>
  <c r="O85" i="6"/>
  <c r="J85" i="6"/>
  <c r="M85" i="6" s="1"/>
  <c r="P85" i="6" s="1"/>
  <c r="O98" i="7"/>
  <c r="M98" i="7"/>
  <c r="P98" i="7" s="1"/>
  <c r="J98" i="7"/>
  <c r="M105" i="7"/>
  <c r="P105" i="7" s="1"/>
  <c r="J105" i="7"/>
  <c r="O105" i="7"/>
  <c r="J354" i="7"/>
  <c r="O354" i="7"/>
  <c r="M354" i="7"/>
  <c r="O170" i="7"/>
  <c r="J170" i="7"/>
  <c r="M170" i="7" s="1"/>
  <c r="P170" i="7" s="1"/>
  <c r="J356" i="7"/>
  <c r="M356" i="7" s="1"/>
  <c r="P356" i="7" s="1"/>
  <c r="O356" i="7"/>
  <c r="O129" i="8"/>
  <c r="J129" i="8"/>
  <c r="M129" i="8" s="1"/>
  <c r="P129" i="8" s="1"/>
  <c r="J173" i="7"/>
  <c r="M173" i="7" s="1"/>
  <c r="P173" i="7" s="1"/>
  <c r="O173" i="7"/>
  <c r="J256" i="7"/>
  <c r="M256" i="7" s="1"/>
  <c r="P256" i="7" s="1"/>
  <c r="O256" i="7"/>
  <c r="O360" i="7"/>
  <c r="J360" i="7"/>
  <c r="M360" i="7" s="1"/>
  <c r="P360" i="7" s="1"/>
  <c r="J61" i="7"/>
  <c r="M61" i="7" s="1"/>
  <c r="P61" i="7" s="1"/>
  <c r="O61" i="7"/>
  <c r="O304" i="8"/>
  <c r="J304" i="8"/>
  <c r="M304" i="8" s="1"/>
  <c r="P304" i="8" s="1"/>
  <c r="J74" i="6"/>
  <c r="M74" i="6" s="1"/>
  <c r="P74" i="6" s="1"/>
  <c r="O74" i="6"/>
  <c r="O361" i="7"/>
  <c r="M361" i="7"/>
  <c r="P361" i="7" s="1"/>
  <c r="J361" i="7"/>
  <c r="O273" i="6"/>
  <c r="J273" i="6"/>
  <c r="M273" i="6" s="1"/>
  <c r="P273" i="6" s="1"/>
  <c r="J324" i="6"/>
  <c r="M324" i="6" s="1"/>
  <c r="P324" i="6" s="1"/>
  <c r="O324" i="6"/>
  <c r="O349" i="7"/>
  <c r="J349" i="7"/>
  <c r="M349" i="7" s="1"/>
  <c r="P349" i="7" s="1"/>
  <c r="L364" i="6"/>
  <c r="O9" i="6"/>
  <c r="J9" i="6"/>
  <c r="M9" i="6"/>
  <c r="O25" i="7"/>
  <c r="M25" i="7"/>
  <c r="P25" i="7" s="1"/>
  <c r="J25" i="7"/>
  <c r="J306" i="7"/>
  <c r="O306" i="7"/>
  <c r="M306" i="7"/>
  <c r="P306" i="7" s="1"/>
  <c r="P116" i="6"/>
  <c r="O148" i="7"/>
  <c r="J148" i="7"/>
  <c r="M148" i="7"/>
  <c r="J219" i="7"/>
  <c r="M219" i="7"/>
  <c r="O219" i="7"/>
  <c r="O264" i="8"/>
  <c r="J264" i="8"/>
  <c r="M264" i="8" s="1"/>
  <c r="P264" i="8" s="1"/>
  <c r="O307" i="6"/>
  <c r="M307" i="6"/>
  <c r="P307" i="6" s="1"/>
  <c r="J307" i="6"/>
  <c r="J77" i="7"/>
  <c r="O77" i="7"/>
  <c r="M77" i="7"/>
  <c r="P77" i="7" s="1"/>
  <c r="O362" i="6"/>
  <c r="M362" i="6"/>
  <c r="P362" i="6" s="1"/>
  <c r="J362" i="6"/>
  <c r="J278" i="7"/>
  <c r="O278" i="7"/>
  <c r="M278" i="7"/>
  <c r="P278" i="7" s="1"/>
  <c r="J71" i="6"/>
  <c r="M71" i="6" s="1"/>
  <c r="P71" i="6" s="1"/>
  <c r="O71" i="6"/>
  <c r="J271" i="7"/>
  <c r="M271" i="7" s="1"/>
  <c r="P271" i="7" s="1"/>
  <c r="O271" i="7"/>
  <c r="J120" i="8"/>
  <c r="O120" i="8"/>
  <c r="M120" i="8"/>
  <c r="P180" i="6"/>
  <c r="J82" i="7"/>
  <c r="M82" i="7" s="1"/>
  <c r="P82" i="7" s="1"/>
  <c r="O82" i="7"/>
  <c r="O47" i="7"/>
  <c r="J47" i="7"/>
  <c r="M47" i="7"/>
  <c r="P47" i="7" s="1"/>
  <c r="O245" i="8"/>
  <c r="M245" i="8"/>
  <c r="P245" i="8" s="1"/>
  <c r="J245" i="8"/>
  <c r="O72" i="7"/>
  <c r="J72" i="7"/>
  <c r="M72" i="7"/>
  <c r="O218" i="8"/>
  <c r="M218" i="8"/>
  <c r="P218" i="8" s="1"/>
  <c r="J218" i="8"/>
  <c r="J270" i="7"/>
  <c r="O270" i="7"/>
  <c r="M270" i="7"/>
  <c r="P270" i="7" s="1"/>
  <c r="J212" i="6"/>
  <c r="M212" i="6" s="1"/>
  <c r="P212" i="6" s="1"/>
  <c r="O212" i="6"/>
  <c r="J221" i="7"/>
  <c r="O221" i="7"/>
  <c r="M221" i="7"/>
  <c r="P221" i="7" s="1"/>
  <c r="O173" i="8"/>
  <c r="J173" i="8"/>
  <c r="M173" i="8" s="1"/>
  <c r="P173" i="8" s="1"/>
  <c r="O252" i="8"/>
  <c r="J252" i="8"/>
  <c r="M252" i="8" s="1"/>
  <c r="P252" i="8" s="1"/>
  <c r="O76" i="6"/>
  <c r="J76" i="6"/>
  <c r="M76" i="6" s="1"/>
  <c r="P76" i="6" s="1"/>
  <c r="O98" i="8"/>
  <c r="J98" i="8"/>
  <c r="M98" i="8"/>
  <c r="J339" i="6"/>
  <c r="M339" i="6"/>
  <c r="O339" i="6"/>
  <c r="J250" i="7"/>
  <c r="M250" i="7" s="1"/>
  <c r="P250" i="7" s="1"/>
  <c r="O250" i="7"/>
  <c r="J236" i="6"/>
  <c r="M236" i="6" s="1"/>
  <c r="P236" i="6" s="1"/>
  <c r="O236" i="6"/>
  <c r="J324" i="7"/>
  <c r="O324" i="7"/>
  <c r="M324" i="7"/>
  <c r="P324" i="7" s="1"/>
  <c r="J278" i="6"/>
  <c r="M278" i="6"/>
  <c r="P278" i="6" s="1"/>
  <c r="O278" i="6"/>
  <c r="M154" i="7"/>
  <c r="J154" i="7"/>
  <c r="O154" i="7"/>
  <c r="J341" i="7"/>
  <c r="M341" i="7" s="1"/>
  <c r="P341" i="7" s="1"/>
  <c r="O341" i="7"/>
  <c r="O192" i="8"/>
  <c r="J192" i="8"/>
  <c r="M192" i="8"/>
  <c r="O71" i="8"/>
  <c r="J71" i="8"/>
  <c r="M71" i="8" s="1"/>
  <c r="P71" i="8" s="1"/>
  <c r="O293" i="6"/>
  <c r="J293" i="6"/>
  <c r="M293" i="6" s="1"/>
  <c r="P293" i="6" s="1"/>
  <c r="O175" i="8"/>
  <c r="J175" i="8"/>
  <c r="M175" i="8" s="1"/>
  <c r="P175" i="8" s="1"/>
  <c r="O37" i="6"/>
  <c r="J37" i="6"/>
  <c r="M37" i="6" s="1"/>
  <c r="P37" i="6" s="1"/>
  <c r="M353" i="6"/>
  <c r="O353" i="6"/>
  <c r="J353" i="6"/>
  <c r="J213" i="7"/>
  <c r="M213" i="7" s="1"/>
  <c r="P213" i="7" s="1"/>
  <c r="O213" i="7"/>
  <c r="J342" i="7"/>
  <c r="M342" i="7" s="1"/>
  <c r="P342" i="7" s="1"/>
  <c r="O342" i="7"/>
  <c r="O190" i="8"/>
  <c r="J190" i="8"/>
  <c r="M190" i="8"/>
  <c r="O183" i="7"/>
  <c r="J183" i="7"/>
  <c r="M183" i="7" s="1"/>
  <c r="P183" i="7" s="1"/>
  <c r="J312" i="7"/>
  <c r="M312" i="7" s="1"/>
  <c r="P312" i="7" s="1"/>
  <c r="O312" i="7"/>
  <c r="J242" i="6"/>
  <c r="M242" i="6" s="1"/>
  <c r="P242" i="6" s="1"/>
  <c r="O242" i="6"/>
  <c r="O164" i="7"/>
  <c r="J164" i="7"/>
  <c r="M164" i="7" s="1"/>
  <c r="P164" i="7" s="1"/>
  <c r="O178" i="8"/>
  <c r="J178" i="8"/>
  <c r="M178" i="8" s="1"/>
  <c r="P178" i="8" s="1"/>
  <c r="O186" i="7"/>
  <c r="J186" i="7"/>
  <c r="M186" i="7" s="1"/>
  <c r="P186" i="7" s="1"/>
  <c r="J280" i="6"/>
  <c r="M280" i="6" s="1"/>
  <c r="P280" i="6" s="1"/>
  <c r="O280" i="6"/>
  <c r="O163" i="7"/>
  <c r="J163" i="7"/>
  <c r="M163" i="7"/>
  <c r="J327" i="7"/>
  <c r="M327" i="7" s="1"/>
  <c r="P327" i="7" s="1"/>
  <c r="O327" i="7"/>
  <c r="J136" i="8"/>
  <c r="O136" i="8"/>
  <c r="M136" i="8"/>
  <c r="P136" i="8" s="1"/>
  <c r="J294" i="7"/>
  <c r="M294" i="7" s="1"/>
  <c r="P294" i="7" s="1"/>
  <c r="O294" i="7"/>
  <c r="J189" i="7"/>
  <c r="M189" i="7" s="1"/>
  <c r="P189" i="7" s="1"/>
  <c r="O189" i="7"/>
  <c r="J289" i="7"/>
  <c r="M289" i="7" s="1"/>
  <c r="P289" i="7" s="1"/>
  <c r="O289" i="7"/>
  <c r="O21" i="7"/>
  <c r="J21" i="7"/>
  <c r="M21" i="7"/>
  <c r="O206" i="7"/>
  <c r="J206" i="7"/>
  <c r="M206" i="7" s="1"/>
  <c r="P206" i="7" s="1"/>
  <c r="M168" i="7"/>
  <c r="P168" i="7" s="1"/>
  <c r="O168" i="7"/>
  <c r="J168" i="7"/>
  <c r="J341" i="8"/>
  <c r="M341" i="8" s="1"/>
  <c r="P341" i="8" s="1"/>
  <c r="O341" i="8"/>
  <c r="J307" i="7"/>
  <c r="M307" i="7" s="1"/>
  <c r="P307" i="7" s="1"/>
  <c r="O307" i="7"/>
  <c r="O186" i="8"/>
  <c r="J186" i="8"/>
  <c r="M186" i="8" s="1"/>
  <c r="P186" i="8" s="1"/>
  <c r="M130" i="7"/>
  <c r="J130" i="7"/>
  <c r="O130" i="7"/>
  <c r="O65" i="8"/>
  <c r="M65" i="8"/>
  <c r="P65" i="8" s="1"/>
  <c r="J65" i="8"/>
  <c r="O345" i="7"/>
  <c r="J345" i="7"/>
  <c r="M345" i="7" s="1"/>
  <c r="P345" i="7" s="1"/>
  <c r="J276" i="8"/>
  <c r="M276" i="8" s="1"/>
  <c r="P276" i="8" s="1"/>
  <c r="O276" i="8"/>
  <c r="M110" i="7"/>
  <c r="P110" i="7" s="1"/>
  <c r="O110" i="7"/>
  <c r="J110" i="7"/>
  <c r="O359" i="8"/>
  <c r="M359" i="8"/>
  <c r="P359" i="8" s="1"/>
  <c r="J359" i="8"/>
  <c r="O56" i="8"/>
  <c r="J56" i="8"/>
  <c r="M56" i="8"/>
  <c r="P56" i="8" s="1"/>
  <c r="J325" i="8"/>
  <c r="M325" i="8" s="1"/>
  <c r="P325" i="8" s="1"/>
  <c r="O325" i="8"/>
  <c r="J354" i="8"/>
  <c r="M354" i="8" s="1"/>
  <c r="P354" i="8" s="1"/>
  <c r="O354" i="8"/>
  <c r="J211" i="7"/>
  <c r="M211" i="7"/>
  <c r="P211" i="7" s="1"/>
  <c r="O211" i="7"/>
  <c r="J262" i="8"/>
  <c r="M262" i="8" s="1"/>
  <c r="P262" i="8" s="1"/>
  <c r="O262" i="8"/>
  <c r="P43" i="6"/>
  <c r="J154" i="8"/>
  <c r="O154" i="8"/>
  <c r="M154" i="8"/>
  <c r="P154" i="8" s="1"/>
  <c r="J264" i="7"/>
  <c r="M264" i="7" s="1"/>
  <c r="P264" i="7" s="1"/>
  <c r="O264" i="7"/>
  <c r="O158" i="7"/>
  <c r="J158" i="7"/>
  <c r="M158" i="7"/>
  <c r="P158" i="7" s="1"/>
  <c r="J340" i="6"/>
  <c r="M340" i="6" s="1"/>
  <c r="P340" i="6" s="1"/>
  <c r="O340" i="6"/>
  <c r="O334" i="8"/>
  <c r="J334" i="8"/>
  <c r="M334" i="8" s="1"/>
  <c r="P334" i="8" s="1"/>
  <c r="O94" i="6"/>
  <c r="J94" i="6"/>
  <c r="M94" i="6" s="1"/>
  <c r="P94" i="6" s="1"/>
  <c r="O312" i="8"/>
  <c r="J312" i="8"/>
  <c r="M312" i="8"/>
  <c r="J125" i="6"/>
  <c r="M125" i="6" s="1"/>
  <c r="P125" i="6" s="1"/>
  <c r="O125" i="6"/>
  <c r="J323" i="6"/>
  <c r="M323" i="6" s="1"/>
  <c r="P323" i="6" s="1"/>
  <c r="O323" i="6"/>
  <c r="J182" i="6"/>
  <c r="M182" i="6" s="1"/>
  <c r="P182" i="6" s="1"/>
  <c r="O182" i="6"/>
  <c r="O30" i="8"/>
  <c r="J30" i="8"/>
  <c r="M30" i="8" s="1"/>
  <c r="P30" i="8" s="1"/>
  <c r="J142" i="8"/>
  <c r="M142" i="8" s="1"/>
  <c r="P142" i="8" s="1"/>
  <c r="O142" i="8"/>
  <c r="O19" i="8"/>
  <c r="J19" i="8"/>
  <c r="M19" i="8" s="1"/>
  <c r="P19" i="8" s="1"/>
  <c r="O92" i="8"/>
  <c r="J92" i="8"/>
  <c r="M92" i="8" s="1"/>
  <c r="P92" i="8" s="1"/>
  <c r="O322" i="6"/>
  <c r="J322" i="6"/>
  <c r="M322" i="6" s="1"/>
  <c r="P322" i="6" s="1"/>
  <c r="O138" i="8"/>
  <c r="M138" i="8"/>
  <c r="P138" i="8" s="1"/>
  <c r="J138" i="8"/>
  <c r="J226" i="7"/>
  <c r="M226" i="7"/>
  <c r="O226" i="7"/>
  <c r="P149" i="6"/>
  <c r="J71" i="7"/>
  <c r="M71" i="7" s="1"/>
  <c r="P71" i="7" s="1"/>
  <c r="O71" i="7"/>
  <c r="O64" i="8"/>
  <c r="M64" i="8"/>
  <c r="P64" i="8" s="1"/>
  <c r="J64" i="8"/>
  <c r="M246" i="6"/>
  <c r="P246" i="6" s="1"/>
  <c r="J246" i="6"/>
  <c r="O246" i="6"/>
  <c r="J303" i="7"/>
  <c r="O303" i="7"/>
  <c r="M303" i="7"/>
  <c r="J217" i="7"/>
  <c r="O217" i="7"/>
  <c r="M217" i="7"/>
  <c r="P217" i="7" s="1"/>
  <c r="J273" i="8"/>
  <c r="M273" i="8" s="1"/>
  <c r="P273" i="8" s="1"/>
  <c r="O273" i="8"/>
  <c r="J319" i="7"/>
  <c r="O319" i="7"/>
  <c r="M319" i="7"/>
  <c r="P319" i="7" s="1"/>
  <c r="J18" i="7"/>
  <c r="M18" i="7" s="1"/>
  <c r="P18" i="7" s="1"/>
  <c r="O18" i="7"/>
  <c r="D20" i="11"/>
  <c r="G20" i="11" s="1"/>
  <c r="O19" i="6"/>
  <c r="M19" i="6"/>
  <c r="P19" i="6" s="1"/>
  <c r="J19" i="6"/>
  <c r="O309" i="6"/>
  <c r="J309" i="6"/>
  <c r="M309" i="6" s="1"/>
  <c r="P309" i="6" s="1"/>
  <c r="O96" i="8"/>
  <c r="J96" i="8"/>
  <c r="M96" i="8" s="1"/>
  <c r="P96" i="8" s="1"/>
  <c r="P39" i="6"/>
  <c r="O162" i="6"/>
  <c r="M162" i="6"/>
  <c r="P162" i="6" s="1"/>
  <c r="J162" i="6"/>
  <c r="M298" i="6"/>
  <c r="P298" i="6" s="1"/>
  <c r="J298" i="6"/>
  <c r="O298" i="6"/>
  <c r="J230" i="7"/>
  <c r="O230" i="7"/>
  <c r="M230" i="7"/>
  <c r="O137" i="8"/>
  <c r="J137" i="8"/>
  <c r="M137" i="8" s="1"/>
  <c r="P137" i="8" s="1"/>
  <c r="J67" i="7"/>
  <c r="M67" i="7" s="1"/>
  <c r="P67" i="7" s="1"/>
  <c r="O67" i="7"/>
  <c r="O32" i="8"/>
  <c r="J32" i="8"/>
  <c r="M32" i="8" s="1"/>
  <c r="P32" i="8" s="1"/>
  <c r="O348" i="7"/>
  <c r="M348" i="7"/>
  <c r="P348" i="7" s="1"/>
  <c r="J348" i="7"/>
  <c r="O86" i="8"/>
  <c r="J86" i="8"/>
  <c r="M86" i="8"/>
  <c r="O188" i="7"/>
  <c r="J188" i="7"/>
  <c r="M188" i="7" s="1"/>
  <c r="P188" i="7" s="1"/>
  <c r="O166" i="6"/>
  <c r="J166" i="6"/>
  <c r="M166" i="6" s="1"/>
  <c r="P166" i="6" s="1"/>
  <c r="O326" i="6"/>
  <c r="J326" i="6"/>
  <c r="M326" i="6" s="1"/>
  <c r="P326" i="6" s="1"/>
  <c r="J308" i="6"/>
  <c r="M308" i="6" s="1"/>
  <c r="P308" i="6" s="1"/>
  <c r="O308" i="6"/>
  <c r="J232" i="7"/>
  <c r="M232" i="7" s="1"/>
  <c r="P232" i="7" s="1"/>
  <c r="O232" i="7"/>
  <c r="O337" i="7"/>
  <c r="J337" i="7"/>
  <c r="M337" i="7" s="1"/>
  <c r="P337" i="7" s="1"/>
  <c r="O82" i="8"/>
  <c r="J82" i="8"/>
  <c r="M82" i="8" s="1"/>
  <c r="P82" i="8" s="1"/>
  <c r="J15" i="7"/>
  <c r="O15" i="7"/>
  <c r="M15" i="7"/>
  <c r="P15" i="7" s="1"/>
  <c r="O36" i="8"/>
  <c r="M36" i="8"/>
  <c r="P36" i="8" s="1"/>
  <c r="J36" i="8"/>
  <c r="O219" i="8"/>
  <c r="J219" i="8"/>
  <c r="M219" i="8" s="1"/>
  <c r="P219" i="8" s="1"/>
  <c r="O45" i="6"/>
  <c r="J45" i="6"/>
  <c r="M45" i="6" s="1"/>
  <c r="P45" i="6" s="1"/>
  <c r="J153" i="8"/>
  <c r="O153" i="8"/>
  <c r="M153" i="8"/>
  <c r="P153" i="8" s="1"/>
  <c r="J26" i="7"/>
  <c r="M26" i="7" s="1"/>
  <c r="P26" i="7" s="1"/>
  <c r="O26" i="7"/>
  <c r="J215" i="7"/>
  <c r="O215" i="7"/>
  <c r="M215" i="7"/>
  <c r="P215" i="7" s="1"/>
  <c r="J194" i="6"/>
  <c r="M194" i="6" s="1"/>
  <c r="P194" i="6" s="1"/>
  <c r="O194" i="6"/>
  <c r="M106" i="7"/>
  <c r="P106" i="7" s="1"/>
  <c r="O106" i="7"/>
  <c r="J106" i="7"/>
  <c r="J338" i="8"/>
  <c r="M338" i="8" s="1"/>
  <c r="P338" i="8" s="1"/>
  <c r="O338" i="8"/>
  <c r="O86" i="7"/>
  <c r="J86" i="7"/>
  <c r="M86" i="7" s="1"/>
  <c r="P86" i="7" s="1"/>
  <c r="O30" i="7"/>
  <c r="J30" i="7"/>
  <c r="M30" i="7" s="1"/>
  <c r="P30" i="7" s="1"/>
  <c r="O64" i="7"/>
  <c r="J64" i="7"/>
  <c r="M64" i="7" s="1"/>
  <c r="P64" i="7" s="1"/>
  <c r="M76" i="7"/>
  <c r="O76" i="7"/>
  <c r="J76" i="7"/>
  <c r="J155" i="7"/>
  <c r="O155" i="7"/>
  <c r="M155" i="7"/>
  <c r="P155" i="7" s="1"/>
  <c r="O204" i="7"/>
  <c r="M204" i="7"/>
  <c r="P204" i="7" s="1"/>
  <c r="J204" i="7"/>
  <c r="J280" i="8"/>
  <c r="O280" i="8"/>
  <c r="M280" i="8"/>
  <c r="P280" i="8" s="1"/>
  <c r="J87" i="6"/>
  <c r="M87" i="6" s="1"/>
  <c r="P87" i="6" s="1"/>
  <c r="O87" i="6"/>
  <c r="J131" i="6"/>
  <c r="M131" i="6" s="1"/>
  <c r="P131" i="6" s="1"/>
  <c r="O131" i="6"/>
  <c r="O77" i="8"/>
  <c r="J77" i="8"/>
  <c r="M77" i="8" s="1"/>
  <c r="P77" i="8" s="1"/>
  <c r="O246" i="8"/>
  <c r="J246" i="8"/>
  <c r="M246" i="8" s="1"/>
  <c r="P246" i="8" s="1"/>
  <c r="O87" i="8"/>
  <c r="J87" i="8"/>
  <c r="M87" i="8" s="1"/>
  <c r="P87" i="8" s="1"/>
  <c r="O90" i="8"/>
  <c r="J90" i="8"/>
  <c r="M90" i="8"/>
  <c r="P90" i="8" s="1"/>
  <c r="J352" i="6"/>
  <c r="M352" i="6" s="1"/>
  <c r="P352" i="6" s="1"/>
  <c r="O352" i="6"/>
  <c r="J317" i="7"/>
  <c r="M317" i="7" s="1"/>
  <c r="P317" i="7" s="1"/>
  <c r="O317" i="7"/>
  <c r="O67" i="8"/>
  <c r="J67" i="8"/>
  <c r="M67" i="8"/>
  <c r="P67" i="8" s="1"/>
  <c r="O103" i="7"/>
  <c r="J103" i="7"/>
  <c r="M103" i="7" s="1"/>
  <c r="P103" i="7" s="1"/>
  <c r="J90" i="6"/>
  <c r="O90" i="6"/>
  <c r="M90" i="6"/>
  <c r="P90" i="6" s="1"/>
  <c r="M107" i="7"/>
  <c r="P107" i="7" s="1"/>
  <c r="O107" i="7"/>
  <c r="J107" i="7"/>
  <c r="J84" i="7"/>
  <c r="M84" i="7" s="1"/>
  <c r="P84" i="7" s="1"/>
  <c r="O84" i="7"/>
  <c r="O231" i="8"/>
  <c r="J231" i="8"/>
  <c r="M231" i="8" s="1"/>
  <c r="P231" i="8" s="1"/>
  <c r="J296" i="8"/>
  <c r="M296" i="8"/>
  <c r="P296" i="8" s="1"/>
  <c r="O296" i="8"/>
  <c r="J109" i="6"/>
  <c r="O109" i="6"/>
  <c r="M109" i="6"/>
  <c r="P109" i="6" s="1"/>
  <c r="J38" i="6"/>
  <c r="M38" i="6"/>
  <c r="P38" i="6" s="1"/>
  <c r="O38" i="6"/>
  <c r="J265" i="7"/>
  <c r="M265" i="7" s="1"/>
  <c r="P265" i="7" s="1"/>
  <c r="O265" i="7"/>
  <c r="O225" i="8"/>
  <c r="M225" i="8"/>
  <c r="P225" i="8" s="1"/>
  <c r="J225" i="8"/>
  <c r="J78" i="6"/>
  <c r="O78" i="6"/>
  <c r="M78" i="6"/>
  <c r="P78" i="6" s="1"/>
  <c r="O158" i="6"/>
  <c r="M158" i="6"/>
  <c r="P158" i="6" s="1"/>
  <c r="J158" i="6"/>
  <c r="O85" i="7"/>
  <c r="J85" i="7"/>
  <c r="M85" i="7" s="1"/>
  <c r="P85" i="7" s="1"/>
  <c r="O189" i="8"/>
  <c r="J189" i="8"/>
  <c r="M189" i="8" s="1"/>
  <c r="P189" i="8" s="1"/>
  <c r="O177" i="8"/>
  <c r="J177" i="8"/>
  <c r="M177" i="8"/>
  <c r="O317" i="8"/>
  <c r="J317" i="8"/>
  <c r="M317" i="8" s="1"/>
  <c r="P317" i="8" s="1"/>
  <c r="J270" i="8"/>
  <c r="M270" i="8" s="1"/>
  <c r="P270" i="8" s="1"/>
  <c r="O270" i="8"/>
  <c r="J343" i="7"/>
  <c r="M343" i="7" s="1"/>
  <c r="P343" i="7" s="1"/>
  <c r="O343" i="7"/>
  <c r="J239" i="8"/>
  <c r="M239" i="8" s="1"/>
  <c r="P239" i="8" s="1"/>
  <c r="O239" i="8"/>
  <c r="O90" i="7"/>
  <c r="M90" i="7"/>
  <c r="P90" i="7" s="1"/>
  <c r="J90" i="7"/>
  <c r="O37" i="8"/>
  <c r="J37" i="8"/>
  <c r="M37" i="8" s="1"/>
  <c r="P37" i="8" s="1"/>
  <c r="O121" i="7"/>
  <c r="M121" i="7"/>
  <c r="P121" i="7" s="1"/>
  <c r="J121" i="7"/>
  <c r="C12" i="11"/>
  <c r="F12" i="11" s="1"/>
  <c r="M364" i="8" l="1"/>
  <c r="E8" i="9" s="1"/>
  <c r="P3" i="8"/>
  <c r="M364" i="6"/>
  <c r="C8" i="9" s="1"/>
  <c r="P3" i="6"/>
  <c r="E27" i="10"/>
  <c r="H27" i="10" s="1"/>
  <c r="D33" i="11"/>
  <c r="G33" i="11" s="1"/>
  <c r="C27" i="10"/>
  <c r="F27" i="10" s="1"/>
  <c r="E21" i="10"/>
  <c r="H21" i="10" s="1"/>
  <c r="H16" i="10"/>
  <c r="P115" i="8"/>
  <c r="P236" i="8"/>
  <c r="P283" i="8"/>
  <c r="F16" i="10"/>
  <c r="C21" i="10"/>
  <c r="F21" i="10" s="1"/>
  <c r="P315" i="6"/>
  <c r="P350" i="7"/>
  <c r="P47" i="8"/>
  <c r="P338" i="6"/>
  <c r="E10" i="5"/>
  <c r="F10" i="5"/>
  <c r="P272" i="6"/>
  <c r="P62" i="7"/>
  <c r="D30" i="10" s="1"/>
  <c r="G30" i="10" s="1"/>
  <c r="P93" i="7"/>
  <c r="P273" i="7"/>
  <c r="P16" i="6"/>
  <c r="F8" i="5"/>
  <c r="E8" i="5"/>
  <c r="P152" i="7"/>
  <c r="P115" i="7"/>
  <c r="D32" i="11" s="1"/>
  <c r="G32" i="11" s="1"/>
  <c r="P261" i="7"/>
  <c r="P44" i="7"/>
  <c r="H4" i="9"/>
  <c r="P14" i="6"/>
  <c r="C30" i="11" s="1"/>
  <c r="F30" i="11" s="1"/>
  <c r="J364" i="8"/>
  <c r="D29" i="10"/>
  <c r="G29" i="10" s="1"/>
  <c r="P312" i="8"/>
  <c r="P154" i="7"/>
  <c r="P60" i="7"/>
  <c r="P75" i="8"/>
  <c r="O364" i="8"/>
  <c r="P191" i="8"/>
  <c r="P102" i="6"/>
  <c r="P331" i="7"/>
  <c r="P243" i="8"/>
  <c r="P185" i="8"/>
  <c r="P184" i="6"/>
  <c r="P359" i="7"/>
  <c r="O364" i="6"/>
  <c r="P325" i="6"/>
  <c r="P81" i="7"/>
  <c r="P70" i="7"/>
  <c r="D29" i="11" s="1"/>
  <c r="G29" i="11" s="1"/>
  <c r="P214" i="6"/>
  <c r="P16" i="8"/>
  <c r="P133" i="6"/>
  <c r="P116" i="7"/>
  <c r="P124" i="7"/>
  <c r="P160" i="8"/>
  <c r="P84" i="8"/>
  <c r="E32" i="11" s="1"/>
  <c r="H32" i="11" s="1"/>
  <c r="K364" i="6"/>
  <c r="C7" i="9"/>
  <c r="F7" i="9" s="1"/>
  <c r="P305" i="6"/>
  <c r="P339" i="6"/>
  <c r="P219" i="7"/>
  <c r="K364" i="7"/>
  <c r="D7" i="9"/>
  <c r="J364" i="6"/>
  <c r="P190" i="8"/>
  <c r="P98" i="8"/>
  <c r="P148" i="7"/>
  <c r="P101" i="8"/>
  <c r="P40" i="7"/>
  <c r="D23" i="11"/>
  <c r="G23" i="11" s="1"/>
  <c r="G17" i="11"/>
  <c r="F4" i="9"/>
  <c r="G364" i="8"/>
  <c r="E5" i="9"/>
  <c r="G364" i="6"/>
  <c r="C5" i="9"/>
  <c r="M364" i="7"/>
  <c r="D8" i="9" s="1"/>
  <c r="P3" i="7"/>
  <c r="P107" i="6"/>
  <c r="C30" i="10" s="1"/>
  <c r="F30" i="10" s="1"/>
  <c r="D21" i="10"/>
  <c r="G21" i="10" s="1"/>
  <c r="G16" i="10"/>
  <c r="P226" i="7"/>
  <c r="P325" i="7"/>
  <c r="P345" i="6"/>
  <c r="P240" i="7"/>
  <c r="P274" i="8"/>
  <c r="P275" i="7"/>
  <c r="E6" i="5"/>
  <c r="F6" i="5"/>
  <c r="P222" i="7"/>
  <c r="P255" i="8"/>
  <c r="P230" i="7"/>
  <c r="P303" i="7"/>
  <c r="P120" i="8"/>
  <c r="E28" i="10" s="1"/>
  <c r="H28" i="10" s="1"/>
  <c r="P354" i="7"/>
  <c r="P361" i="8"/>
  <c r="P300" i="7"/>
  <c r="P10" i="7"/>
  <c r="D28" i="10" s="1"/>
  <c r="G28" i="10" s="1"/>
  <c r="J364" i="7"/>
  <c r="P30" i="6"/>
  <c r="C33" i="11" s="1"/>
  <c r="F33" i="11" s="1"/>
  <c r="P269" i="8"/>
  <c r="P282" i="8"/>
  <c r="P6" i="8"/>
  <c r="F5" i="5"/>
  <c r="E5" i="5"/>
  <c r="P240" i="6"/>
  <c r="P174" i="7"/>
  <c r="P18" i="6"/>
  <c r="C31" i="11" s="1"/>
  <c r="F31" i="11" s="1"/>
  <c r="P163" i="8"/>
  <c r="K364" i="8"/>
  <c r="E7" i="9"/>
  <c r="O364" i="7"/>
  <c r="P177" i="8"/>
  <c r="P86" i="8"/>
  <c r="P130" i="7"/>
  <c r="P21" i="7"/>
  <c r="D31" i="11" s="1"/>
  <c r="G31" i="11" s="1"/>
  <c r="P176" i="8"/>
  <c r="P26" i="6"/>
  <c r="C29" i="10" s="1"/>
  <c r="F29" i="10" s="1"/>
  <c r="P78" i="8"/>
  <c r="P220" i="6"/>
  <c r="P360" i="6"/>
  <c r="G364" i="7"/>
  <c r="D5" i="9"/>
  <c r="P295" i="8"/>
  <c r="F7" i="5"/>
  <c r="E7" i="5"/>
  <c r="P295" i="7"/>
  <c r="P247" i="8"/>
  <c r="P143" i="7"/>
  <c r="P66" i="8"/>
  <c r="P132" i="7"/>
  <c r="P60" i="6"/>
  <c r="P339" i="7"/>
  <c r="P335" i="8"/>
  <c r="P147" i="6"/>
  <c r="P282" i="7"/>
  <c r="P254" i="6"/>
  <c r="P212" i="8"/>
  <c r="P193" i="7"/>
  <c r="D27" i="10"/>
  <c r="G27" i="10" s="1"/>
  <c r="P163" i="7"/>
  <c r="P192" i="8"/>
  <c r="P72" i="7"/>
  <c r="P76" i="8"/>
  <c r="P232" i="8"/>
  <c r="P130" i="6"/>
  <c r="P161" i="8"/>
  <c r="P358" i="8"/>
  <c r="E29" i="11"/>
  <c r="H29" i="11" s="1"/>
  <c r="P118" i="7"/>
  <c r="P218" i="7"/>
  <c r="P283" i="6"/>
  <c r="P76" i="7"/>
  <c r="E9" i="5"/>
  <c r="F9" i="5"/>
  <c r="P152" i="8"/>
  <c r="P188" i="8"/>
  <c r="P101" i="7"/>
  <c r="P308" i="8"/>
  <c r="P11" i="7"/>
  <c r="P171" i="8"/>
  <c r="P138" i="7"/>
  <c r="P193" i="8"/>
  <c r="P9" i="6"/>
  <c r="C29" i="11" s="1"/>
  <c r="F29" i="11" s="1"/>
  <c r="P159" i="8"/>
  <c r="P184" i="8"/>
  <c r="P22" i="8"/>
  <c r="E31" i="11" s="1"/>
  <c r="H31" i="11" s="1"/>
  <c r="P329" i="7"/>
  <c r="E4" i="5"/>
  <c r="F4" i="5"/>
  <c r="P353" i="6"/>
  <c r="G4" i="9"/>
  <c r="I4" i="9"/>
  <c r="P34" i="7"/>
  <c r="P29" i="8"/>
  <c r="E33" i="11" s="1"/>
  <c r="H33" i="11" s="1"/>
  <c r="P356" i="8"/>
  <c r="P201" i="8"/>
  <c r="P229" i="8"/>
  <c r="P43" i="7"/>
  <c r="D30" i="11" s="1"/>
  <c r="G30" i="11" s="1"/>
  <c r="P247" i="7"/>
  <c r="P95" i="7"/>
  <c r="P275" i="6"/>
  <c r="P274" i="7"/>
  <c r="P258" i="7"/>
  <c r="P104" i="8"/>
  <c r="P52" i="8"/>
  <c r="E30" i="10" s="1"/>
  <c r="H30" i="10" s="1"/>
  <c r="E23" i="11"/>
  <c r="H23" i="11" s="1"/>
  <c r="H17" i="11"/>
  <c r="P106" i="8"/>
  <c r="E30" i="11" s="1"/>
  <c r="H30" i="11" s="1"/>
  <c r="C23" i="11"/>
  <c r="F23" i="11" s="1"/>
  <c r="F17" i="11"/>
  <c r="N364" i="6" l="1"/>
  <c r="C9" i="9"/>
  <c r="F9" i="9" s="1"/>
  <c r="B18" i="9"/>
  <c r="F8" i="9"/>
  <c r="B19" i="9"/>
  <c r="P364" i="6"/>
  <c r="C10" i="9" s="1"/>
  <c r="F10" i="9" s="1"/>
  <c r="C28" i="11"/>
  <c r="C26" i="10"/>
  <c r="J5" i="9"/>
  <c r="H5" i="9"/>
  <c r="P364" i="8"/>
  <c r="E10" i="9" s="1"/>
  <c r="E28" i="11"/>
  <c r="E26" i="10"/>
  <c r="H8" i="9"/>
  <c r="J8" i="9"/>
  <c r="C28" i="10"/>
  <c r="F28" i="10" s="1"/>
  <c r="E29" i="10"/>
  <c r="H29" i="10" s="1"/>
  <c r="I364" i="8"/>
  <c r="E6" i="9"/>
  <c r="I364" i="7"/>
  <c r="D6" i="9"/>
  <c r="B17" i="9"/>
  <c r="F5" i="9"/>
  <c r="P364" i="7"/>
  <c r="D10" i="9" s="1"/>
  <c r="D28" i="11"/>
  <c r="D26" i="10"/>
  <c r="I7" i="9"/>
  <c r="G7" i="9"/>
  <c r="N364" i="8"/>
  <c r="E9" i="9"/>
  <c r="C32" i="11"/>
  <c r="F32" i="11" s="1"/>
  <c r="N364" i="7"/>
  <c r="D9" i="9"/>
  <c r="G8" i="9"/>
  <c r="I8" i="9"/>
  <c r="G5" i="9"/>
  <c r="H7" i="9"/>
  <c r="J7" i="9"/>
  <c r="I364" i="6"/>
  <c r="C6" i="9"/>
  <c r="F6" i="9" s="1"/>
  <c r="J9" i="9" l="1"/>
  <c r="H9" i="9"/>
  <c r="G9" i="9"/>
  <c r="I9" i="9"/>
  <c r="E31" i="10"/>
  <c r="H31" i="10" s="1"/>
  <c r="H26" i="10"/>
  <c r="I10" i="9"/>
  <c r="G10" i="9"/>
  <c r="B13" i="9"/>
  <c r="C34" i="11"/>
  <c r="F34" i="11" s="1"/>
  <c r="F28" i="11"/>
  <c r="F26" i="10"/>
  <c r="C31" i="10"/>
  <c r="F31" i="10" s="1"/>
  <c r="D31" i="10"/>
  <c r="G31" i="10" s="1"/>
  <c r="G26" i="10"/>
  <c r="D34" i="11"/>
  <c r="G34" i="11" s="1"/>
  <c r="G28" i="11"/>
  <c r="G6" i="9"/>
  <c r="E34" i="11"/>
  <c r="H34" i="11" s="1"/>
  <c r="H28" i="11"/>
  <c r="J6" i="9"/>
  <c r="H6" i="9"/>
  <c r="H10" i="9"/>
  <c r="J10" i="9"/>
</calcChain>
</file>

<file path=xl/sharedStrings.xml><?xml version="1.0" encoding="utf-8"?>
<sst xmlns="http://schemas.openxmlformats.org/spreadsheetml/2006/main" count="1766" uniqueCount="220">
  <si>
    <t>FY2026 Scenario Comparison vs FY2025 Actual</t>
  </si>
  <si>
    <t>Concept</t>
  </si>
  <si>
    <t>FY25 Actual</t>
  </si>
  <si>
    <t>FY26 Base</t>
  </si>
  <si>
    <t>FY26 Best</t>
  </si>
  <si>
    <t>FY26 Worst</t>
  </si>
  <si>
    <t>Base YoY %</t>
  </si>
  <si>
    <t>Best YoY %</t>
  </si>
  <si>
    <t>Worst YoY %</t>
  </si>
  <si>
    <t>Best vs Base ($)</t>
  </si>
  <si>
    <t>Worst vs Base ($)</t>
  </si>
  <si>
    <t>TPV</t>
  </si>
  <si>
    <t>Revenue</t>
  </si>
  <si>
    <t>COGS</t>
  </si>
  <si>
    <t>Loss Provision</t>
  </si>
  <si>
    <t>Gross Profit</t>
  </si>
  <si>
    <t>OPEX</t>
  </si>
  <si>
    <t>Operating Profit</t>
  </si>
  <si>
    <t>Check: Revenue Best &gt; Base &gt; Worst</t>
  </si>
  <si>
    <t>Check: Operating Profit Best &gt; Base &gt; Worst</t>
  </si>
  <si>
    <t>OPEX sensitivity on Base</t>
  </si>
  <si>
    <t>1 point of OPEX % of revenue</t>
  </si>
  <si>
    <t>Base Operating Profit with OPEX at 45%</t>
  </si>
  <si>
    <t>Base Operating Profit with OPEX at 35%</t>
  </si>
  <si>
    <t>Risks, opportunities and recommendations</t>
  </si>
  <si>
    <t>Risk 1</t>
  </si>
  <si>
    <t>The Base case assumes OPEX at 40% of revenue, but FY25 closed at 41.4%. Each point of OPEX is worth about $0.5 million of Base operating profit.</t>
  </si>
  <si>
    <t>Risk 2</t>
  </si>
  <si>
    <t>In the Worst case revenue still grows 8.0% but operating profit falls 6.9% below FY25 because OPEX reaches 45% of revenue.</t>
  </si>
  <si>
    <t>Risk 3</t>
  </si>
  <si>
    <t>Concentration: FX Conversion and Stablecoin Settlement are 71% of Base revenue, and USA and Brazil are 51%.</t>
  </si>
  <si>
    <t>Opportunity 1</t>
  </si>
  <si>
    <t>The Best case adds $6.9 million of revenue and $4.8 million of operating profit compared with Base.</t>
  </si>
  <si>
    <t>Opportunity 2</t>
  </si>
  <si>
    <t>Treasury Yield has the highest margin at 37.5% but only 4% of Base revenue, so scaling it would lift profitability.</t>
  </si>
  <si>
    <t>Recommendation 1</t>
  </si>
  <si>
    <t>Set an OPEX target of 40% of revenue and review it monthly, starting with USA and Brazil FX Conversion and Stablecoin Settlement.</t>
  </si>
  <si>
    <t>Recommendation 2</t>
  </si>
  <si>
    <t>Protect growth in FX Conversion and Stablecoin Settlement in the USA and Brazil, with regulatory and demand monitoring.</t>
  </si>
  <si>
    <t>Recommendation 3</t>
  </si>
  <si>
    <t>Confirm with the Treasury Yield product owner why the product is small, then decide on a scaling plan.</t>
  </si>
  <si>
    <t>Budget Detail by Month / Country / Product</t>
  </si>
  <si>
    <t>Month</t>
  </si>
  <si>
    <t>Country</t>
  </si>
  <si>
    <t>Product</t>
  </si>
  <si>
    <t>Actual_TPV_USD</t>
  </si>
  <si>
    <t>Budget_TPV_USD</t>
  </si>
  <si>
    <t>TPV_Var_$</t>
  </si>
  <si>
    <t>TPV_Var_%</t>
  </si>
  <si>
    <t>Actual_Revenue_USD</t>
  </si>
  <si>
    <t>Budget_Revenue_USD</t>
  </si>
  <si>
    <t>Revenue_Var_$</t>
  </si>
  <si>
    <t>Revenue_Var_%</t>
  </si>
  <si>
    <t>Actual_COGS_USD</t>
  </si>
  <si>
    <t>Budget_COGS_USD</t>
  </si>
  <si>
    <t>COGS_Var_$</t>
  </si>
  <si>
    <t>COGS_Var_%</t>
  </si>
  <si>
    <t>Actual_Loss_Provision_USD</t>
  </si>
  <si>
    <t>Budget_Loss_Provision_USD</t>
  </si>
  <si>
    <t>Loss_Provision_Var_$</t>
  </si>
  <si>
    <t>Loss_Provision_Var_%</t>
  </si>
  <si>
    <t>Actual_Gross_Profit_USD</t>
  </si>
  <si>
    <t>Budget_Gross_Profit_USD</t>
  </si>
  <si>
    <t>Gross_Profit_Var_$</t>
  </si>
  <si>
    <t>Gross_Profit_Var_%</t>
  </si>
  <si>
    <t>Actual_Operating_Expense_USD</t>
  </si>
  <si>
    <t>Budget_Operating_Expense_USD</t>
  </si>
  <si>
    <t>Opex_Var_$</t>
  </si>
  <si>
    <t>Opex_Var_%</t>
  </si>
  <si>
    <t>Actual_Operating_Profit_USD</t>
  </si>
  <si>
    <t>Budget_Operating_Profit_USD</t>
  </si>
  <si>
    <t>Operating_Profit_Var_$</t>
  </si>
  <si>
    <t>Operating_Profit_Var_%</t>
  </si>
  <si>
    <t>Jan-25</t>
  </si>
  <si>
    <t>Brazil</t>
  </si>
  <si>
    <t>Cross-border Payouts</t>
  </si>
  <si>
    <t>FX Conversion</t>
  </si>
  <si>
    <t>Stablecoin Settlement</t>
  </si>
  <si>
    <t>Treasury Yield</t>
  </si>
  <si>
    <t>Virtual Accounts</t>
  </si>
  <si>
    <t>Germany</t>
  </si>
  <si>
    <t>India</t>
  </si>
  <si>
    <t>Mexico</t>
  </si>
  <si>
    <t>Singapore</t>
  </si>
  <si>
    <t>USA</t>
  </si>
  <si>
    <t>Feb-25</t>
  </si>
  <si>
    <t>Mar-25</t>
  </si>
  <si>
    <t>Apr-25</t>
  </si>
  <si>
    <t>May-25</t>
  </si>
  <si>
    <t>Jun-25</t>
  </si>
  <si>
    <t>Jul-25</t>
  </si>
  <si>
    <t>Aug-25</t>
  </si>
  <si>
    <t>Sep-25</t>
  </si>
  <si>
    <t>Oct-25</t>
  </si>
  <si>
    <t>Nov-25</t>
  </si>
  <si>
    <t>Dec-25</t>
  </si>
  <si>
    <t>Total 2025</t>
  </si>
  <si>
    <t>By Country</t>
  </si>
  <si>
    <t>By Product</t>
  </si>
  <si>
    <t>Total</t>
  </si>
  <si>
    <t>Growth and Margin Assumptions</t>
  </si>
  <si>
    <t>FY 26</t>
  </si>
  <si>
    <t>BASE - key TPV, take rate, COGS, Loss rate, OPEX assumptions aligned with all Sr. leaders including country/product SVPs</t>
  </si>
  <si>
    <t>TPV YOY Growth</t>
  </si>
  <si>
    <t>Take Rate</t>
  </si>
  <si>
    <t>COGS % Revenue</t>
  </si>
  <si>
    <t>Loss Rate % TPV</t>
  </si>
  <si>
    <t>OPEX % Revenue</t>
  </si>
  <si>
    <t>Notes</t>
  </si>
  <si>
    <t>Blue text on yellow = editable input assumptions. Change these cells and the forecast, comparison and summary tabs update.</t>
  </si>
  <si>
    <t>BEST - key TPV, take rate, COGS, Loss rate, OPEX assumptions aligned with all Sr. leaders including country/product SVPs</t>
  </si>
  <si>
    <t>WORST - key TPV, take rate, COGS, Loss rate, OPEX assumptions aligned with all Sr. leaders including country/product SVPs</t>
  </si>
  <si>
    <t>FY2025 Actual vs Budget: Total Company</t>
  </si>
  <si>
    <t>Actual</t>
  </si>
  <si>
    <t>Budget</t>
  </si>
  <si>
    <t>Variance ($)</t>
  </si>
  <si>
    <t>Variance (%)</t>
  </si>
  <si>
    <t>Result</t>
  </si>
  <si>
    <t>Check: Budget Gross Profit rebuilt</t>
  </si>
  <si>
    <t>Top 3 Favorable Variances: Operating Profit Variance ($) by Country and Product</t>
  </si>
  <si>
    <t>Rank</t>
  </si>
  <si>
    <t>Country / Product</t>
  </si>
  <si>
    <t>Operating Profit Variance ($)</t>
  </si>
  <si>
    <t>What changed</t>
  </si>
  <si>
    <t>Why it happened</t>
  </si>
  <si>
    <t>Business impact</t>
  </si>
  <si>
    <t>Recommendation</t>
  </si>
  <si>
    <t>Operating profit was $129,856 above budget, up 10.3%. TPV was $20.8 million above budget, up 4.9%, and revenue was $252,070 above, up 5.7%.</t>
  </si>
  <si>
    <t>Volume was the main driver. The take rate also came in at 1.05% against 1.04% in budget. The likely cause is stronger transaction demand in the largest market, to be confirmed with the country and product owners.</t>
  </si>
  <si>
    <t>Largest single contributor to the FY2025 beat. The company depends on USA FX Conversion for profit.</t>
  </si>
  <si>
    <t>Keep investing in capacity and distribution and confirm that the volume gain is repeatable before building it into FY2026.</t>
  </si>
  <si>
    <t>Operating profit was $89,046 above budget, up 8.5%. TPV was $21.5 million above, up 3.2%, and revenue $173,298 above, up 4.0%.</t>
  </si>
  <si>
    <t>Volume driven, with a take rate of 0.65% against 0.645% in budget. Likely adoption growth, to be confirmed.</t>
  </si>
  <si>
    <t>Second largest contributor and a product with the highest growth assumptions in the FY2026 Base.</t>
  </si>
  <si>
    <t>Validate demand and regulatory exposure before relying on its growth in FY2026.</t>
  </si>
  <si>
    <t>Operating profit was $81,764 above budget, up 10.5%, the highest percentage of the three. TPV was $14.0 million above, up 5.2%, and revenue $168,282 above, up 6.0%.</t>
  </si>
  <si>
    <t>Volume plus a take rate of 1.05% against 1.04% in budget. Likely strong cross-border demand in Brazil, to be confirmed.</t>
  </si>
  <si>
    <t>Brazil beat budget by more than the larger markets in percentage terms.</t>
  </si>
  <si>
    <t>Protect execution in Brazil and confirm that pricing holds as volume grows.</t>
  </si>
  <si>
    <t>Top 3 Unfavorable Variances: OPEX Variance ($), costs above budget</t>
  </si>
  <si>
    <t>OPEX Variance ($)</t>
  </si>
  <si>
    <t>OPEX was $141,433 above budget and absorbed 56% of the $252,070 of extra revenue. COGS was also $91,351 over budget.</t>
  </si>
  <si>
    <t>Costs grew faster than revenue. OPEX reached 41.5% of revenue against 40.6% planned, and COGS 28.0% against 27.5%. Possible causes are higher support and processing costs, to be confirmed with the controller.</t>
  </si>
  <si>
    <t>Part of the revenue beat did not reach profit.</t>
  </si>
  <si>
    <t>Review the OPEX drivers and set a cost to revenue target for FY2026.</t>
  </si>
  <si>
    <t>OPEX was $109,323 above budget and absorbed 63% of the $173,298 of extra revenue. COGS was $78,871 over budget.</t>
  </si>
  <si>
    <t>OPEX reached 41.4% of revenue against 40.6% planned, and COGS 32.0% against 31.5%.</t>
  </si>
  <si>
    <t>The highest share of extra revenue lost to costs among the three.</t>
  </si>
  <si>
    <t>Review operating costs by product and agree an efficiency target.</t>
  </si>
  <si>
    <t>OPEX was $93,212 above budget and absorbed 55% of the $168,282 of extra revenue. COGS was $60,262 over budget.</t>
  </si>
  <si>
    <t>OPEX reached 41.4% of revenue against 40.6% planned, and COGS 28.0% against 27.5%.</t>
  </si>
  <si>
    <t>Profit grew less than revenue would suggest.</t>
  </si>
  <si>
    <t>Check whether local operating costs scale with volume and set a cost target.</t>
  </si>
  <si>
    <t>FY2026 Base Forecast by Month / Country / Product</t>
  </si>
  <si>
    <t>FY25 Actual TPV</t>
  </si>
  <si>
    <t>TPV Growth</t>
  </si>
  <si>
    <t>FY26 TPV</t>
  </si>
  <si>
    <t>COGS %</t>
  </si>
  <si>
    <t>Loss Rate</t>
  </si>
  <si>
    <t>OPEX %</t>
  </si>
  <si>
    <t>Total FY26</t>
  </si>
  <si>
    <t>FY2026 Best Forecast by Month / Country / Product</t>
  </si>
  <si>
    <t>FY2026 Worst Forecast by Month / Country / Product</t>
  </si>
  <si>
    <t>FY26 Base grows revenue 16% and operating profit 21%, led by FX Conversion and Stablecoin Settlement, but the Worst case ends 7% below FY25 profit</t>
  </si>
  <si>
    <t>FY2026 Forecast vs FY2025 Actual by Product, USD</t>
  </si>
  <si>
    <t>Executive Summary</t>
  </si>
  <si>
    <t>FY26 Base revenue is $50.2 million, up 16.1% on FY25, and operating profit is $14.3 million, up 21.2%.</t>
  </si>
  <si>
    <t>FX Conversion and Stablecoin Settlement provide 71% of Base revenue and 70% of Base operating profit. Stablecoin Settlement grows 23.9% in Base, about twice the 12% of the other products.</t>
  </si>
  <si>
    <t>Treasury Yield has the highest margin at 37.5% but only 4% of revenue.</t>
  </si>
  <si>
    <t>The Best case adds $6.9 million of revenue and $4.8 million of operating profit against Base. The Worst case removes $3.5 million of revenue and $3.3 million of operating profit and ends 6.9% below FY25. The main driver of the gap is OPEX, where each point of revenue is worth about $0.5 million of Base operating profit.</t>
  </si>
  <si>
    <t>Management Recommendations</t>
  </si>
  <si>
    <t>Protect growth in FX Conversion and Stablecoin Settlement, which provide 71% of Base revenue, and monitor demand and regulation for Stablecoin Settlement because the Base plan relies on its 24% growth.</t>
  </si>
  <si>
    <t>Confirm with the Treasury Yield product owner why the product is small despite its 37.5% margin, then decide on a scaling plan.</t>
  </si>
  <si>
    <t>Set an OPEX target of 40% of revenue, review it monthly by product, and flag any product above 41%.</t>
  </si>
  <si>
    <t>Brazil and Mexico drive FY26 growth, USA stays 30% of revenue, and the Worst case cuts USA profit 14% below FY25</t>
  </si>
  <si>
    <t>FY2026 Forecast vs FY2025 Actual by Country, USD</t>
  </si>
  <si>
    <t>USA, Brazil and Mexico provide 67% of Base revenue and operating profit. USA is the largest market at 30% of revenue, while Brazil grows fastest at 26.8% in revenue.</t>
  </si>
  <si>
    <t>Singapore and Germany are the slowest growing markets, at 6.7% and 8.0% revenue growth in Base.</t>
  </si>
  <si>
    <t>In the Worst case operating profit falls below FY25 in every country except Brazil, which still grows 4.6%. USA falls the most at 14.1% and Mexico the least at 0.7%.</t>
  </si>
  <si>
    <t>The Best case adds $6.9 million of revenue and $4.8 million of operating profit against Base. The Worst case removes $3.5 million of revenue and $3.3 million of operating profit.</t>
  </si>
  <si>
    <t>Prioritize investment and execution in Brazil and Mexico, which grow 27% and 20% in Base revenue and are the most resilient in the Worst case.</t>
  </si>
  <si>
    <t>Protect the USA, which is 30% of revenue, with an OPEX target of 40%, because it is the most exposed market in the Worst case.</t>
  </si>
  <si>
    <t>Review the plans for Singapore and Germany with the country leaders to confirm growth drivers and cost levels, since they are the slowest growing.</t>
  </si>
  <si>
    <t>Documentation: FY2026 Forecast Capstone</t>
  </si>
  <si>
    <t>Section</t>
  </si>
  <si>
    <t>Detail</t>
  </si>
  <si>
    <t>Purpose</t>
  </si>
  <si>
    <t>Prepare an FY2026 forecast for SuperFintech Company for Finance VP review, with Base, Best and Worst scenarios by country, product and month, and year over year comparisons against FY2025 actuals.</t>
  </si>
  <si>
    <t>Steps completed</t>
  </si>
  <si>
    <t>1 Reviewed the business case. 2 Reviewed FY25 actual versus budget. 3 Created Assumption-Best and Assumption-Worst. 4 Built the Variance tab. 5 Built Forecast 26-Base. 6 Built Forecast 26-Best and Forecast 26-Worst. 7 Compared the scenarios and ran an OPEX sensitivity. 8 Built Summary-Product and Summary-Country. 9 Completed the documentation.</t>
  </si>
  <si>
    <t>Worksheets created</t>
  </si>
  <si>
    <t>Provided: Assumption-Base and 2025 actual v budget. Created: Assumption-Best, Assumption-Worst, Variance, Forecast 26-Base, Forecast 26-Best, Forecast 26-Worst, Scenario Comparison, Summary-Product, Summary-Country and Documentation.</t>
  </si>
  <si>
    <t>Assumptions used</t>
  </si>
  <si>
    <t>Best: TPV growth is 2 times the Base growth and OPEX is 35% of revenue. Worst: TPV growth is 50% of the Base growth and OPEX is 45% of revenue. All other assumptions are unchanged from Assumption-Base.</t>
  </si>
  <si>
    <t>Formulas</t>
  </si>
  <si>
    <t>Revenue = TPV × Take Rate. Gross Profit = Revenue − COGS − Loss Provision. Operating Profit = Gross Profit − OPEX. Variance $ = Actual − Budget. Variance % = Variance $ ÷ Budget.</t>
  </si>
  <si>
    <t>Forecast methodology</t>
  </si>
  <si>
    <t>FY26 TPV for each month, country and product equals the FY25 actual TPV of the same month, country and product multiplied by one plus the TPV growth from the assumption tab. Take rate, COGS %, loss rate and OPEX % are looked up from the assumption tab with SUMIFS by country and product. Revenue = TPV × Take Rate. COGS = Revenue × COGS %. Loss Provision = TPV × Loss Rate. Gross Profit = Revenue − COGS − Loss Provision. OPEX = Revenue × OPEX %. Operating Profit = Gross Profit − OPEX. The forecast keeps the monthly pattern of FY25.
Forecast 26-Best and Forecast 26-Worst were created by copying Forecast 26-Base and relinking every lookup to Assumption-Best and Assumption-Worst. No other formula was changed.</t>
  </si>
  <si>
    <t>Variance rules</t>
  </si>
  <si>
    <t>For TPV, Revenue, Gross Profit and Operating Profit a positive variance is favorable. For COGS, Loss Provision and OPEX a positive variance is unfavorable.</t>
  </si>
  <si>
    <t>Variance analysis</t>
  </si>
  <si>
    <t>Favorable variances were ranked by Operating Profit Variance $ at country and product level. Because no combination was below budget in operating profit, unfavorable variances were ranked by OPEX Variance $, meaning costs above budget.</t>
  </si>
  <si>
    <t>Scenario analysis</t>
  </si>
  <si>
    <t>Scenario Comparison places FY25 actual and the three FY26 scenarios side by side, with year over year change and the difference against Base. Base grows TPV 16.3%, revenue 16.1% and operating profit 21.2%. Best grows revenue 32.1% and operating profit 61.9%. Worst grows revenue 8.0% but operating profit falls 6.9%.</t>
  </si>
  <si>
    <t>Sensitivity</t>
  </si>
  <si>
    <t>One point of OPEX as a percentage of revenue equals about $502,000 of Base operating profit. Base operating profit would be $11.79 million with OPEX at 45% and $16.81 million with OPEX at 35%.</t>
  </si>
  <si>
    <t>Summary worksheets</t>
  </si>
  <si>
    <t>Summary-Product shows TPV, Revenue and Operating Profit by product for FY25 actual and the three FY26 scenarios, with year over year change, three charts with answer-first titles, an executive summary and three management recommendations. Tables use SUMIFS on the forecast tabs and the FY25 source tab.
Summary-Country has the same structure by country, with country specific commentary and recommendations.</t>
  </si>
  <si>
    <t>Validation checks done</t>
  </si>
  <si>
    <t>FY2025 totals tie to the source file: TPV 6,218.8 M, Revenue 43.27 M, Operating Profit 11.80 M. Variance tab values recalculated and checked against the totals row of the source tab.
Sum of country Operating Profit Variance and sum of product Operating Profit Variance both equal the company total of $956,085.
Forecast 26-Base total row was checked against an independent calculation. TPV $7,235.1 million, Revenue $50.21 million, Gross Profit $34.38 million and Operating Profit $14.30 million.
Best total row shows Revenue of $57.16 million and Operating Profit of $19.10 million. Worst shows Revenue of $46.74 million and Operating Profit of $10.99 million, both matching an independent calculation.
Revenue and Operating Profit follow the order Best, Base, Worst.
Summary-Product totals tie to Scenario Comparison: Revenue Base $50.21 million and Operating Profit Base $14.30 million. Total row year over year changes are calculated from the totals, not by adding percentages.
Summary-Country totals tie to Summary-Product and Scenario Comparison.</t>
  </si>
  <si>
    <t>Data quality finding</t>
  </si>
  <si>
    <t>In the source file, Budget Gross Profit does not equal Budget Revenue − Budget COGS − Budget Loss Provision. The gap is $525,868, about 1.3% of budget revenue, and appears in all 360 rows. Budget Operating Profit carries the same gap. Source columns were used as provided.</t>
  </si>
  <si>
    <t>Human validation performed</t>
  </si>
  <si>
    <t>Each tab was built by hand in Excel and every total was checked against an independent calculation. The commentary was reviewed and edited, and the data quality gap in the Budget Gross Profit and Operating Profit columns was identified and documented.</t>
  </si>
  <si>
    <t>Key business conclusions</t>
  </si>
  <si>
    <t>FY2025 beat budget on TPV, revenue and operating profit, led by USA and Brazil in FX Conversion and Stablecoin Settlement. Costs grew faster than revenue: OPEX was 41.4% of revenue against 40.6% in budget. The FY2026 Base assumes 40%, which implies a cost improvement that did not happen in FY2025.
Main risks are OPEX above the 40% Base assumption, the Worst case profit falling below FY25, and concentration, with FX Conversion and Stablecoin Settlement at 71% of Base revenue and USA and Brazil at 51%. Main opportunities are the Best case, worth $4.8 million of extra operating profit, and scaling Treasury Yield, which has the highest margin.
By country, Brazil and Mexico drive growth and the USA is the most exposed market in the Worst case, where its operating profit falls 14.1% below FY25.</t>
  </si>
  <si>
    <t>Recommended management actions</t>
  </si>
  <si>
    <t>Set an OPEX target of 40% of revenue and review it monthly. Protect growth in FX Conversion and Stablecoin Settlement in the USA and Brazil with regulatory and demand monitoring. Confirm with the Treasury Yield product owner why the product is small, then decide on a scaling plan.</t>
  </si>
  <si>
    <t>How to reproduce</t>
  </si>
  <si>
    <t>Copy Assumption-Base and change TPV growth and OPEX % as described. Copy Forecast 26-Base and replace the assumption tab name in every formula. Rebuild the summary tables with SUMIFS by product and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</si>
</sst>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0.000%"/>
    <numFmt numFmtId="167" formatCode="\$#,##0;\-\$#,##0"/>
  </numFmts>
  <fonts count="26" x14ac:knownFonts="1">
    <font>
      <sz val="11"/>
      <color theme="1"/>
      <name val="Calibri"/>
      <family val="2"/>
      <scheme val="minor"/>
    </font>
    <font>
      <b/>
      <sz val="11"/>
      <color rgb="FFFFFFFF"/>
      <name val="Calibri"/>
      <family val="2"/>
    </font>
    <font>
      <sz val="11"/>
      <color theme="1"/>
      <name val="Calibri"/>
      <family val="2"/>
      <scheme val="minor"/>
    </font>
    <font>
      <b/>
      <sz val="14"/>
      <color rgb="FFFFFFFF"/>
      <name val="Calibri"/>
      <family val="2"/>
    </font>
    <font>
      <b/>
      <sz val="11"/>
      <color rgb="FFFFFFFF"/>
      <name val="Calibri"/>
      <family val="2"/>
    </font>
    <font>
      <sz val="10"/>
      <color rgb="FF1E293B"/>
      <name val="Calibri"/>
      <family val="2"/>
    </font>
    <font>
      <b/>
      <sz val="10"/>
      <color rgb="FF1E293B"/>
      <name val="Calibri"/>
      <family val="2"/>
    </font>
    <font>
      <b/>
      <sz val="10"/>
      <color rgb="FF073763"/>
      <name val="Calibri"/>
      <family val="2"/>
    </font>
    <font>
      <b/>
      <sz val="13"/>
      <color rgb="FFFFFFFF"/>
      <name val="Calibri"/>
      <family val="2"/>
    </font>
    <font>
      <b/>
      <sz val="11"/>
      <color rgb="FF1E293B"/>
      <name val="Calibri"/>
      <family val="2"/>
    </font>
    <font>
      <sz val="11"/>
      <color rgb="FF1E293B"/>
      <name val="Calibri"/>
      <family val="2"/>
    </font>
    <font>
      <sz val="11"/>
      <color rgb="FF0000FF"/>
      <name val="Calibri"/>
      <family val="2"/>
    </font>
    <font>
      <i/>
      <sz val="10"/>
      <color rgb="FF64748B"/>
      <name val="Calibri"/>
      <family val="2"/>
    </font>
    <font>
      <sz val="10"/>
      <color rgb="FF15803D"/>
      <name val="Calibri"/>
      <family val="2"/>
    </font>
    <font>
      <sz val="11"/>
      <color rgb="FF15803D"/>
      <name val="Calibri"/>
      <family val="2"/>
    </font>
    <font>
      <b/>
      <sz val="11"/>
      <color rgb="FF15803D"/>
      <name val="Calibri"/>
      <family val="2"/>
    </font>
    <font>
      <b/>
      <sz val="11"/>
      <color rgb="FF9A3412"/>
      <name val="Calibri"/>
      <family val="2"/>
    </font>
    <font>
      <b/>
      <sz val="12"/>
      <color rgb="FF0F766E"/>
      <name val="Calibri"/>
      <family val="2"/>
    </font>
    <font>
      <b/>
      <sz val="12"/>
      <color rgb="FF15803D"/>
      <name val="Calibri"/>
      <family val="2"/>
    </font>
    <font>
      <b/>
      <sz val="12"/>
      <color rgb="FFB91C1C"/>
      <name val="Calibri"/>
      <family val="2"/>
    </font>
    <font>
      <b/>
      <sz val="12"/>
      <color rgb="FF073763"/>
      <name val="Calibri"/>
      <family val="2"/>
    </font>
    <font>
      <b/>
      <sz val="11"/>
      <color rgb="FFB91C1C"/>
      <name val="Calibri"/>
      <family val="2"/>
    </font>
    <font>
      <b/>
      <sz val="11"/>
      <color rgb="FF2563EB"/>
      <name val="Calibri"/>
      <family val="2"/>
    </font>
    <font>
      <i/>
      <sz val="11"/>
      <color rgb="FF64748B"/>
      <name val="Calibri"/>
      <family val="2"/>
    </font>
    <font>
      <b/>
      <sz val="12"/>
      <color rgb="FF2563EB"/>
      <name val="Calibri"/>
      <family val="2"/>
    </font>
    <font>
      <b/>
      <sz val="11"/>
      <color rgb="FF073763"/>
      <name val="Calibri"/>
      <family val="2"/>
    </font>
  </fonts>
  <fills count="20">
    <fill>
      <patternFill patternType="none"/>
    </fill>
    <fill>
      <patternFill patternType="gray125"/>
    </fill>
    <fill>
      <patternFill patternType="solid">
        <fgColor rgb="FF0F766E"/>
      </patternFill>
    </fill>
    <fill>
      <patternFill patternType="solid">
        <fgColor rgb="FF073763"/>
        <bgColor rgb="FF073763"/>
      </patternFill>
    </fill>
    <fill>
      <patternFill patternType="solid">
        <fgColor rgb="FF0F766E"/>
        <bgColor rgb="FF0F766E"/>
      </patternFill>
    </fill>
    <fill>
      <patternFill patternType="solid">
        <fgColor rgb="FF134E4A"/>
        <bgColor rgb="FF134E4A"/>
      </patternFill>
    </fill>
    <fill>
      <patternFill patternType="solid">
        <fgColor rgb="FFF1F5F9"/>
        <bgColor rgb="FFF1F5F9"/>
      </patternFill>
    </fill>
    <fill>
      <patternFill patternType="solid">
        <fgColor rgb="FFE6F4F1"/>
        <bgColor rgb="FFE6F4F1"/>
      </patternFill>
    </fill>
    <fill>
      <patternFill patternType="solid">
        <fgColor rgb="FFCDE9E5"/>
        <bgColor rgb="FFCDE9E5"/>
      </patternFill>
    </fill>
    <fill>
      <patternFill patternType="solid">
        <fgColor rgb="FFFEF9C3"/>
        <bgColor rgb="FFFEF9C3"/>
      </patternFill>
    </fill>
    <fill>
      <patternFill patternType="solid">
        <fgColor rgb="FF2563EB"/>
        <bgColor rgb="FF2563EB"/>
      </patternFill>
    </fill>
    <fill>
      <patternFill patternType="solid">
        <fgColor rgb="FFEA580C"/>
        <bgColor rgb="FFEA580C"/>
      </patternFill>
    </fill>
    <fill>
      <patternFill patternType="solid">
        <fgColor rgb="FFFFEDD5"/>
        <bgColor rgb="FFFFEDD5"/>
      </patternFill>
    </fill>
    <fill>
      <patternFill patternType="solid">
        <fgColor rgb="FF15803D"/>
        <bgColor rgb="FF15803D"/>
      </patternFill>
    </fill>
    <fill>
      <patternFill patternType="solid">
        <fgColor rgb="FFF0FDF4"/>
        <bgColor rgb="FFF0FDF4"/>
      </patternFill>
    </fill>
    <fill>
      <patternFill patternType="solid">
        <fgColor rgb="FFB91C1C"/>
        <bgColor rgb="FFB91C1C"/>
      </patternFill>
    </fill>
    <fill>
      <patternFill patternType="solid">
        <fgColor rgb="FFFEF2F2"/>
        <bgColor rgb="FFFEF2F2"/>
      </patternFill>
    </fill>
    <fill>
      <patternFill patternType="solid">
        <fgColor rgb="FF64748B"/>
        <bgColor rgb="FF64748B"/>
      </patternFill>
    </fill>
    <fill>
      <patternFill patternType="solid">
        <fgColor rgb="FFEFF6FF"/>
        <bgColor rgb="FFEFF6FF"/>
      </patternFill>
    </fill>
    <fill>
      <patternFill patternType="solid">
        <fgColor rgb="FFF8FAFC"/>
        <bgColor rgb="FFF8FAFC"/>
      </patternFill>
    </fill>
  </fills>
  <borders count="20">
    <border>
      <left/>
      <right/>
      <top/>
      <bottom/>
      <diagonal/>
    </border>
    <border>
      <left/>
      <right/>
      <top/>
      <bottom/>
      <diagonal/>
    </border>
    <border>
      <left style="thin">
        <color rgb="FFD9E2F3"/>
      </left>
      <right style="thin">
        <color rgb="FFD9E2F3"/>
      </right>
      <top style="thin">
        <color rgb="FFD9E2F3"/>
      </top>
      <bottom style="thin">
        <color rgb="FFD9E2F3"/>
      </bottom>
      <diagonal/>
    </border>
    <border>
      <left/>
      <right/>
      <top/>
      <bottom style="thin">
        <color rgb="FFD9E2F3"/>
      </bottom>
      <diagonal/>
    </border>
    <border>
      <left style="thin">
        <color rgb="FFFFFFFF"/>
      </left>
      <right style="thin">
        <color rgb="FFFFFFFF"/>
      </right>
      <top/>
      <bottom/>
      <diagonal/>
    </border>
    <border>
      <left/>
      <right/>
      <top/>
      <bottom style="hair">
        <color rgb="FFCBD5E1"/>
      </bottom>
      <diagonal/>
    </border>
    <border>
      <left style="thin">
        <color rgb="FF94A3B8"/>
      </left>
      <right/>
      <top/>
      <bottom style="hair">
        <color rgb="FFCBD5E1"/>
      </bottom>
      <diagonal/>
    </border>
    <border>
      <left/>
      <right/>
      <top/>
      <bottom/>
      <diagonal/>
    </border>
    <border>
      <left/>
      <right/>
      <top style="medium">
        <color rgb="FF0F766E"/>
      </top>
      <bottom style="hair">
        <color rgb="FFCBD5E1"/>
      </bottom>
      <diagonal/>
    </border>
    <border>
      <left style="thin">
        <color rgb="FF94A3B8"/>
      </left>
      <right/>
      <top style="medium">
        <color rgb="FF0F766E"/>
      </top>
      <bottom style="hair">
        <color rgb="FFCBD5E1"/>
      </bottom>
      <diagonal/>
    </border>
    <border>
      <left style="thin">
        <color rgb="FFCBD5E1"/>
      </left>
      <right style="thin">
        <color rgb="FFCBD5E1"/>
      </right>
      <top style="thin">
        <color rgb="FFCBD5E1"/>
      </top>
      <bottom style="thin">
        <color rgb="FFCBD5E1"/>
      </bottom>
      <diagonal/>
    </border>
    <border>
      <left/>
      <right/>
      <top/>
      <bottom style="medium">
        <color rgb="FF0F766E"/>
      </bottom>
      <diagonal/>
    </border>
    <border>
      <left/>
      <right/>
      <top/>
      <bottom style="medium">
        <color rgb="FF15803D"/>
      </bottom>
      <diagonal/>
    </border>
    <border>
      <left/>
      <right/>
      <top/>
      <bottom style="thin">
        <color rgb="FFCBD5E1"/>
      </bottom>
      <diagonal/>
    </border>
    <border>
      <left/>
      <right/>
      <top/>
      <bottom style="medium">
        <color rgb="FFB91C1C"/>
      </bottom>
      <diagonal/>
    </border>
    <border>
      <left/>
      <right/>
      <top style="medium">
        <color rgb="FF073763"/>
      </top>
      <bottom style="thin">
        <color rgb="FFCBD5E1"/>
      </bottom>
      <diagonal/>
    </border>
    <border>
      <left/>
      <right/>
      <top/>
      <bottom style="medium">
        <color rgb="FF073763"/>
      </bottom>
      <diagonal/>
    </border>
    <border>
      <left style="thick">
        <color rgb="FF073763"/>
      </left>
      <right/>
      <top/>
      <bottom style="thin">
        <color rgb="FFCBD5E1"/>
      </bottom>
      <diagonal/>
    </border>
    <border>
      <left/>
      <right/>
      <top/>
      <bottom style="medium">
        <color rgb="FF2563EB"/>
      </bottom>
      <diagonal/>
    </border>
    <border>
      <left style="thick">
        <color rgb="FF2563EB"/>
      </left>
      <right/>
      <top/>
      <bottom style="thin">
        <color rgb="FFCBD5E1"/>
      </bottom>
      <diagonal/>
    </border>
  </borders>
  <cellStyleXfs count="2">
    <xf numFmtId="0" fontId="0" fillId="0" borderId="1"/>
    <xf numFmtId="9" fontId="2" fillId="0" borderId="1"/>
  </cellStyleXfs>
  <cellXfs count="146">
    <xf numFmtId="0" fontId="0" fillId="0" borderId="0" xfId="0" applyBorder="1"/>
    <xf numFmtId="0" fontId="1" fillId="2" borderId="2" xfId="0" applyFont="1" applyFill="1" applyBorder="1" applyAlignment="1">
      <alignment horizontal="center" wrapText="1"/>
    </xf>
    <xf numFmtId="0" fontId="0" fillId="0" borderId="2" xfId="0" applyBorder="1"/>
    <xf numFmtId="10" fontId="0" fillId="0" borderId="0" xfId="0" applyNumberFormat="1" applyBorder="1"/>
    <xf numFmtId="9" fontId="0" fillId="0" borderId="0" xfId="1" applyFont="1" applyBorder="1"/>
    <xf numFmtId="164" fontId="0" fillId="0" borderId="0" xfId="1" applyNumberFormat="1" applyFont="1" applyBorder="1"/>
    <xf numFmtId="0" fontId="3" fillId="3" borderId="2" xfId="0" applyFont="1" applyFill="1" applyBorder="1" applyAlignment="1">
      <alignment horizontal="left" vertical="center" indent="1"/>
    </xf>
    <xf numFmtId="0" fontId="3" fillId="3" borderId="0" xfId="0" applyFont="1" applyFill="1" applyBorder="1" applyAlignment="1">
      <alignment horizontal="left" vertical="center" indent="1"/>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49" fontId="5" fillId="0" borderId="5" xfId="0" applyNumberFormat="1" applyFont="1" applyBorder="1" applyAlignment="1">
      <alignment horizontal="center" vertical="center"/>
    </xf>
    <xf numFmtId="0" fontId="5" fillId="0" borderId="5" xfId="0" applyFont="1" applyBorder="1" applyAlignment="1">
      <alignment horizontal="left" vertical="center"/>
    </xf>
    <xf numFmtId="165" fontId="5" fillId="0" borderId="6" xfId="0" applyNumberFormat="1" applyFont="1" applyBorder="1" applyAlignment="1">
      <alignment horizontal="right" vertical="center"/>
    </xf>
    <xf numFmtId="165" fontId="5" fillId="0" borderId="5" xfId="0" applyNumberFormat="1" applyFont="1" applyBorder="1" applyAlignment="1">
      <alignment horizontal="right" vertical="center"/>
    </xf>
    <xf numFmtId="164" fontId="5" fillId="0" borderId="5" xfId="0" applyNumberFormat="1" applyFont="1" applyBorder="1" applyAlignment="1">
      <alignment horizontal="right" vertical="center"/>
    </xf>
    <xf numFmtId="49" fontId="5" fillId="6" borderId="5" xfId="0" applyNumberFormat="1" applyFont="1" applyFill="1" applyBorder="1" applyAlignment="1">
      <alignment horizontal="center" vertical="center"/>
    </xf>
    <xf numFmtId="0" fontId="5" fillId="6" borderId="5" xfId="0" applyFont="1" applyFill="1" applyBorder="1" applyAlignment="1">
      <alignment horizontal="left" vertical="center"/>
    </xf>
    <xf numFmtId="165" fontId="5" fillId="6" borderId="6" xfId="0" applyNumberFormat="1" applyFont="1" applyFill="1" applyBorder="1" applyAlignment="1">
      <alignment horizontal="right" vertical="center"/>
    </xf>
    <xf numFmtId="165" fontId="5" fillId="6" borderId="5" xfId="0" applyNumberFormat="1" applyFont="1" applyFill="1" applyBorder="1" applyAlignment="1">
      <alignment horizontal="right" vertical="center"/>
    </xf>
    <xf numFmtId="164" fontId="5" fillId="6" borderId="5" xfId="0" applyNumberFormat="1" applyFont="1" applyFill="1" applyBorder="1" applyAlignment="1">
      <alignment horizontal="right" vertical="center"/>
    </xf>
    <xf numFmtId="49" fontId="6" fillId="7" borderId="8" xfId="0" applyNumberFormat="1" applyFont="1" applyFill="1" applyBorder="1" applyAlignment="1">
      <alignment horizontal="center" vertical="center"/>
    </xf>
    <xf numFmtId="0" fontId="5" fillId="7" borderId="8" xfId="0" applyFont="1" applyFill="1" applyBorder="1" applyAlignment="1">
      <alignment horizontal="left" vertical="center"/>
    </xf>
    <xf numFmtId="165" fontId="5" fillId="7" borderId="9" xfId="0" applyNumberFormat="1" applyFont="1" applyFill="1" applyBorder="1" applyAlignment="1">
      <alignment horizontal="right" vertical="center"/>
    </xf>
    <xf numFmtId="165" fontId="5" fillId="7" borderId="8" xfId="0" applyNumberFormat="1" applyFont="1" applyFill="1" applyBorder="1" applyAlignment="1">
      <alignment horizontal="right" vertical="center"/>
    </xf>
    <xf numFmtId="164" fontId="5" fillId="7" borderId="8" xfId="1" applyNumberFormat="1" applyFont="1" applyFill="1" applyBorder="1" applyAlignment="1">
      <alignment horizontal="right" vertical="center"/>
    </xf>
    <xf numFmtId="0" fontId="6" fillId="7" borderId="5" xfId="0" applyFont="1" applyFill="1" applyBorder="1" applyAlignment="1">
      <alignment horizontal="center" vertical="center"/>
    </xf>
    <xf numFmtId="0" fontId="5" fillId="7" borderId="5" xfId="0" applyFont="1" applyFill="1" applyBorder="1" applyAlignment="1">
      <alignment horizontal="left" vertical="center"/>
    </xf>
    <xf numFmtId="165" fontId="5" fillId="7" borderId="6" xfId="0" applyNumberFormat="1" applyFont="1" applyFill="1" applyBorder="1" applyAlignment="1">
      <alignment horizontal="right" vertical="center"/>
    </xf>
    <xf numFmtId="165" fontId="5" fillId="7" borderId="5" xfId="0" applyNumberFormat="1" applyFont="1" applyFill="1" applyBorder="1" applyAlignment="1">
      <alignment horizontal="right" vertical="center"/>
    </xf>
    <xf numFmtId="164" fontId="5" fillId="7" borderId="5" xfId="1" applyNumberFormat="1" applyFont="1" applyFill="1" applyBorder="1" applyAlignment="1">
      <alignment horizontal="right" vertical="center"/>
    </xf>
    <xf numFmtId="0" fontId="7" fillId="8" borderId="8" xfId="0" applyFont="1" applyFill="1" applyBorder="1" applyAlignment="1">
      <alignment horizontal="center" vertical="center"/>
    </xf>
    <xf numFmtId="0" fontId="5" fillId="8" borderId="8" xfId="0" applyFont="1" applyFill="1" applyBorder="1" applyAlignment="1">
      <alignment horizontal="left" vertical="center"/>
    </xf>
    <xf numFmtId="165" fontId="5" fillId="8" borderId="9" xfId="0" applyNumberFormat="1" applyFont="1" applyFill="1" applyBorder="1" applyAlignment="1">
      <alignment horizontal="right" vertical="center"/>
    </xf>
    <xf numFmtId="165" fontId="5" fillId="8" borderId="8" xfId="0" applyNumberFormat="1" applyFont="1" applyFill="1" applyBorder="1" applyAlignment="1">
      <alignment horizontal="right" vertical="center"/>
    </xf>
    <xf numFmtId="164" fontId="5" fillId="8" borderId="8" xfId="1" applyNumberFormat="1" applyFont="1" applyFill="1" applyBorder="1" applyAlignment="1">
      <alignment horizontal="right" vertical="center"/>
    </xf>
    <xf numFmtId="0" fontId="5" fillId="8" borderId="5" xfId="0" applyFont="1" applyFill="1" applyBorder="1" applyAlignment="1">
      <alignment horizontal="center" vertical="center"/>
    </xf>
    <xf numFmtId="0" fontId="5" fillId="8" borderId="5" xfId="0" applyFont="1" applyFill="1" applyBorder="1" applyAlignment="1">
      <alignment horizontal="left" vertical="center"/>
    </xf>
    <xf numFmtId="165" fontId="5" fillId="8" borderId="6" xfId="0" applyNumberFormat="1" applyFont="1" applyFill="1" applyBorder="1" applyAlignment="1">
      <alignment horizontal="right" vertical="center"/>
    </xf>
    <xf numFmtId="165" fontId="5" fillId="8" borderId="5" xfId="0" applyNumberFormat="1" applyFont="1" applyFill="1" applyBorder="1" applyAlignment="1">
      <alignment horizontal="right" vertical="center"/>
    </xf>
    <xf numFmtId="164" fontId="5" fillId="8" borderId="5" xfId="1" applyNumberFormat="1" applyFont="1" applyFill="1" applyBorder="1" applyAlignment="1">
      <alignment horizontal="right" vertical="center"/>
    </xf>
    <xf numFmtId="0" fontId="4" fillId="3" borderId="7" xfId="0" applyFont="1" applyFill="1" applyBorder="1" applyAlignment="1">
      <alignment horizontal="center" vertical="center"/>
    </xf>
    <xf numFmtId="0" fontId="4" fillId="3" borderId="7" xfId="0" applyFont="1" applyFill="1" applyBorder="1" applyAlignment="1">
      <alignment horizontal="left" vertical="center"/>
    </xf>
    <xf numFmtId="165" fontId="4" fillId="3" borderId="7" xfId="0" applyNumberFormat="1" applyFont="1" applyFill="1" applyBorder="1" applyAlignment="1">
      <alignment horizontal="right" vertical="center"/>
    </xf>
    <xf numFmtId="164" fontId="4" fillId="3" borderId="7" xfId="1" applyNumberFormat="1" applyFont="1" applyFill="1" applyBorder="1" applyAlignment="1">
      <alignment horizontal="right" vertical="center"/>
    </xf>
    <xf numFmtId="0" fontId="8" fillId="3" borderId="2" xfId="0" applyFont="1" applyFill="1" applyBorder="1" applyAlignment="1">
      <alignment horizontal="left" vertical="center" wrapText="1" indent="1"/>
    </xf>
    <xf numFmtId="0" fontId="8" fillId="3" borderId="1" xfId="0" applyFont="1" applyFill="1" applyAlignment="1">
      <alignment horizontal="left" vertical="center" indent="1"/>
    </xf>
    <xf numFmtId="0" fontId="0" fillId="0" borderId="7" xfId="0" applyBorder="1"/>
    <xf numFmtId="0" fontId="9" fillId="6" borderId="5" xfId="0" applyFont="1" applyFill="1" applyBorder="1" applyAlignment="1">
      <alignment horizontal="left" vertical="center"/>
    </xf>
    <xf numFmtId="0" fontId="10" fillId="6" borderId="5" xfId="0" applyFont="1" applyFill="1" applyBorder="1" applyAlignment="1">
      <alignment horizontal="left" vertical="center"/>
    </xf>
    <xf numFmtId="164" fontId="11" fillId="9" borderId="10" xfId="0" applyNumberFormat="1" applyFont="1" applyFill="1" applyBorder="1" applyAlignment="1">
      <alignment horizontal="center" vertical="center"/>
    </xf>
    <xf numFmtId="10" fontId="11" fillId="9" borderId="10" xfId="0" applyNumberFormat="1" applyFont="1" applyFill="1" applyBorder="1" applyAlignment="1">
      <alignment horizontal="center" vertical="center"/>
    </xf>
    <xf numFmtId="166" fontId="11" fillId="9" borderId="10" xfId="0" applyNumberFormat="1" applyFont="1" applyFill="1" applyBorder="1" applyAlignment="1">
      <alignment horizontal="center" vertical="center"/>
    </xf>
    <xf numFmtId="0" fontId="10" fillId="6" borderId="5" xfId="0" applyFont="1" applyFill="1" applyBorder="1" applyAlignment="1">
      <alignment horizontal="left" vertical="center" wrapText="1" indent="1"/>
    </xf>
    <xf numFmtId="164" fontId="0" fillId="0" borderId="7" xfId="0" applyNumberFormat="1" applyBorder="1"/>
    <xf numFmtId="0" fontId="9" fillId="0" borderId="5" xfId="0" applyFont="1" applyBorder="1" applyAlignment="1">
      <alignment horizontal="left" vertical="center"/>
    </xf>
    <xf numFmtId="0" fontId="10" fillId="0" borderId="5" xfId="0" applyFont="1" applyBorder="1" applyAlignment="1">
      <alignment horizontal="left" vertical="center"/>
    </xf>
    <xf numFmtId="0" fontId="10" fillId="0" borderId="5" xfId="0" applyFont="1" applyBorder="1" applyAlignment="1">
      <alignment horizontal="left" vertical="center" wrapText="1" indent="1"/>
    </xf>
    <xf numFmtId="0" fontId="12" fillId="0" borderId="0" xfId="0" applyFont="1" applyBorder="1"/>
    <xf numFmtId="0" fontId="4" fillId="10" borderId="4"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9" fillId="0" borderId="5" xfId="0" applyFont="1" applyBorder="1" applyAlignment="1">
      <alignment horizontal="left" vertical="center" indent="1"/>
    </xf>
    <xf numFmtId="165" fontId="14" fillId="0" borderId="5" xfId="0" applyNumberFormat="1" applyFont="1" applyBorder="1" applyAlignment="1">
      <alignment horizontal="right" vertical="center"/>
    </xf>
    <xf numFmtId="165" fontId="10" fillId="0" borderId="5" xfId="0" applyNumberFormat="1" applyFont="1" applyBorder="1" applyAlignment="1">
      <alignment horizontal="center" vertical="center"/>
    </xf>
    <xf numFmtId="164" fontId="10" fillId="0" borderId="5" xfId="1" applyNumberFormat="1" applyFont="1" applyBorder="1" applyAlignment="1">
      <alignment horizontal="center" vertical="center"/>
    </xf>
    <xf numFmtId="0" fontId="10" fillId="0" borderId="5" xfId="0" applyFont="1" applyBorder="1" applyAlignment="1">
      <alignment horizontal="center" vertical="center"/>
    </xf>
    <xf numFmtId="0" fontId="9" fillId="6" borderId="5" xfId="0" applyFont="1" applyFill="1" applyBorder="1" applyAlignment="1">
      <alignment horizontal="left" vertical="center" indent="1"/>
    </xf>
    <xf numFmtId="165" fontId="15" fillId="6" borderId="5" xfId="0" applyNumberFormat="1" applyFont="1" applyFill="1" applyBorder="1" applyAlignment="1">
      <alignment horizontal="right" vertical="center"/>
    </xf>
    <xf numFmtId="165" fontId="9" fillId="6" borderId="5" xfId="0" applyNumberFormat="1" applyFont="1" applyFill="1" applyBorder="1" applyAlignment="1">
      <alignment horizontal="center" vertical="center"/>
    </xf>
    <xf numFmtId="164" fontId="9" fillId="6" borderId="5" xfId="1" applyNumberFormat="1" applyFont="1" applyFill="1" applyBorder="1" applyAlignment="1">
      <alignment horizontal="center" vertical="center"/>
    </xf>
    <xf numFmtId="0" fontId="9" fillId="6" borderId="5" xfId="0" applyFont="1" applyFill="1" applyBorder="1" applyAlignment="1">
      <alignment horizontal="center" vertical="center"/>
    </xf>
    <xf numFmtId="0" fontId="12" fillId="0" borderId="0" xfId="0" applyFont="1" applyBorder="1" applyAlignment="1">
      <alignment horizontal="left" indent="1"/>
    </xf>
    <xf numFmtId="165" fontId="12" fillId="0" borderId="0" xfId="0" applyNumberFormat="1" applyFont="1" applyBorder="1" applyAlignment="1">
      <alignment horizontal="right"/>
    </xf>
    <xf numFmtId="165" fontId="16" fillId="12" borderId="0" xfId="0" applyNumberFormat="1" applyFont="1" applyFill="1" applyBorder="1" applyAlignment="1">
      <alignment horizontal="center"/>
    </xf>
    <xf numFmtId="0" fontId="17" fillId="0" borderId="11" xfId="0" applyFont="1" applyBorder="1" applyAlignment="1">
      <alignment vertical="center"/>
    </xf>
    <xf numFmtId="165" fontId="10" fillId="0" borderId="5" xfId="0" applyNumberFormat="1" applyFont="1" applyBorder="1" applyAlignment="1">
      <alignment horizontal="right" vertical="center"/>
    </xf>
    <xf numFmtId="164" fontId="10" fillId="0" borderId="5" xfId="1" applyNumberFormat="1" applyFont="1" applyBorder="1" applyAlignment="1">
      <alignment horizontal="right" vertical="center"/>
    </xf>
    <xf numFmtId="0" fontId="10" fillId="6" borderId="5" xfId="0" applyFont="1" applyFill="1" applyBorder="1" applyAlignment="1">
      <alignment horizontal="center" vertical="center"/>
    </xf>
    <xf numFmtId="165" fontId="10" fillId="6" borderId="5" xfId="0" applyNumberFormat="1" applyFont="1" applyFill="1" applyBorder="1" applyAlignment="1">
      <alignment horizontal="center" vertical="center"/>
    </xf>
    <xf numFmtId="164" fontId="10" fillId="6" borderId="5" xfId="1" applyNumberFormat="1" applyFont="1" applyFill="1" applyBorder="1" applyAlignment="1">
      <alignment horizontal="center" vertical="center"/>
    </xf>
    <xf numFmtId="165" fontId="10" fillId="6" borderId="5" xfId="0" applyNumberFormat="1" applyFont="1" applyFill="1" applyBorder="1" applyAlignment="1">
      <alignment horizontal="right" vertical="center"/>
    </xf>
    <xf numFmtId="164" fontId="10" fillId="6" borderId="5" xfId="1" applyNumberFormat="1" applyFont="1" applyFill="1" applyBorder="1" applyAlignment="1">
      <alignment horizontal="right" vertical="center"/>
    </xf>
    <xf numFmtId="0" fontId="18" fillId="0" borderId="12" xfId="0" applyFont="1" applyBorder="1" applyAlignment="1">
      <alignment vertical="center"/>
    </xf>
    <xf numFmtId="0" fontId="4" fillId="13" borderId="4" xfId="0" applyFont="1" applyFill="1" applyBorder="1" applyAlignment="1">
      <alignment horizontal="center" vertical="center" wrapText="1"/>
    </xf>
    <xf numFmtId="0" fontId="9" fillId="14" borderId="13" xfId="0" applyFont="1" applyFill="1" applyBorder="1" applyAlignment="1">
      <alignment horizontal="center" vertical="top" wrapText="1"/>
    </xf>
    <xf numFmtId="0" fontId="9" fillId="0" borderId="13" xfId="0" applyFont="1" applyBorder="1" applyAlignment="1">
      <alignment horizontal="left" vertical="top" wrapText="1" indent="1"/>
    </xf>
    <xf numFmtId="165" fontId="9" fillId="0" borderId="13" xfId="0" applyNumberFormat="1" applyFont="1" applyBorder="1" applyAlignment="1">
      <alignment horizontal="center" vertical="top" wrapText="1"/>
    </xf>
    <xf numFmtId="0" fontId="10" fillId="0" borderId="13" xfId="0" applyFont="1" applyBorder="1" applyAlignment="1">
      <alignment horizontal="left" vertical="top" wrapText="1" indent="1"/>
    </xf>
    <xf numFmtId="0" fontId="19" fillId="0" borderId="14" xfId="0" applyFont="1" applyBorder="1" applyAlignment="1">
      <alignment vertical="center"/>
    </xf>
    <xf numFmtId="0" fontId="4" fillId="15" borderId="4" xfId="0" applyFont="1" applyFill="1" applyBorder="1" applyAlignment="1">
      <alignment horizontal="center" vertical="center" wrapText="1"/>
    </xf>
    <xf numFmtId="0" fontId="9" fillId="16" borderId="13" xfId="0" applyFont="1" applyFill="1" applyBorder="1" applyAlignment="1">
      <alignment horizontal="center" vertical="top" wrapText="1"/>
    </xf>
    <xf numFmtId="0" fontId="5" fillId="0" borderId="5" xfId="0" applyFont="1" applyBorder="1" applyAlignment="1">
      <alignment horizontal="center" vertical="center"/>
    </xf>
    <xf numFmtId="164" fontId="13" fillId="0" borderId="5" xfId="1" applyNumberFormat="1" applyFont="1" applyBorder="1" applyAlignment="1">
      <alignment horizontal="right" vertical="center"/>
    </xf>
    <xf numFmtId="10" fontId="13" fillId="0" borderId="5" xfId="1" applyNumberFormat="1" applyFont="1" applyBorder="1" applyAlignment="1">
      <alignment horizontal="right" vertical="center"/>
    </xf>
    <xf numFmtId="165" fontId="6" fillId="0" borderId="5" xfId="0" applyNumberFormat="1" applyFont="1" applyBorder="1" applyAlignment="1">
      <alignment horizontal="right" vertical="center"/>
    </xf>
    <xf numFmtId="166" fontId="13" fillId="0" borderId="5" xfId="1" applyNumberFormat="1" applyFont="1" applyBorder="1" applyAlignment="1">
      <alignment horizontal="right" vertical="center"/>
    </xf>
    <xf numFmtId="0" fontId="5" fillId="6" borderId="5" xfId="0" applyFont="1" applyFill="1" applyBorder="1" applyAlignment="1">
      <alignment horizontal="center" vertical="center"/>
    </xf>
    <xf numFmtId="164" fontId="13" fillId="6" borderId="5" xfId="1" applyNumberFormat="1" applyFont="1" applyFill="1" applyBorder="1" applyAlignment="1">
      <alignment horizontal="right" vertical="center"/>
    </xf>
    <xf numFmtId="10" fontId="13" fillId="6" borderId="5" xfId="1" applyNumberFormat="1" applyFont="1" applyFill="1" applyBorder="1" applyAlignment="1">
      <alignment horizontal="right" vertical="center"/>
    </xf>
    <xf numFmtId="165" fontId="6" fillId="6" borderId="5" xfId="0" applyNumberFormat="1" applyFont="1" applyFill="1" applyBorder="1" applyAlignment="1">
      <alignment horizontal="right" vertical="center"/>
    </xf>
    <xf numFmtId="166" fontId="13" fillId="6" borderId="5" xfId="1" applyNumberFormat="1" applyFont="1" applyFill="1" applyBorder="1" applyAlignment="1">
      <alignment horizontal="right" vertical="center"/>
    </xf>
    <xf numFmtId="10" fontId="4" fillId="3" borderId="7" xfId="1" applyNumberFormat="1" applyFont="1" applyFill="1" applyBorder="1" applyAlignment="1">
      <alignment horizontal="right" vertical="center"/>
    </xf>
    <xf numFmtId="166" fontId="4" fillId="3" borderId="7" xfId="1" applyNumberFormat="1" applyFont="1" applyFill="1" applyBorder="1" applyAlignment="1">
      <alignment horizontal="right" vertical="center"/>
    </xf>
    <xf numFmtId="0" fontId="4" fillId="17" borderId="4" xfId="0" applyFont="1" applyFill="1" applyBorder="1" applyAlignment="1">
      <alignment horizontal="center" vertical="center" wrapText="1"/>
    </xf>
    <xf numFmtId="167" fontId="14" fillId="0" borderId="5" xfId="0" applyNumberFormat="1" applyFont="1" applyBorder="1" applyAlignment="1">
      <alignment horizontal="right" vertical="center"/>
    </xf>
    <xf numFmtId="167" fontId="10" fillId="0" borderId="5" xfId="0" applyNumberFormat="1" applyFont="1" applyBorder="1" applyAlignment="1">
      <alignment horizontal="right" vertical="center"/>
    </xf>
    <xf numFmtId="167" fontId="15" fillId="6" borderId="5" xfId="0" applyNumberFormat="1" applyFont="1" applyFill="1" applyBorder="1" applyAlignment="1">
      <alignment horizontal="right" vertical="center"/>
    </xf>
    <xf numFmtId="164" fontId="9" fillId="6" borderId="5" xfId="1" applyNumberFormat="1" applyFont="1" applyFill="1" applyBorder="1" applyAlignment="1">
      <alignment horizontal="right" vertical="center"/>
    </xf>
    <xf numFmtId="167" fontId="9" fillId="6" borderId="5" xfId="0" applyNumberFormat="1" applyFont="1" applyFill="1" applyBorder="1" applyAlignment="1">
      <alignment horizontal="right" vertical="center"/>
    </xf>
    <xf numFmtId="0" fontId="9" fillId="6" borderId="15" xfId="0" applyFont="1" applyFill="1" applyBorder="1" applyAlignment="1">
      <alignment horizontal="left" vertical="center" indent="1"/>
    </xf>
    <xf numFmtId="167" fontId="15" fillId="6" borderId="15" xfId="0" applyNumberFormat="1" applyFont="1" applyFill="1" applyBorder="1" applyAlignment="1">
      <alignment horizontal="right" vertical="center"/>
    </xf>
    <xf numFmtId="164" fontId="9" fillId="6" borderId="15" xfId="1" applyNumberFormat="1" applyFont="1" applyFill="1" applyBorder="1" applyAlignment="1">
      <alignment horizontal="right" vertical="center"/>
    </xf>
    <xf numFmtId="167" fontId="9" fillId="6" borderId="15" xfId="0" applyNumberFormat="1" applyFont="1" applyFill="1" applyBorder="1" applyAlignment="1">
      <alignment horizontal="right" vertical="center"/>
    </xf>
    <xf numFmtId="0" fontId="0" fillId="0" borderId="0" xfId="0" applyBorder="1" applyAlignment="1">
      <alignment horizontal="center"/>
    </xf>
    <xf numFmtId="0" fontId="10" fillId="0" borderId="5" xfId="0" applyFont="1" applyBorder="1" applyAlignment="1">
      <alignment horizontal="left" indent="1"/>
    </xf>
    <xf numFmtId="165" fontId="9" fillId="0" borderId="5" xfId="0" applyNumberFormat="1" applyFont="1" applyBorder="1" applyAlignment="1">
      <alignment horizontal="right"/>
    </xf>
    <xf numFmtId="0" fontId="20" fillId="0" borderId="16" xfId="0" applyFont="1" applyBorder="1" applyAlignment="1">
      <alignment vertical="center"/>
    </xf>
    <xf numFmtId="0" fontId="21" fillId="16" borderId="13" xfId="0" applyFont="1" applyFill="1" applyBorder="1" applyAlignment="1">
      <alignment horizontal="left" vertical="top" indent="1"/>
    </xf>
    <xf numFmtId="0" fontId="15" fillId="14" borderId="13" xfId="0" applyFont="1" applyFill="1" applyBorder="1" applyAlignment="1">
      <alignment horizontal="left" vertical="top" indent="1"/>
    </xf>
    <xf numFmtId="0" fontId="22" fillId="18" borderId="13" xfId="0" applyFont="1" applyFill="1" applyBorder="1" applyAlignment="1">
      <alignment horizontal="left" vertical="top" indent="1"/>
    </xf>
    <xf numFmtId="0" fontId="4" fillId="3" borderId="5" xfId="0" applyFont="1" applyFill="1" applyBorder="1" applyAlignment="1">
      <alignment horizontal="left" vertical="center" indent="1"/>
    </xf>
    <xf numFmtId="165" fontId="4" fillId="3" borderId="5" xfId="0" applyNumberFormat="1" applyFont="1" applyFill="1" applyBorder="1" applyAlignment="1">
      <alignment horizontal="right" vertical="center"/>
    </xf>
    <xf numFmtId="164" fontId="4" fillId="3" borderId="5" xfId="1" applyNumberFormat="1" applyFont="1" applyFill="1" applyBorder="1" applyAlignment="1">
      <alignment horizontal="right" vertical="center"/>
    </xf>
    <xf numFmtId="0" fontId="24" fillId="0" borderId="18" xfId="0" applyFont="1" applyBorder="1" applyAlignment="1">
      <alignment vertical="center"/>
    </xf>
    <xf numFmtId="0" fontId="4" fillId="3" borderId="4" xfId="0" applyFont="1" applyFill="1" applyBorder="1" applyAlignment="1">
      <alignment horizontal="left" vertical="center" indent="1"/>
    </xf>
    <xf numFmtId="0" fontId="25" fillId="7" borderId="13" xfId="0" applyFont="1" applyFill="1" applyBorder="1" applyAlignment="1">
      <alignment horizontal="left" vertical="top" wrapText="1" indent="1"/>
    </xf>
    <xf numFmtId="0" fontId="10" fillId="19" borderId="13" xfId="0" applyFont="1" applyFill="1" applyBorder="1" applyAlignment="1">
      <alignment horizontal="left" vertical="top" wrapText="1" indent="1"/>
    </xf>
    <xf numFmtId="0" fontId="10" fillId="18" borderId="13" xfId="0" applyFont="1" applyFill="1" applyBorder="1" applyAlignment="1">
      <alignment horizontal="left" vertical="top" wrapText="1" indent="1"/>
    </xf>
    <xf numFmtId="0" fontId="0" fillId="18" borderId="13" xfId="0" applyFill="1" applyBorder="1"/>
    <xf numFmtId="0" fontId="10" fillId="14" borderId="13" xfId="0" applyFont="1" applyFill="1" applyBorder="1" applyAlignment="1">
      <alignment horizontal="left" vertical="top" wrapText="1" indent="1"/>
    </xf>
    <xf numFmtId="0" fontId="0" fillId="14" borderId="13" xfId="0" applyFill="1" applyBorder="1"/>
    <xf numFmtId="0" fontId="10" fillId="16" borderId="13" xfId="0" applyFont="1" applyFill="1" applyBorder="1" applyAlignment="1">
      <alignment horizontal="left" vertical="top" wrapText="1" indent="1"/>
    </xf>
    <xf numFmtId="0" fontId="0" fillId="16" borderId="13" xfId="0" applyFill="1" applyBorder="1"/>
    <xf numFmtId="0" fontId="4" fillId="4" borderId="3" xfId="0" applyFont="1" applyFill="1" applyBorder="1" applyAlignment="1">
      <alignment horizontal="left" vertical="center" wrapText="1" indent="1"/>
    </xf>
    <xf numFmtId="0" fontId="4" fillId="4" borderId="3" xfId="0" applyFont="1" applyFill="1" applyBorder="1" applyAlignment="1">
      <alignment horizontal="left" vertical="center" indent="1"/>
    </xf>
    <xf numFmtId="0" fontId="4" fillId="10" borderId="3" xfId="0" applyFont="1" applyFill="1" applyBorder="1" applyAlignment="1">
      <alignment horizontal="left" vertical="center" wrapText="1" indent="1"/>
    </xf>
    <xf numFmtId="0" fontId="4" fillId="10" borderId="3" xfId="0" applyFont="1" applyFill="1" applyBorder="1" applyAlignment="1">
      <alignment horizontal="left" vertical="center" indent="1"/>
    </xf>
    <xf numFmtId="0" fontId="4" fillId="11" borderId="3" xfId="0" applyFont="1" applyFill="1" applyBorder="1" applyAlignment="1">
      <alignment horizontal="left" vertical="center" wrapText="1" indent="1"/>
    </xf>
    <xf numFmtId="0" fontId="4" fillId="11" borderId="3" xfId="0" applyFont="1" applyFill="1" applyBorder="1" applyAlignment="1">
      <alignment horizontal="left" vertical="center" indent="1"/>
    </xf>
    <xf numFmtId="0" fontId="10" fillId="19" borderId="17" xfId="0" applyFont="1" applyFill="1" applyBorder="1" applyAlignment="1">
      <alignment horizontal="left" vertical="center" wrapText="1" indent="1"/>
    </xf>
    <xf numFmtId="0" fontId="0" fillId="19" borderId="13" xfId="0" applyFill="1" applyBorder="1"/>
    <xf numFmtId="0" fontId="10" fillId="18" borderId="19" xfId="0" applyFont="1" applyFill="1" applyBorder="1" applyAlignment="1">
      <alignment horizontal="left" vertical="center" wrapText="1" indent="1"/>
    </xf>
    <xf numFmtId="0" fontId="23" fillId="0" borderId="0" xfId="0" applyFont="1" applyBorder="1" applyAlignment="1">
      <alignment horizontal="left" vertical="center" indent="1"/>
    </xf>
    <xf numFmtId="0" fontId="0" fillId="0" borderId="0" xfId="0" applyBorder="1"/>
    <xf numFmtId="0" fontId="3" fillId="3" borderId="0" xfId="0" applyFont="1" applyFill="1" applyBorder="1" applyAlignment="1">
      <alignment horizontal="left" vertical="center" wrapText="1" indent="1"/>
    </xf>
    <xf numFmtId="0" fontId="3" fillId="3" borderId="0" xfId="0" applyFont="1" applyFill="1" applyBorder="1" applyAlignment="1">
      <alignment horizontal="left" vertical="center" indent="1"/>
    </xf>
  </cellXfs>
  <cellStyles count="2">
    <cellStyle name="Normal" xfId="0" builtinId="0"/>
    <cellStyle name="Percent" xfId="1" builtinId="5"/>
  </cellStyles>
  <dxfs count="36">
    <dxf>
      <font>
        <color rgb="FFB91C1C"/>
      </font>
    </dxf>
    <dxf>
      <font>
        <color rgb="FF15803D"/>
      </font>
    </dxf>
    <dxf>
      <font>
        <color rgb="FFB91C1C"/>
      </font>
    </dxf>
    <dxf>
      <font>
        <color rgb="FF15803D"/>
      </font>
    </dxf>
    <dxf>
      <font>
        <color rgb="FFB91C1C"/>
      </font>
    </dxf>
    <dxf>
      <font>
        <color rgb="FF15803D"/>
      </font>
    </dxf>
    <dxf>
      <font>
        <color rgb="FFB91C1C"/>
      </font>
    </dxf>
    <dxf>
      <font>
        <color rgb="FF15803D"/>
      </font>
    </dxf>
    <dxf>
      <font>
        <color rgb="FFB91C1C"/>
      </font>
    </dxf>
    <dxf>
      <font>
        <color rgb="FF15803D"/>
      </font>
    </dxf>
    <dxf>
      <font>
        <color rgb="FFB91C1C"/>
      </font>
    </dxf>
    <dxf>
      <font>
        <color rgb="FF15803D"/>
      </font>
    </dxf>
    <dxf>
      <font>
        <color rgb="FFB91C1C"/>
      </font>
    </dxf>
    <dxf>
      <font>
        <color rgb="FF15803D"/>
      </font>
    </dxf>
    <dxf>
      <font>
        <color rgb="FFB91C1C"/>
      </font>
    </dxf>
    <dxf>
      <font>
        <color rgb="FF15803D"/>
      </font>
    </dxf>
    <dxf>
      <font>
        <color rgb="FFB91C1C"/>
      </font>
    </dxf>
    <dxf>
      <font>
        <color rgb="FF15803D"/>
      </font>
    </dxf>
    <dxf>
      <font>
        <b/>
        <color rgb="FF991B1B"/>
      </font>
      <fill>
        <patternFill patternType="solid">
          <fgColor rgb="FFFEE2E2"/>
          <bgColor rgb="FFFEE2E2"/>
        </patternFill>
      </fill>
    </dxf>
    <dxf>
      <font>
        <b/>
        <color rgb="FF166534"/>
      </font>
      <fill>
        <patternFill patternType="solid">
          <fgColor rgb="FFDCFCE7"/>
          <bgColor rgb="FFDCFCE7"/>
        </patternFill>
      </fill>
    </dxf>
    <dxf>
      <font>
        <b/>
        <color rgb="FF991B1B"/>
      </font>
      <fill>
        <patternFill patternType="solid">
          <fgColor rgb="FFFEE2E2"/>
          <bgColor rgb="FFFEE2E2"/>
        </patternFill>
      </fill>
    </dxf>
    <dxf>
      <font>
        <b/>
        <color rgb="FF166534"/>
      </font>
      <fill>
        <patternFill patternType="solid">
          <fgColor rgb="FFDCFCE7"/>
          <bgColor rgb="FFDCFCE7"/>
        </patternFill>
      </fill>
    </dxf>
    <dxf>
      <font>
        <color rgb="FFB91C1C"/>
      </font>
    </dxf>
    <dxf>
      <font>
        <color rgb="FF15803D"/>
      </font>
    </dxf>
    <dxf>
      <font>
        <color rgb="FF15803D"/>
      </font>
    </dxf>
    <dxf>
      <font>
        <color rgb="FFB91C1C"/>
      </font>
    </dxf>
    <dxf>
      <font>
        <color rgb="FFB91C1C"/>
      </font>
    </dxf>
    <dxf>
      <font>
        <color rgb="FF15803D"/>
      </font>
    </dxf>
    <dxf>
      <font>
        <color rgb="FF15803D"/>
      </font>
    </dxf>
    <dxf>
      <font>
        <color rgb="FFB91C1C"/>
      </font>
    </dxf>
    <dxf>
      <font>
        <color rgb="FF15803D"/>
      </font>
    </dxf>
    <dxf>
      <font>
        <color rgb="FFB91C1C"/>
      </font>
    </dxf>
    <dxf>
      <font>
        <color rgb="FFB91C1C"/>
      </font>
    </dxf>
    <dxf>
      <font>
        <color rgb="FF15803D"/>
      </font>
    </dxf>
    <dxf>
      <font>
        <color rgb="FFB91C1C"/>
      </font>
    </dxf>
    <dxf>
      <font>
        <color rgb="FF15803D"/>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73763"/>
                </a:solidFill>
              </a:defRPr>
            </a:pPr>
            <a:r>
              <a:rPr lang="en-US" sz="1200" b="1">
                <a:solidFill>
                  <a:srgbClr val="073763"/>
                </a:solidFill>
              </a:rPr>
              <a:t>FX Conversion and Stablecoin Settlement carry 62% of FY26 Base TPV</a:t>
            </a:r>
          </a:p>
        </c:rich>
      </c:tx>
      <c:overlay val="0"/>
    </c:title>
    <c:autoTitleDeleted val="0"/>
    <c:plotArea>
      <c:layout/>
      <c:barChart>
        <c:barDir val="col"/>
        <c:grouping val="clustered"/>
        <c:varyColors val="1"/>
        <c:ser>
          <c:idx val="0"/>
          <c:order val="0"/>
          <c:tx>
            <c:strRef>
              <c:f>'Summary-Product'!$B$5</c:f>
              <c:strCache>
                <c:ptCount val="1"/>
                <c:pt idx="0">
                  <c:v>FY25 Actual</c:v>
                </c:pt>
              </c:strCache>
            </c:strRef>
          </c:tx>
          <c:spPr>
            <a:solidFill>
              <a:srgbClr val="94A3B8"/>
            </a:solidFill>
            <a:ln>
              <a:solidFill>
                <a:srgbClr val="94A3B8"/>
              </a:solidFill>
              <a:prstDash val="solid"/>
            </a:ln>
          </c:spPr>
          <c:invertIfNegative val="0"/>
          <c:cat>
            <c:strRef>
              <c:f>'Summary-Product'!$A$6:$A$10</c:f>
              <c:strCache>
                <c:ptCount val="5"/>
                <c:pt idx="0">
                  <c:v>Cross-border Payouts</c:v>
                </c:pt>
                <c:pt idx="1">
                  <c:v>FX Conversion</c:v>
                </c:pt>
                <c:pt idx="2">
                  <c:v>Stablecoin Settlement</c:v>
                </c:pt>
                <c:pt idx="3">
                  <c:v>Treasury Yield</c:v>
                </c:pt>
                <c:pt idx="4">
                  <c:v>Virtual Accounts</c:v>
                </c:pt>
              </c:strCache>
            </c:strRef>
          </c:cat>
          <c:val>
            <c:numRef>
              <c:f>'Summary-Product'!$B$6:$B$10</c:f>
              <c:numCache>
                <c:formatCode>\$#\ ##0</c:formatCode>
                <c:ptCount val="5"/>
                <c:pt idx="0">
                  <c:v>945575419.82000005</c:v>
                </c:pt>
                <c:pt idx="1">
                  <c:v>1470617000.5300004</c:v>
                </c:pt>
                <c:pt idx="2">
                  <c:v>2270051032.5099998</c:v>
                </c:pt>
                <c:pt idx="3">
                  <c:v>612302776.43000007</c:v>
                </c:pt>
                <c:pt idx="4">
                  <c:v>920278396.56999981</c:v>
                </c:pt>
              </c:numCache>
            </c:numRef>
          </c:val>
          <c:extLst>
            <c:ext xmlns:c16="http://schemas.microsoft.com/office/drawing/2014/chart" uri="{C3380CC4-5D6E-409C-BE32-E72D297353CC}">
              <c16:uniqueId val="{00000000-E41F-4C8A-96E2-BEDE77323A92}"/>
            </c:ext>
          </c:extLst>
        </c:ser>
        <c:ser>
          <c:idx val="1"/>
          <c:order val="1"/>
          <c:tx>
            <c:strRef>
              <c:f>'Summary-Product'!$C$5</c:f>
              <c:strCache>
                <c:ptCount val="1"/>
                <c:pt idx="0">
                  <c:v>FY26 Base</c:v>
                </c:pt>
              </c:strCache>
            </c:strRef>
          </c:tx>
          <c:spPr>
            <a:solidFill>
              <a:srgbClr val="0F766E"/>
            </a:solidFill>
            <a:ln>
              <a:solidFill>
                <a:srgbClr val="0F766E"/>
              </a:solidFill>
              <a:prstDash val="solid"/>
            </a:ln>
          </c:spPr>
          <c:invertIfNegative val="0"/>
          <c:cat>
            <c:strRef>
              <c:f>'Summary-Product'!$A$6:$A$10</c:f>
              <c:strCache>
                <c:ptCount val="5"/>
                <c:pt idx="0">
                  <c:v>Cross-border Payouts</c:v>
                </c:pt>
                <c:pt idx="1">
                  <c:v>FX Conversion</c:v>
                </c:pt>
                <c:pt idx="2">
                  <c:v>Stablecoin Settlement</c:v>
                </c:pt>
                <c:pt idx="3">
                  <c:v>Treasury Yield</c:v>
                </c:pt>
                <c:pt idx="4">
                  <c:v>Virtual Accounts</c:v>
                </c:pt>
              </c:strCache>
            </c:strRef>
          </c:cat>
          <c:val>
            <c:numRef>
              <c:f>'Summary-Product'!$C$6:$C$10</c:f>
              <c:numCache>
                <c:formatCode>\$#\ ##0</c:formatCode>
                <c:ptCount val="5"/>
                <c:pt idx="0">
                  <c:v>1058781101.3438001</c:v>
                </c:pt>
                <c:pt idx="1">
                  <c:v>1646669718.6327002</c:v>
                </c:pt>
                <c:pt idx="2">
                  <c:v>2813619850.6526003</c:v>
                </c:pt>
                <c:pt idx="3">
                  <c:v>685604366.14119971</c:v>
                </c:pt>
                <c:pt idx="4">
                  <c:v>1030458664.8453001</c:v>
                </c:pt>
              </c:numCache>
            </c:numRef>
          </c:val>
          <c:extLst>
            <c:ext xmlns:c16="http://schemas.microsoft.com/office/drawing/2014/chart" uri="{C3380CC4-5D6E-409C-BE32-E72D297353CC}">
              <c16:uniqueId val="{00000001-E41F-4C8A-96E2-BEDE77323A92}"/>
            </c:ext>
          </c:extLst>
        </c:ser>
        <c:ser>
          <c:idx val="2"/>
          <c:order val="2"/>
          <c:tx>
            <c:strRef>
              <c:f>'Summary-Product'!$D$5</c:f>
              <c:strCache>
                <c:ptCount val="1"/>
                <c:pt idx="0">
                  <c:v>FY26 Best</c:v>
                </c:pt>
              </c:strCache>
            </c:strRef>
          </c:tx>
          <c:spPr>
            <a:solidFill>
              <a:srgbClr val="2563EB"/>
            </a:solidFill>
            <a:ln>
              <a:solidFill>
                <a:srgbClr val="2563EB"/>
              </a:solidFill>
              <a:prstDash val="solid"/>
            </a:ln>
          </c:spPr>
          <c:invertIfNegative val="0"/>
          <c:cat>
            <c:strRef>
              <c:f>'Summary-Product'!$A$6:$A$10</c:f>
              <c:strCache>
                <c:ptCount val="5"/>
                <c:pt idx="0">
                  <c:v>Cross-border Payouts</c:v>
                </c:pt>
                <c:pt idx="1">
                  <c:v>FX Conversion</c:v>
                </c:pt>
                <c:pt idx="2">
                  <c:v>Stablecoin Settlement</c:v>
                </c:pt>
                <c:pt idx="3">
                  <c:v>Treasury Yield</c:v>
                </c:pt>
                <c:pt idx="4">
                  <c:v>Virtual Accounts</c:v>
                </c:pt>
              </c:strCache>
            </c:strRef>
          </c:cat>
          <c:val>
            <c:numRef>
              <c:f>'Summary-Product'!$D$6:$D$10</c:f>
              <c:numCache>
                <c:formatCode>\$#\ ##0</c:formatCode>
                <c:ptCount val="5"/>
                <c:pt idx="0">
                  <c:v>1171986782.8675992</c:v>
                </c:pt>
                <c:pt idx="1">
                  <c:v>1822722436.7354004</c:v>
                </c:pt>
                <c:pt idx="2">
                  <c:v>3357188668.7952013</c:v>
                </c:pt>
                <c:pt idx="3">
                  <c:v>758905955.85240006</c:v>
                </c:pt>
                <c:pt idx="4">
                  <c:v>1140638933.1205997</c:v>
                </c:pt>
              </c:numCache>
            </c:numRef>
          </c:val>
          <c:extLst>
            <c:ext xmlns:c16="http://schemas.microsoft.com/office/drawing/2014/chart" uri="{C3380CC4-5D6E-409C-BE32-E72D297353CC}">
              <c16:uniqueId val="{00000002-E41F-4C8A-96E2-BEDE77323A92}"/>
            </c:ext>
          </c:extLst>
        </c:ser>
        <c:ser>
          <c:idx val="3"/>
          <c:order val="3"/>
          <c:tx>
            <c:strRef>
              <c:f>'Summary-Product'!$E$5</c:f>
              <c:strCache>
                <c:ptCount val="1"/>
                <c:pt idx="0">
                  <c:v>FY26 Worst</c:v>
                </c:pt>
              </c:strCache>
            </c:strRef>
          </c:tx>
          <c:spPr>
            <a:solidFill>
              <a:srgbClr val="EA580C"/>
            </a:solidFill>
            <a:ln>
              <a:solidFill>
                <a:srgbClr val="EA580C"/>
              </a:solidFill>
              <a:prstDash val="solid"/>
            </a:ln>
          </c:spPr>
          <c:invertIfNegative val="0"/>
          <c:cat>
            <c:strRef>
              <c:f>'Summary-Product'!$A$6:$A$10</c:f>
              <c:strCache>
                <c:ptCount val="5"/>
                <c:pt idx="0">
                  <c:v>Cross-border Payouts</c:v>
                </c:pt>
                <c:pt idx="1">
                  <c:v>FX Conversion</c:v>
                </c:pt>
                <c:pt idx="2">
                  <c:v>Stablecoin Settlement</c:v>
                </c:pt>
                <c:pt idx="3">
                  <c:v>Treasury Yield</c:v>
                </c:pt>
                <c:pt idx="4">
                  <c:v>Virtual Accounts</c:v>
                </c:pt>
              </c:strCache>
            </c:strRef>
          </c:cat>
          <c:val>
            <c:numRef>
              <c:f>'Summary-Product'!$E$6:$E$10</c:f>
              <c:numCache>
                <c:formatCode>\$#\ ##0</c:formatCode>
                <c:ptCount val="5"/>
                <c:pt idx="0">
                  <c:v>1002178260.5819001</c:v>
                </c:pt>
                <c:pt idx="1">
                  <c:v>1558643359.5813498</c:v>
                </c:pt>
                <c:pt idx="2">
                  <c:v>2541835441.5813007</c:v>
                </c:pt>
                <c:pt idx="3">
                  <c:v>648953571.28559995</c:v>
                </c:pt>
                <c:pt idx="4">
                  <c:v>975368530.70764983</c:v>
                </c:pt>
              </c:numCache>
            </c:numRef>
          </c:val>
          <c:extLst>
            <c:ext xmlns:c16="http://schemas.microsoft.com/office/drawing/2014/chart" uri="{C3380CC4-5D6E-409C-BE32-E72D297353CC}">
              <c16:uniqueId val="{00000003-E41F-4C8A-96E2-BEDE77323A9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w="9525">
            <a:solidFill>
              <a:srgbClr val="94A3B8"/>
            </a:solidFill>
            <a:prstDash val="solid"/>
          </a:ln>
        </c:spPr>
        <c:txPr>
          <a:bodyPr/>
          <a:lstStyle/>
          <a:p>
            <a:pPr>
              <a:defRPr sz="900">
                <a:solidFill>
                  <a:srgbClr val="475569"/>
                </a:solidFill>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2E8F0"/>
              </a:solidFill>
              <a:prstDash val="solid"/>
            </a:ln>
          </c:spPr>
        </c:majorGridlines>
        <c:numFmt formatCode="\$#,##0,,&quot;M&quot;" sourceLinked="0"/>
        <c:majorTickMark val="none"/>
        <c:minorTickMark val="none"/>
        <c:tickLblPos val="nextTo"/>
        <c:spPr>
          <a:ln>
            <a:noFill/>
            <a:prstDash val="solid"/>
          </a:ln>
        </c:spPr>
        <c:txPr>
          <a:bodyPr/>
          <a:lstStyle/>
          <a:p>
            <a:pPr>
              <a:defRPr sz="900">
                <a:solidFill>
                  <a:srgbClr val="475569"/>
                </a:solidFill>
              </a:defRPr>
            </a:pPr>
            <a:endParaRPr lang="en-US"/>
          </a:p>
        </c:txPr>
        <c:crossAx val="10"/>
        <c:crosses val="autoZero"/>
        <c:crossBetween val="between"/>
      </c:valAx>
    </c:plotArea>
    <c:legend>
      <c:legendPos val="b"/>
      <c:overlay val="0"/>
      <c:txPr>
        <a:bodyPr/>
        <a:lstStyle/>
        <a:p>
          <a:pPr>
            <a:defRPr sz="900">
              <a:solidFill>
                <a:srgbClr val="475569"/>
              </a:solidFill>
            </a:defRPr>
          </a:pPr>
          <a:endParaRPr lang="en-US"/>
        </a:p>
      </c:txPr>
    </c:legend>
    <c:plotVisOnly val="1"/>
    <c:dispBlanksAs val="gap"/>
    <c:showDLblsOverMax val="1"/>
  </c:chart>
  <c:spPr>
    <a:ln w="9525">
      <a:solidFill>
        <a:srgbClr val="CBD5E1"/>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73763"/>
                </a:solidFill>
              </a:defRPr>
            </a:pPr>
            <a:r>
              <a:rPr lang="en-US" sz="1200" b="1">
                <a:solidFill>
                  <a:srgbClr val="073763"/>
                </a:solidFill>
              </a:rPr>
              <a:t>FX Conversion and Stablecoin Settlement generate 71% of FY26 Base revenue</a:t>
            </a:r>
          </a:p>
        </c:rich>
      </c:tx>
      <c:overlay val="0"/>
    </c:title>
    <c:autoTitleDeleted val="0"/>
    <c:plotArea>
      <c:layout/>
      <c:barChart>
        <c:barDir val="col"/>
        <c:grouping val="clustered"/>
        <c:varyColors val="1"/>
        <c:ser>
          <c:idx val="0"/>
          <c:order val="0"/>
          <c:tx>
            <c:strRef>
              <c:f>'Summary-Product'!$B$15</c:f>
              <c:strCache>
                <c:ptCount val="1"/>
                <c:pt idx="0">
                  <c:v>FY25 Actual</c:v>
                </c:pt>
              </c:strCache>
            </c:strRef>
          </c:tx>
          <c:spPr>
            <a:solidFill>
              <a:srgbClr val="94A3B8"/>
            </a:solidFill>
            <a:ln>
              <a:solidFill>
                <a:srgbClr val="94A3B8"/>
              </a:solidFill>
              <a:prstDash val="solid"/>
            </a:ln>
          </c:spPr>
          <c:invertIfNegative val="0"/>
          <c:cat>
            <c:strRef>
              <c:f>'Summary-Product'!$A$16:$A$20</c:f>
              <c:strCache>
                <c:ptCount val="5"/>
                <c:pt idx="0">
                  <c:v>Cross-border Payouts</c:v>
                </c:pt>
                <c:pt idx="1">
                  <c:v>FX Conversion</c:v>
                </c:pt>
                <c:pt idx="2">
                  <c:v>Stablecoin Settlement</c:v>
                </c:pt>
                <c:pt idx="3">
                  <c:v>Treasury Yield</c:v>
                </c:pt>
                <c:pt idx="4">
                  <c:v>Virtual Accounts</c:v>
                </c:pt>
              </c:strCache>
            </c:strRef>
          </c:cat>
          <c:val>
            <c:numRef>
              <c:f>'Summary-Product'!$B$16:$B$20</c:f>
              <c:numCache>
                <c:formatCode>\$#\ ##0</c:formatCode>
                <c:ptCount val="5"/>
                <c:pt idx="0">
                  <c:v>7091815.6700000009</c:v>
                </c:pt>
                <c:pt idx="1">
                  <c:v>15441478.559999995</c:v>
                </c:pt>
                <c:pt idx="2">
                  <c:v>14755331.720000001</c:v>
                </c:pt>
                <c:pt idx="3">
                  <c:v>1836908.33</c:v>
                </c:pt>
                <c:pt idx="4">
                  <c:v>4141252.7800000003</c:v>
                </c:pt>
              </c:numCache>
            </c:numRef>
          </c:val>
          <c:extLst>
            <c:ext xmlns:c16="http://schemas.microsoft.com/office/drawing/2014/chart" uri="{C3380CC4-5D6E-409C-BE32-E72D297353CC}">
              <c16:uniqueId val="{00000000-E907-4AFB-BA4A-21839C552CC7}"/>
            </c:ext>
          </c:extLst>
        </c:ser>
        <c:ser>
          <c:idx val="1"/>
          <c:order val="1"/>
          <c:tx>
            <c:strRef>
              <c:f>'Summary-Product'!$C$15</c:f>
              <c:strCache>
                <c:ptCount val="1"/>
                <c:pt idx="0">
                  <c:v>FY26 Base</c:v>
                </c:pt>
              </c:strCache>
            </c:strRef>
          </c:tx>
          <c:spPr>
            <a:solidFill>
              <a:srgbClr val="0F766E"/>
            </a:solidFill>
            <a:ln>
              <a:solidFill>
                <a:srgbClr val="0F766E"/>
              </a:solidFill>
              <a:prstDash val="solid"/>
            </a:ln>
          </c:spPr>
          <c:invertIfNegative val="0"/>
          <c:cat>
            <c:strRef>
              <c:f>'Summary-Product'!$A$16:$A$20</c:f>
              <c:strCache>
                <c:ptCount val="5"/>
                <c:pt idx="0">
                  <c:v>Cross-border Payouts</c:v>
                </c:pt>
                <c:pt idx="1">
                  <c:v>FX Conversion</c:v>
                </c:pt>
                <c:pt idx="2">
                  <c:v>Stablecoin Settlement</c:v>
                </c:pt>
                <c:pt idx="3">
                  <c:v>Treasury Yield</c:v>
                </c:pt>
                <c:pt idx="4">
                  <c:v>Virtual Accounts</c:v>
                </c:pt>
              </c:strCache>
            </c:strRef>
          </c:cat>
          <c:val>
            <c:numRef>
              <c:f>'Summary-Product'!$C$16:$C$20</c:f>
              <c:numCache>
                <c:formatCode>\$#\ ##0</c:formatCode>
                <c:ptCount val="5"/>
                <c:pt idx="0">
                  <c:v>7940858.260078501</c:v>
                </c:pt>
                <c:pt idx="1">
                  <c:v>17290032.045643348</c:v>
                </c:pt>
                <c:pt idx="2">
                  <c:v>18288529.029241905</c:v>
                </c:pt>
                <c:pt idx="3">
                  <c:v>2056813.0984236</c:v>
                </c:pt>
                <c:pt idx="4">
                  <c:v>4637063.9918038491</c:v>
                </c:pt>
              </c:numCache>
            </c:numRef>
          </c:val>
          <c:extLst>
            <c:ext xmlns:c16="http://schemas.microsoft.com/office/drawing/2014/chart" uri="{C3380CC4-5D6E-409C-BE32-E72D297353CC}">
              <c16:uniqueId val="{00000001-E907-4AFB-BA4A-21839C552CC7}"/>
            </c:ext>
          </c:extLst>
        </c:ser>
        <c:ser>
          <c:idx val="2"/>
          <c:order val="2"/>
          <c:tx>
            <c:strRef>
              <c:f>'Summary-Product'!$D$15</c:f>
              <c:strCache>
                <c:ptCount val="1"/>
                <c:pt idx="0">
                  <c:v>FY26 Best</c:v>
                </c:pt>
              </c:strCache>
            </c:strRef>
          </c:tx>
          <c:spPr>
            <a:solidFill>
              <a:srgbClr val="2563EB"/>
            </a:solidFill>
            <a:ln>
              <a:solidFill>
                <a:srgbClr val="2563EB"/>
              </a:solidFill>
              <a:prstDash val="solid"/>
            </a:ln>
          </c:spPr>
          <c:invertIfNegative val="0"/>
          <c:cat>
            <c:strRef>
              <c:f>'Summary-Product'!$A$16:$A$20</c:f>
              <c:strCache>
                <c:ptCount val="5"/>
                <c:pt idx="0">
                  <c:v>Cross-border Payouts</c:v>
                </c:pt>
                <c:pt idx="1">
                  <c:v>FX Conversion</c:v>
                </c:pt>
                <c:pt idx="2">
                  <c:v>Stablecoin Settlement</c:v>
                </c:pt>
                <c:pt idx="3">
                  <c:v>Treasury Yield</c:v>
                </c:pt>
                <c:pt idx="4">
                  <c:v>Virtual Accounts</c:v>
                </c:pt>
              </c:strCache>
            </c:strRef>
          </c:cat>
          <c:val>
            <c:numRef>
              <c:f>'Summary-Product'!$D$16:$D$20</c:f>
              <c:numCache>
                <c:formatCode>\$#\ ##0</c:formatCode>
                <c:ptCount val="5"/>
                <c:pt idx="0">
                  <c:v>8789900.8715070002</c:v>
                </c:pt>
                <c:pt idx="1">
                  <c:v>19138585.585721705</c:v>
                </c:pt>
                <c:pt idx="2">
                  <c:v>21821726.347168796</c:v>
                </c:pt>
                <c:pt idx="3">
                  <c:v>2276717.8675572001</c:v>
                </c:pt>
                <c:pt idx="4">
                  <c:v>5132875.1990427021</c:v>
                </c:pt>
              </c:numCache>
            </c:numRef>
          </c:val>
          <c:extLst>
            <c:ext xmlns:c16="http://schemas.microsoft.com/office/drawing/2014/chart" uri="{C3380CC4-5D6E-409C-BE32-E72D297353CC}">
              <c16:uniqueId val="{00000002-E907-4AFB-BA4A-21839C552CC7}"/>
            </c:ext>
          </c:extLst>
        </c:ser>
        <c:ser>
          <c:idx val="3"/>
          <c:order val="3"/>
          <c:tx>
            <c:strRef>
              <c:f>'Summary-Product'!$E$15</c:f>
              <c:strCache>
                <c:ptCount val="1"/>
                <c:pt idx="0">
                  <c:v>FY26 Worst</c:v>
                </c:pt>
              </c:strCache>
            </c:strRef>
          </c:tx>
          <c:spPr>
            <a:solidFill>
              <a:srgbClr val="EA580C"/>
            </a:solidFill>
            <a:ln>
              <a:solidFill>
                <a:srgbClr val="EA580C"/>
              </a:solidFill>
              <a:prstDash val="solid"/>
            </a:ln>
          </c:spPr>
          <c:invertIfNegative val="0"/>
          <c:cat>
            <c:strRef>
              <c:f>'Summary-Product'!$A$16:$A$20</c:f>
              <c:strCache>
                <c:ptCount val="5"/>
                <c:pt idx="0">
                  <c:v>Cross-border Payouts</c:v>
                </c:pt>
                <c:pt idx="1">
                  <c:v>FX Conversion</c:v>
                </c:pt>
                <c:pt idx="2">
                  <c:v>Stablecoin Settlement</c:v>
                </c:pt>
                <c:pt idx="3">
                  <c:v>Treasury Yield</c:v>
                </c:pt>
                <c:pt idx="4">
                  <c:v>Virtual Accounts</c:v>
                </c:pt>
              </c:strCache>
            </c:strRef>
          </c:cat>
          <c:val>
            <c:numRef>
              <c:f>'Summary-Product'!$E$16:$E$20</c:f>
              <c:numCache>
                <c:formatCode>\$#\ ##0</c:formatCode>
                <c:ptCount val="5"/>
                <c:pt idx="0">
                  <c:v>7516336.9543642486</c:v>
                </c:pt>
                <c:pt idx="1">
                  <c:v>16365755.275604177</c:v>
                </c:pt>
                <c:pt idx="2">
                  <c:v>16521930.370278446</c:v>
                </c:pt>
                <c:pt idx="3">
                  <c:v>1946860.7138568009</c:v>
                </c:pt>
                <c:pt idx="4">
                  <c:v>4389158.3881844264</c:v>
                </c:pt>
              </c:numCache>
            </c:numRef>
          </c:val>
          <c:extLst>
            <c:ext xmlns:c16="http://schemas.microsoft.com/office/drawing/2014/chart" uri="{C3380CC4-5D6E-409C-BE32-E72D297353CC}">
              <c16:uniqueId val="{00000003-E907-4AFB-BA4A-21839C552CC7}"/>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w="9525">
            <a:solidFill>
              <a:srgbClr val="94A3B8"/>
            </a:solidFill>
            <a:prstDash val="solid"/>
          </a:ln>
        </c:spPr>
        <c:txPr>
          <a:bodyPr/>
          <a:lstStyle/>
          <a:p>
            <a:pPr>
              <a:defRPr sz="900">
                <a:solidFill>
                  <a:srgbClr val="475569"/>
                </a:solidFill>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2E8F0"/>
              </a:solidFill>
              <a:prstDash val="solid"/>
            </a:ln>
          </c:spPr>
        </c:majorGridlines>
        <c:numFmt formatCode="\$#,##0.0,,&quot;M&quot;" sourceLinked="0"/>
        <c:majorTickMark val="none"/>
        <c:minorTickMark val="none"/>
        <c:tickLblPos val="nextTo"/>
        <c:spPr>
          <a:ln>
            <a:noFill/>
            <a:prstDash val="solid"/>
          </a:ln>
        </c:spPr>
        <c:txPr>
          <a:bodyPr/>
          <a:lstStyle/>
          <a:p>
            <a:pPr>
              <a:defRPr sz="900">
                <a:solidFill>
                  <a:srgbClr val="475569"/>
                </a:solidFill>
              </a:defRPr>
            </a:pPr>
            <a:endParaRPr lang="en-US"/>
          </a:p>
        </c:txPr>
        <c:crossAx val="10"/>
        <c:crosses val="autoZero"/>
        <c:crossBetween val="between"/>
      </c:valAx>
    </c:plotArea>
    <c:legend>
      <c:legendPos val="b"/>
      <c:overlay val="0"/>
      <c:txPr>
        <a:bodyPr/>
        <a:lstStyle/>
        <a:p>
          <a:pPr>
            <a:defRPr sz="900">
              <a:solidFill>
                <a:srgbClr val="475569"/>
              </a:solidFill>
            </a:defRPr>
          </a:pPr>
          <a:endParaRPr lang="en-US"/>
        </a:p>
      </c:txPr>
    </c:legend>
    <c:plotVisOnly val="1"/>
    <c:dispBlanksAs val="gap"/>
    <c:showDLblsOverMax val="1"/>
  </c:chart>
  <c:spPr>
    <a:ln w="9525">
      <a:solidFill>
        <a:srgbClr val="CBD5E1"/>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73763"/>
                </a:solidFill>
              </a:defRPr>
            </a:pPr>
            <a:r>
              <a:rPr lang="en-US" sz="1200" b="1">
                <a:solidFill>
                  <a:srgbClr val="073763"/>
                </a:solidFill>
              </a:rPr>
              <a:t>FX Conversion is the largest profit source in FY26 Base at $5.3 million</a:t>
            </a:r>
          </a:p>
        </c:rich>
      </c:tx>
      <c:overlay val="0"/>
    </c:title>
    <c:autoTitleDeleted val="0"/>
    <c:plotArea>
      <c:layout/>
      <c:barChart>
        <c:barDir val="col"/>
        <c:grouping val="clustered"/>
        <c:varyColors val="1"/>
        <c:ser>
          <c:idx val="0"/>
          <c:order val="0"/>
          <c:tx>
            <c:strRef>
              <c:f>'Summary-Product'!$B$25</c:f>
              <c:strCache>
                <c:ptCount val="1"/>
                <c:pt idx="0">
                  <c:v>FY25 Actual</c:v>
                </c:pt>
              </c:strCache>
            </c:strRef>
          </c:tx>
          <c:spPr>
            <a:solidFill>
              <a:srgbClr val="94A3B8"/>
            </a:solidFill>
            <a:ln>
              <a:solidFill>
                <a:srgbClr val="94A3B8"/>
              </a:solidFill>
              <a:prstDash val="solid"/>
            </a:ln>
          </c:spPr>
          <c:invertIfNegative val="0"/>
          <c:cat>
            <c:strRef>
              <c:f>'Summary-Product'!$A$26:$A$30</c:f>
              <c:strCache>
                <c:ptCount val="5"/>
                <c:pt idx="0">
                  <c:v>Cross-border Payouts</c:v>
                </c:pt>
                <c:pt idx="1">
                  <c:v>FX Conversion</c:v>
                </c:pt>
                <c:pt idx="2">
                  <c:v>Stablecoin Settlement</c:v>
                </c:pt>
                <c:pt idx="3">
                  <c:v>Treasury Yield</c:v>
                </c:pt>
                <c:pt idx="4">
                  <c:v>Virtual Accounts</c:v>
                </c:pt>
              </c:strCache>
            </c:strRef>
          </c:cat>
          <c:val>
            <c:numRef>
              <c:f>'Summary-Product'!$B$26:$B$30</c:f>
              <c:numCache>
                <c:formatCode>\$#\ ##0</c:formatCode>
                <c:ptCount val="5"/>
                <c:pt idx="0">
                  <c:v>1554044.4000000001</c:v>
                </c:pt>
                <c:pt idx="1">
                  <c:v>4536425.18</c:v>
                </c:pt>
                <c:pt idx="2">
                  <c:v>3638640.3400000003</c:v>
                </c:pt>
                <c:pt idx="3">
                  <c:v>669241.54999999993</c:v>
                </c:pt>
                <c:pt idx="4">
                  <c:v>1399927.7499999998</c:v>
                </c:pt>
              </c:numCache>
            </c:numRef>
          </c:val>
          <c:extLst>
            <c:ext xmlns:c16="http://schemas.microsoft.com/office/drawing/2014/chart" uri="{C3380CC4-5D6E-409C-BE32-E72D297353CC}">
              <c16:uniqueId val="{00000000-3C09-4167-9610-68D6B248078A}"/>
            </c:ext>
          </c:extLst>
        </c:ser>
        <c:ser>
          <c:idx val="1"/>
          <c:order val="1"/>
          <c:tx>
            <c:strRef>
              <c:f>'Summary-Product'!$C$25</c:f>
              <c:strCache>
                <c:ptCount val="1"/>
                <c:pt idx="0">
                  <c:v>FY26 Base</c:v>
                </c:pt>
              </c:strCache>
            </c:strRef>
          </c:tx>
          <c:spPr>
            <a:solidFill>
              <a:srgbClr val="0F766E"/>
            </a:solidFill>
            <a:ln>
              <a:solidFill>
                <a:srgbClr val="0F766E"/>
              </a:solidFill>
              <a:prstDash val="solid"/>
            </a:ln>
          </c:spPr>
          <c:invertIfNegative val="0"/>
          <c:cat>
            <c:strRef>
              <c:f>'Summary-Product'!$A$26:$A$30</c:f>
              <c:strCache>
                <c:ptCount val="5"/>
                <c:pt idx="0">
                  <c:v>Cross-border Payouts</c:v>
                </c:pt>
                <c:pt idx="1">
                  <c:v>FX Conversion</c:v>
                </c:pt>
                <c:pt idx="2">
                  <c:v>Stablecoin Settlement</c:v>
                </c:pt>
                <c:pt idx="3">
                  <c:v>Treasury Yield</c:v>
                </c:pt>
                <c:pt idx="4">
                  <c:v>Virtual Accounts</c:v>
                </c:pt>
              </c:strCache>
            </c:strRef>
          </c:cat>
          <c:val>
            <c:numRef>
              <c:f>'Summary-Product'!$C$26:$C$30</c:f>
              <c:numCache>
                <c:formatCode>\$#\ ##0</c:formatCode>
                <c:ptCount val="5"/>
                <c:pt idx="0">
                  <c:v>1843253.6075308311</c:v>
                </c:pt>
                <c:pt idx="1">
                  <c:v>5312014.6095389007</c:v>
                </c:pt>
                <c:pt idx="2">
                  <c:v>4746272.9835502747</c:v>
                </c:pt>
                <c:pt idx="3">
                  <c:v>771932.0464567832</c:v>
                </c:pt>
                <c:pt idx="4">
                  <c:v>1623923.6536351349</c:v>
                </c:pt>
              </c:numCache>
            </c:numRef>
          </c:val>
          <c:extLst>
            <c:ext xmlns:c16="http://schemas.microsoft.com/office/drawing/2014/chart" uri="{C3380CC4-5D6E-409C-BE32-E72D297353CC}">
              <c16:uniqueId val="{00000001-3C09-4167-9610-68D6B248078A}"/>
            </c:ext>
          </c:extLst>
        </c:ser>
        <c:ser>
          <c:idx val="2"/>
          <c:order val="2"/>
          <c:tx>
            <c:strRef>
              <c:f>'Summary-Product'!$D$25</c:f>
              <c:strCache>
                <c:ptCount val="1"/>
                <c:pt idx="0">
                  <c:v>FY26 Best</c:v>
                </c:pt>
              </c:strCache>
            </c:strRef>
          </c:tx>
          <c:spPr>
            <a:solidFill>
              <a:srgbClr val="2563EB"/>
            </a:solidFill>
            <a:ln>
              <a:solidFill>
                <a:srgbClr val="2563EB"/>
              </a:solidFill>
              <a:prstDash val="solid"/>
            </a:ln>
          </c:spPr>
          <c:invertIfNegative val="0"/>
          <c:cat>
            <c:strRef>
              <c:f>'Summary-Product'!$A$26:$A$30</c:f>
              <c:strCache>
                <c:ptCount val="5"/>
                <c:pt idx="0">
                  <c:v>Cross-border Payouts</c:v>
                </c:pt>
                <c:pt idx="1">
                  <c:v>FX Conversion</c:v>
                </c:pt>
                <c:pt idx="2">
                  <c:v>Stablecoin Settlement</c:v>
                </c:pt>
                <c:pt idx="3">
                  <c:v>Treasury Yield</c:v>
                </c:pt>
                <c:pt idx="4">
                  <c:v>Virtual Accounts</c:v>
                </c:pt>
              </c:strCache>
            </c:strRef>
          </c:cat>
          <c:val>
            <c:numRef>
              <c:f>'Summary-Product'!$D$26:$D$30</c:f>
              <c:numCache>
                <c:formatCode>\$#\ ##0</c:formatCode>
                <c:ptCount val="5"/>
                <c:pt idx="0">
                  <c:v>2480965.0212300131</c:v>
                </c:pt>
                <c:pt idx="1">
                  <c:v>6838638.7392500844</c:v>
                </c:pt>
                <c:pt idx="2">
                  <c:v>6759221.6132591935</c:v>
                </c:pt>
                <c:pt idx="3">
                  <c:v>969033.72355952603</c:v>
                </c:pt>
                <c:pt idx="4">
                  <c:v>2055307.0366443044</c:v>
                </c:pt>
              </c:numCache>
            </c:numRef>
          </c:val>
          <c:extLst>
            <c:ext xmlns:c16="http://schemas.microsoft.com/office/drawing/2014/chart" uri="{C3380CC4-5D6E-409C-BE32-E72D297353CC}">
              <c16:uniqueId val="{00000002-3C09-4167-9610-68D6B248078A}"/>
            </c:ext>
          </c:extLst>
        </c:ser>
        <c:ser>
          <c:idx val="3"/>
          <c:order val="3"/>
          <c:tx>
            <c:strRef>
              <c:f>'Summary-Product'!$E$25</c:f>
              <c:strCache>
                <c:ptCount val="1"/>
                <c:pt idx="0">
                  <c:v>FY26 Worst</c:v>
                </c:pt>
              </c:strCache>
            </c:strRef>
          </c:tx>
          <c:spPr>
            <a:solidFill>
              <a:srgbClr val="EA580C"/>
            </a:solidFill>
            <a:ln>
              <a:solidFill>
                <a:srgbClr val="EA580C"/>
              </a:solidFill>
              <a:prstDash val="solid"/>
            </a:ln>
          </c:spPr>
          <c:invertIfNegative val="0"/>
          <c:cat>
            <c:strRef>
              <c:f>'Summary-Product'!$A$26:$A$30</c:f>
              <c:strCache>
                <c:ptCount val="5"/>
                <c:pt idx="0">
                  <c:v>Cross-border Payouts</c:v>
                </c:pt>
                <c:pt idx="1">
                  <c:v>FX Conversion</c:v>
                </c:pt>
                <c:pt idx="2">
                  <c:v>Stablecoin Settlement</c:v>
                </c:pt>
                <c:pt idx="3">
                  <c:v>Treasury Yield</c:v>
                </c:pt>
                <c:pt idx="4">
                  <c:v>Virtual Accounts</c:v>
                </c:pt>
              </c:strCache>
            </c:strRef>
          </c:cat>
          <c:val>
            <c:numRef>
              <c:f>'Summary-Product'!$E$26:$E$30</c:f>
              <c:numCache>
                <c:formatCode>\$#\ ##0</c:formatCode>
                <c:ptCount val="5"/>
                <c:pt idx="0">
                  <c:v>1368328.5747507031</c:v>
                </c:pt>
                <c:pt idx="1">
                  <c:v>4208879.4205461415</c:v>
                </c:pt>
                <c:pt idx="2">
                  <c:v>3459245.3088611155</c:v>
                </c:pt>
                <c:pt idx="3">
                  <c:v>632956.11890150141</c:v>
                </c:pt>
                <c:pt idx="4">
                  <c:v>1317095.9226973958</c:v>
                </c:pt>
              </c:numCache>
            </c:numRef>
          </c:val>
          <c:extLst>
            <c:ext xmlns:c16="http://schemas.microsoft.com/office/drawing/2014/chart" uri="{C3380CC4-5D6E-409C-BE32-E72D297353CC}">
              <c16:uniqueId val="{00000003-3C09-4167-9610-68D6B248078A}"/>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w="9525">
            <a:solidFill>
              <a:srgbClr val="94A3B8"/>
            </a:solidFill>
            <a:prstDash val="solid"/>
          </a:ln>
        </c:spPr>
        <c:txPr>
          <a:bodyPr/>
          <a:lstStyle/>
          <a:p>
            <a:pPr>
              <a:defRPr sz="900">
                <a:solidFill>
                  <a:srgbClr val="475569"/>
                </a:solidFill>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2E8F0"/>
              </a:solidFill>
              <a:prstDash val="solid"/>
            </a:ln>
          </c:spPr>
        </c:majorGridlines>
        <c:numFmt formatCode="\$#,##0.0,,&quot;M&quot;" sourceLinked="0"/>
        <c:majorTickMark val="none"/>
        <c:minorTickMark val="none"/>
        <c:tickLblPos val="nextTo"/>
        <c:spPr>
          <a:ln>
            <a:noFill/>
            <a:prstDash val="solid"/>
          </a:ln>
        </c:spPr>
        <c:txPr>
          <a:bodyPr/>
          <a:lstStyle/>
          <a:p>
            <a:pPr>
              <a:defRPr sz="900">
                <a:solidFill>
                  <a:srgbClr val="475569"/>
                </a:solidFill>
              </a:defRPr>
            </a:pPr>
            <a:endParaRPr lang="en-US"/>
          </a:p>
        </c:txPr>
        <c:crossAx val="10"/>
        <c:crosses val="autoZero"/>
        <c:crossBetween val="between"/>
      </c:valAx>
    </c:plotArea>
    <c:legend>
      <c:legendPos val="b"/>
      <c:overlay val="0"/>
      <c:txPr>
        <a:bodyPr/>
        <a:lstStyle/>
        <a:p>
          <a:pPr>
            <a:defRPr sz="900">
              <a:solidFill>
                <a:srgbClr val="475569"/>
              </a:solidFill>
            </a:defRPr>
          </a:pPr>
          <a:endParaRPr lang="en-US"/>
        </a:p>
      </c:txPr>
    </c:legend>
    <c:plotVisOnly val="1"/>
    <c:dispBlanksAs val="gap"/>
    <c:showDLblsOverMax val="1"/>
  </c:chart>
  <c:spPr>
    <a:ln w="9525">
      <a:solidFill>
        <a:srgbClr val="CBD5E1"/>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73763"/>
                </a:solidFill>
              </a:defRPr>
            </a:pPr>
            <a:r>
              <a:rPr lang="en-US" sz="1200" b="1">
                <a:solidFill>
                  <a:srgbClr val="073763"/>
                </a:solidFill>
              </a:rPr>
              <a:t>USA, Brazil and Mexico carry 67% of FY26 Base TPV</a:t>
            </a:r>
          </a:p>
        </c:rich>
      </c:tx>
      <c:overlay val="0"/>
    </c:title>
    <c:autoTitleDeleted val="0"/>
    <c:plotArea>
      <c:layout/>
      <c:barChart>
        <c:barDir val="col"/>
        <c:grouping val="clustered"/>
        <c:varyColors val="1"/>
        <c:ser>
          <c:idx val="0"/>
          <c:order val="0"/>
          <c:tx>
            <c:strRef>
              <c:f>'Summary-Country'!$B$5</c:f>
              <c:strCache>
                <c:ptCount val="1"/>
                <c:pt idx="0">
                  <c:v>FY25 Actual</c:v>
                </c:pt>
              </c:strCache>
            </c:strRef>
          </c:tx>
          <c:spPr>
            <a:solidFill>
              <a:srgbClr val="94A3B8"/>
            </a:solidFill>
            <a:ln>
              <a:solidFill>
                <a:srgbClr val="94A3B8"/>
              </a:solidFill>
              <a:prstDash val="solid"/>
            </a:ln>
          </c:spPr>
          <c:invertIfNegative val="0"/>
          <c:cat>
            <c:strRef>
              <c:f>'Summary-Country'!$A$6:$A$11</c:f>
              <c:strCache>
                <c:ptCount val="6"/>
                <c:pt idx="0">
                  <c:v>Brazil</c:v>
                </c:pt>
                <c:pt idx="1">
                  <c:v>Germany</c:v>
                </c:pt>
                <c:pt idx="2">
                  <c:v>India</c:v>
                </c:pt>
                <c:pt idx="3">
                  <c:v>Mexico</c:v>
                </c:pt>
                <c:pt idx="4">
                  <c:v>Singapore</c:v>
                </c:pt>
                <c:pt idx="5">
                  <c:v>USA</c:v>
                </c:pt>
              </c:strCache>
            </c:strRef>
          </c:cat>
          <c:val>
            <c:numRef>
              <c:f>'Summary-Country'!$B$6:$B$11</c:f>
              <c:numCache>
                <c:formatCode>\$#\ ##0</c:formatCode>
                <c:ptCount val="6"/>
                <c:pt idx="0">
                  <c:v>1197664933</c:v>
                </c:pt>
                <c:pt idx="1">
                  <c:v>579022150.77999997</c:v>
                </c:pt>
                <c:pt idx="2">
                  <c:v>816451378.55000031</c:v>
                </c:pt>
                <c:pt idx="3">
                  <c:v>968980402.71000004</c:v>
                </c:pt>
                <c:pt idx="4">
                  <c:v>774829017.53999996</c:v>
                </c:pt>
                <c:pt idx="5">
                  <c:v>1881876743.2799997</c:v>
                </c:pt>
              </c:numCache>
            </c:numRef>
          </c:val>
          <c:extLst>
            <c:ext xmlns:c16="http://schemas.microsoft.com/office/drawing/2014/chart" uri="{C3380CC4-5D6E-409C-BE32-E72D297353CC}">
              <c16:uniqueId val="{00000000-A02D-41A5-8AFC-D865BDF6E0BE}"/>
            </c:ext>
          </c:extLst>
        </c:ser>
        <c:ser>
          <c:idx val="1"/>
          <c:order val="1"/>
          <c:tx>
            <c:strRef>
              <c:f>'Summary-Country'!$C$5</c:f>
              <c:strCache>
                <c:ptCount val="1"/>
                <c:pt idx="0">
                  <c:v>FY26 Base</c:v>
                </c:pt>
              </c:strCache>
            </c:strRef>
          </c:tx>
          <c:spPr>
            <a:solidFill>
              <a:srgbClr val="0F766E"/>
            </a:solidFill>
            <a:ln>
              <a:solidFill>
                <a:srgbClr val="0F766E"/>
              </a:solidFill>
              <a:prstDash val="solid"/>
            </a:ln>
          </c:spPr>
          <c:invertIfNegative val="0"/>
          <c:cat>
            <c:strRef>
              <c:f>'Summary-Country'!$A$6:$A$11</c:f>
              <c:strCache>
                <c:ptCount val="6"/>
                <c:pt idx="0">
                  <c:v>Brazil</c:v>
                </c:pt>
                <c:pt idx="1">
                  <c:v>Germany</c:v>
                </c:pt>
                <c:pt idx="2">
                  <c:v>India</c:v>
                </c:pt>
                <c:pt idx="3">
                  <c:v>Mexico</c:v>
                </c:pt>
                <c:pt idx="4">
                  <c:v>Singapore</c:v>
                </c:pt>
                <c:pt idx="5">
                  <c:v>USA</c:v>
                </c:pt>
              </c:strCache>
            </c:strRef>
          </c:cat>
          <c:val>
            <c:numRef>
              <c:f>'Summary-Country'!$C$6:$C$11</c:f>
              <c:numCache>
                <c:formatCode>\$#\ ##0</c:formatCode>
                <c:ptCount val="6"/>
                <c:pt idx="0">
                  <c:v>1524642347.4319999</c:v>
                </c:pt>
                <c:pt idx="1">
                  <c:v>626442105.28600013</c:v>
                </c:pt>
                <c:pt idx="2">
                  <c:v>950197678.72159982</c:v>
                </c:pt>
                <c:pt idx="3">
                  <c:v>1167392276.3070002</c:v>
                </c:pt>
                <c:pt idx="4">
                  <c:v>827711253.06099987</c:v>
                </c:pt>
                <c:pt idx="5">
                  <c:v>2138748040.8079998</c:v>
                </c:pt>
              </c:numCache>
            </c:numRef>
          </c:val>
          <c:extLst>
            <c:ext xmlns:c16="http://schemas.microsoft.com/office/drawing/2014/chart" uri="{C3380CC4-5D6E-409C-BE32-E72D297353CC}">
              <c16:uniqueId val="{00000001-A02D-41A5-8AFC-D865BDF6E0BE}"/>
            </c:ext>
          </c:extLst>
        </c:ser>
        <c:ser>
          <c:idx val="2"/>
          <c:order val="2"/>
          <c:tx>
            <c:strRef>
              <c:f>'Summary-Country'!$D$5</c:f>
              <c:strCache>
                <c:ptCount val="1"/>
                <c:pt idx="0">
                  <c:v>FY26 Best</c:v>
                </c:pt>
              </c:strCache>
            </c:strRef>
          </c:tx>
          <c:spPr>
            <a:solidFill>
              <a:srgbClr val="2563EB"/>
            </a:solidFill>
            <a:ln>
              <a:solidFill>
                <a:srgbClr val="2563EB"/>
              </a:solidFill>
              <a:prstDash val="solid"/>
            </a:ln>
          </c:spPr>
          <c:invertIfNegative val="0"/>
          <c:cat>
            <c:strRef>
              <c:f>'Summary-Country'!$A$6:$A$11</c:f>
              <c:strCache>
                <c:ptCount val="6"/>
                <c:pt idx="0">
                  <c:v>Brazil</c:v>
                </c:pt>
                <c:pt idx="1">
                  <c:v>Germany</c:v>
                </c:pt>
                <c:pt idx="2">
                  <c:v>India</c:v>
                </c:pt>
                <c:pt idx="3">
                  <c:v>Mexico</c:v>
                </c:pt>
                <c:pt idx="4">
                  <c:v>Singapore</c:v>
                </c:pt>
                <c:pt idx="5">
                  <c:v>USA</c:v>
                </c:pt>
              </c:strCache>
            </c:strRef>
          </c:cat>
          <c:val>
            <c:numRef>
              <c:f>'Summary-Country'!$D$6:$D$11</c:f>
              <c:numCache>
                <c:formatCode>\$#\ ##0</c:formatCode>
                <c:ptCount val="6"/>
                <c:pt idx="0">
                  <c:v>1851619761.8639996</c:v>
                </c:pt>
                <c:pt idx="1">
                  <c:v>673862059.79200006</c:v>
                </c:pt>
                <c:pt idx="2">
                  <c:v>1083943978.8932002</c:v>
                </c:pt>
                <c:pt idx="3">
                  <c:v>1365804149.9040003</c:v>
                </c:pt>
                <c:pt idx="4">
                  <c:v>880593488.5819999</c:v>
                </c:pt>
                <c:pt idx="5">
                  <c:v>2395619338.3359995</c:v>
                </c:pt>
              </c:numCache>
            </c:numRef>
          </c:val>
          <c:extLst>
            <c:ext xmlns:c16="http://schemas.microsoft.com/office/drawing/2014/chart" uri="{C3380CC4-5D6E-409C-BE32-E72D297353CC}">
              <c16:uniqueId val="{00000002-A02D-41A5-8AFC-D865BDF6E0BE}"/>
            </c:ext>
          </c:extLst>
        </c:ser>
        <c:ser>
          <c:idx val="3"/>
          <c:order val="3"/>
          <c:tx>
            <c:strRef>
              <c:f>'Summary-Country'!$E$5</c:f>
              <c:strCache>
                <c:ptCount val="1"/>
                <c:pt idx="0">
                  <c:v>FY26 Worst</c:v>
                </c:pt>
              </c:strCache>
            </c:strRef>
          </c:tx>
          <c:spPr>
            <a:solidFill>
              <a:srgbClr val="EA580C"/>
            </a:solidFill>
            <a:ln>
              <a:solidFill>
                <a:srgbClr val="EA580C"/>
              </a:solidFill>
              <a:prstDash val="solid"/>
            </a:ln>
          </c:spPr>
          <c:invertIfNegative val="0"/>
          <c:cat>
            <c:strRef>
              <c:f>'Summary-Country'!$A$6:$A$11</c:f>
              <c:strCache>
                <c:ptCount val="6"/>
                <c:pt idx="0">
                  <c:v>Brazil</c:v>
                </c:pt>
                <c:pt idx="1">
                  <c:v>Germany</c:v>
                </c:pt>
                <c:pt idx="2">
                  <c:v>India</c:v>
                </c:pt>
                <c:pt idx="3">
                  <c:v>Mexico</c:v>
                </c:pt>
                <c:pt idx="4">
                  <c:v>Singapore</c:v>
                </c:pt>
                <c:pt idx="5">
                  <c:v>USA</c:v>
                </c:pt>
              </c:strCache>
            </c:strRef>
          </c:cat>
          <c:val>
            <c:numRef>
              <c:f>'Summary-Country'!$E$6:$E$11</c:f>
              <c:numCache>
                <c:formatCode>\$#\ ##0</c:formatCode>
                <c:ptCount val="6"/>
                <c:pt idx="0">
                  <c:v>1361153640.2159996</c:v>
                </c:pt>
                <c:pt idx="1">
                  <c:v>602732128.03299999</c:v>
                </c:pt>
                <c:pt idx="2">
                  <c:v>883324528.63579988</c:v>
                </c:pt>
                <c:pt idx="3">
                  <c:v>1068186339.5084997</c:v>
                </c:pt>
                <c:pt idx="4">
                  <c:v>801270135.30050015</c:v>
                </c:pt>
                <c:pt idx="5">
                  <c:v>2010312392.0440001</c:v>
                </c:pt>
              </c:numCache>
            </c:numRef>
          </c:val>
          <c:extLst>
            <c:ext xmlns:c16="http://schemas.microsoft.com/office/drawing/2014/chart" uri="{C3380CC4-5D6E-409C-BE32-E72D297353CC}">
              <c16:uniqueId val="{00000003-A02D-41A5-8AFC-D865BDF6E0BE}"/>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w="9525">
            <a:solidFill>
              <a:srgbClr val="94A3B8"/>
            </a:solidFill>
            <a:prstDash val="solid"/>
          </a:ln>
        </c:spPr>
        <c:txPr>
          <a:bodyPr/>
          <a:lstStyle/>
          <a:p>
            <a:pPr>
              <a:defRPr sz="900">
                <a:solidFill>
                  <a:srgbClr val="475569"/>
                </a:solidFill>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2E8F0"/>
              </a:solidFill>
              <a:prstDash val="solid"/>
            </a:ln>
          </c:spPr>
        </c:majorGridlines>
        <c:numFmt formatCode="\$#,##0,,&quot;M&quot;" sourceLinked="0"/>
        <c:majorTickMark val="none"/>
        <c:minorTickMark val="none"/>
        <c:tickLblPos val="nextTo"/>
        <c:spPr>
          <a:ln>
            <a:noFill/>
            <a:prstDash val="solid"/>
          </a:ln>
        </c:spPr>
        <c:txPr>
          <a:bodyPr/>
          <a:lstStyle/>
          <a:p>
            <a:pPr>
              <a:defRPr sz="900">
                <a:solidFill>
                  <a:srgbClr val="475569"/>
                </a:solidFill>
              </a:defRPr>
            </a:pPr>
            <a:endParaRPr lang="en-US"/>
          </a:p>
        </c:txPr>
        <c:crossAx val="10"/>
        <c:crosses val="autoZero"/>
        <c:crossBetween val="between"/>
      </c:valAx>
    </c:plotArea>
    <c:legend>
      <c:legendPos val="b"/>
      <c:overlay val="0"/>
      <c:txPr>
        <a:bodyPr/>
        <a:lstStyle/>
        <a:p>
          <a:pPr>
            <a:defRPr sz="900">
              <a:solidFill>
                <a:srgbClr val="475569"/>
              </a:solidFill>
            </a:defRPr>
          </a:pPr>
          <a:endParaRPr lang="en-US"/>
        </a:p>
      </c:txPr>
    </c:legend>
    <c:plotVisOnly val="1"/>
    <c:dispBlanksAs val="gap"/>
    <c:showDLblsOverMax val="1"/>
  </c:chart>
  <c:spPr>
    <a:ln w="9525">
      <a:solidFill>
        <a:srgbClr val="CBD5E1"/>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73763"/>
                </a:solidFill>
              </a:defRPr>
            </a:pPr>
            <a:r>
              <a:rPr lang="en-US" sz="1200" b="1">
                <a:solidFill>
                  <a:srgbClr val="073763"/>
                </a:solidFill>
              </a:rPr>
              <a:t>USA stays the largest market at $14.8 million and Brazil grows fastest at 27%</a:t>
            </a:r>
          </a:p>
        </c:rich>
      </c:tx>
      <c:overlay val="0"/>
    </c:title>
    <c:autoTitleDeleted val="0"/>
    <c:plotArea>
      <c:layout/>
      <c:barChart>
        <c:barDir val="col"/>
        <c:grouping val="clustered"/>
        <c:varyColors val="1"/>
        <c:ser>
          <c:idx val="0"/>
          <c:order val="0"/>
          <c:tx>
            <c:strRef>
              <c:f>'Summary-Country'!$B$16</c:f>
              <c:strCache>
                <c:ptCount val="1"/>
                <c:pt idx="0">
                  <c:v>FY25 Actual</c:v>
                </c:pt>
              </c:strCache>
            </c:strRef>
          </c:tx>
          <c:spPr>
            <a:solidFill>
              <a:srgbClr val="94A3B8"/>
            </a:solidFill>
            <a:ln>
              <a:solidFill>
                <a:srgbClr val="94A3B8"/>
              </a:solidFill>
              <a:prstDash val="solid"/>
            </a:ln>
          </c:spPr>
          <c:invertIfNegative val="0"/>
          <c:cat>
            <c:strRef>
              <c:f>'Summary-Country'!$A$17:$A$22</c:f>
              <c:strCache>
                <c:ptCount val="6"/>
                <c:pt idx="0">
                  <c:v>Brazil</c:v>
                </c:pt>
                <c:pt idx="1">
                  <c:v>Germany</c:v>
                </c:pt>
                <c:pt idx="2">
                  <c:v>India</c:v>
                </c:pt>
                <c:pt idx="3">
                  <c:v>Mexico</c:v>
                </c:pt>
                <c:pt idx="4">
                  <c:v>Singapore</c:v>
                </c:pt>
                <c:pt idx="5">
                  <c:v>USA</c:v>
                </c:pt>
              </c:strCache>
            </c:strRef>
          </c:cat>
          <c:val>
            <c:numRef>
              <c:f>'Summary-Country'!$B$17:$B$22</c:f>
              <c:numCache>
                <c:formatCode>\$#\ ##0</c:formatCode>
                <c:ptCount val="6"/>
                <c:pt idx="0">
                  <c:v>8332492.2800000003</c:v>
                </c:pt>
                <c:pt idx="1">
                  <c:v>4028645.1900000004</c:v>
                </c:pt>
                <c:pt idx="2">
                  <c:v>5680125.8199999994</c:v>
                </c:pt>
                <c:pt idx="3">
                  <c:v>6741376.5599999977</c:v>
                </c:pt>
                <c:pt idx="4">
                  <c:v>5390853.5300000003</c:v>
                </c:pt>
                <c:pt idx="5">
                  <c:v>13093293.680000003</c:v>
                </c:pt>
              </c:numCache>
            </c:numRef>
          </c:val>
          <c:extLst>
            <c:ext xmlns:c16="http://schemas.microsoft.com/office/drawing/2014/chart" uri="{C3380CC4-5D6E-409C-BE32-E72D297353CC}">
              <c16:uniqueId val="{00000000-03EB-47C2-ADDC-D76151016F93}"/>
            </c:ext>
          </c:extLst>
        </c:ser>
        <c:ser>
          <c:idx val="1"/>
          <c:order val="1"/>
          <c:tx>
            <c:strRef>
              <c:f>'Summary-Country'!$C$16</c:f>
              <c:strCache>
                <c:ptCount val="1"/>
                <c:pt idx="0">
                  <c:v>FY26 Base</c:v>
                </c:pt>
              </c:strCache>
            </c:strRef>
          </c:tx>
          <c:spPr>
            <a:solidFill>
              <a:srgbClr val="0F766E"/>
            </a:solidFill>
            <a:ln>
              <a:solidFill>
                <a:srgbClr val="0F766E"/>
              </a:solidFill>
              <a:prstDash val="solid"/>
            </a:ln>
          </c:spPr>
          <c:invertIfNegative val="0"/>
          <c:cat>
            <c:strRef>
              <c:f>'Summary-Country'!$A$17:$A$22</c:f>
              <c:strCache>
                <c:ptCount val="6"/>
                <c:pt idx="0">
                  <c:v>Brazil</c:v>
                </c:pt>
                <c:pt idx="1">
                  <c:v>Germany</c:v>
                </c:pt>
                <c:pt idx="2">
                  <c:v>India</c:v>
                </c:pt>
                <c:pt idx="3">
                  <c:v>Mexico</c:v>
                </c:pt>
                <c:pt idx="4">
                  <c:v>Singapore</c:v>
                </c:pt>
                <c:pt idx="5">
                  <c:v>USA</c:v>
                </c:pt>
              </c:strCache>
            </c:strRef>
          </c:cat>
          <c:val>
            <c:numRef>
              <c:f>'Summary-Country'!$C$17:$C$22</c:f>
              <c:numCache>
                <c:formatCode>\$#\ ##0</c:formatCode>
                <c:ptCount val="6"/>
                <c:pt idx="0">
                  <c:v>10567379.499448003</c:v>
                </c:pt>
                <c:pt idx="1">
                  <c:v>4352774.9294032007</c:v>
                </c:pt>
                <c:pt idx="2">
                  <c:v>6594259.8060120009</c:v>
                </c:pt>
                <c:pt idx="3">
                  <c:v>8097504.3362587485</c:v>
                </c:pt>
                <c:pt idx="4">
                  <c:v>5752311.3035097504</c:v>
                </c:pt>
                <c:pt idx="5">
                  <c:v>14849066.550559498</c:v>
                </c:pt>
              </c:numCache>
            </c:numRef>
          </c:val>
          <c:extLst>
            <c:ext xmlns:c16="http://schemas.microsoft.com/office/drawing/2014/chart" uri="{C3380CC4-5D6E-409C-BE32-E72D297353CC}">
              <c16:uniqueId val="{00000001-03EB-47C2-ADDC-D76151016F93}"/>
            </c:ext>
          </c:extLst>
        </c:ser>
        <c:ser>
          <c:idx val="2"/>
          <c:order val="2"/>
          <c:tx>
            <c:strRef>
              <c:f>'Summary-Country'!$D$16</c:f>
              <c:strCache>
                <c:ptCount val="1"/>
                <c:pt idx="0">
                  <c:v>FY26 Best</c:v>
                </c:pt>
              </c:strCache>
            </c:strRef>
          </c:tx>
          <c:spPr>
            <a:solidFill>
              <a:srgbClr val="2563EB"/>
            </a:solidFill>
            <a:ln>
              <a:solidFill>
                <a:srgbClr val="2563EB"/>
              </a:solidFill>
              <a:prstDash val="solid"/>
            </a:ln>
          </c:spPr>
          <c:invertIfNegative val="0"/>
          <c:cat>
            <c:strRef>
              <c:f>'Summary-Country'!$A$17:$A$22</c:f>
              <c:strCache>
                <c:ptCount val="6"/>
                <c:pt idx="0">
                  <c:v>Brazil</c:v>
                </c:pt>
                <c:pt idx="1">
                  <c:v>Germany</c:v>
                </c:pt>
                <c:pt idx="2">
                  <c:v>India</c:v>
                </c:pt>
                <c:pt idx="3">
                  <c:v>Mexico</c:v>
                </c:pt>
                <c:pt idx="4">
                  <c:v>Singapore</c:v>
                </c:pt>
                <c:pt idx="5">
                  <c:v>USA</c:v>
                </c:pt>
              </c:strCache>
            </c:strRef>
          </c:cat>
          <c:val>
            <c:numRef>
              <c:f>'Summary-Country'!$D$17:$D$22</c:f>
              <c:numCache>
                <c:formatCode>\$#\ ##0</c:formatCode>
                <c:ptCount val="6"/>
                <c:pt idx="0">
                  <c:v>12802266.733446</c:v>
                </c:pt>
                <c:pt idx="1">
                  <c:v>4676904.7041664012</c:v>
                </c:pt>
                <c:pt idx="2">
                  <c:v>7508393.7815190013</c:v>
                </c:pt>
                <c:pt idx="3">
                  <c:v>9453632.1068474986</c:v>
                </c:pt>
                <c:pt idx="4">
                  <c:v>6113769.0800444996</c:v>
                </c:pt>
                <c:pt idx="5">
                  <c:v>16604839.464973999</c:v>
                </c:pt>
              </c:numCache>
            </c:numRef>
          </c:val>
          <c:extLst>
            <c:ext xmlns:c16="http://schemas.microsoft.com/office/drawing/2014/chart" uri="{C3380CC4-5D6E-409C-BE32-E72D297353CC}">
              <c16:uniqueId val="{00000002-03EB-47C2-ADDC-D76151016F93}"/>
            </c:ext>
          </c:extLst>
        </c:ser>
        <c:ser>
          <c:idx val="3"/>
          <c:order val="3"/>
          <c:tx>
            <c:strRef>
              <c:f>'Summary-Country'!$E$16</c:f>
              <c:strCache>
                <c:ptCount val="1"/>
                <c:pt idx="0">
                  <c:v>FY26 Worst</c:v>
                </c:pt>
              </c:strCache>
            </c:strRef>
          </c:tx>
          <c:spPr>
            <a:solidFill>
              <a:srgbClr val="EA580C"/>
            </a:solidFill>
            <a:ln>
              <a:solidFill>
                <a:srgbClr val="EA580C"/>
              </a:solidFill>
              <a:prstDash val="solid"/>
            </a:ln>
          </c:spPr>
          <c:invertIfNegative val="0"/>
          <c:cat>
            <c:strRef>
              <c:f>'Summary-Country'!$A$17:$A$22</c:f>
              <c:strCache>
                <c:ptCount val="6"/>
                <c:pt idx="0">
                  <c:v>Brazil</c:v>
                </c:pt>
                <c:pt idx="1">
                  <c:v>Germany</c:v>
                </c:pt>
                <c:pt idx="2">
                  <c:v>India</c:v>
                </c:pt>
                <c:pt idx="3">
                  <c:v>Mexico</c:v>
                </c:pt>
                <c:pt idx="4">
                  <c:v>Singapore</c:v>
                </c:pt>
                <c:pt idx="5">
                  <c:v>USA</c:v>
                </c:pt>
              </c:strCache>
            </c:strRef>
          </c:cat>
          <c:val>
            <c:numRef>
              <c:f>'Summary-Country'!$E$17:$E$22</c:f>
              <c:numCache>
                <c:formatCode>\$#\ ##0</c:formatCode>
                <c:ptCount val="6"/>
                <c:pt idx="0">
                  <c:v>9449935.8824489973</c:v>
                </c:pt>
                <c:pt idx="1">
                  <c:v>4190710.0420215996</c:v>
                </c:pt>
                <c:pt idx="2">
                  <c:v>6137192.8182584988</c:v>
                </c:pt>
                <c:pt idx="3">
                  <c:v>7419440.4509643735</c:v>
                </c:pt>
                <c:pt idx="4">
                  <c:v>5571582.4152423739</c:v>
                </c:pt>
                <c:pt idx="5">
                  <c:v>13971180.093352256</c:v>
                </c:pt>
              </c:numCache>
            </c:numRef>
          </c:val>
          <c:extLst>
            <c:ext xmlns:c16="http://schemas.microsoft.com/office/drawing/2014/chart" uri="{C3380CC4-5D6E-409C-BE32-E72D297353CC}">
              <c16:uniqueId val="{00000003-03EB-47C2-ADDC-D76151016F93}"/>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w="9525">
            <a:solidFill>
              <a:srgbClr val="94A3B8"/>
            </a:solidFill>
            <a:prstDash val="solid"/>
          </a:ln>
        </c:spPr>
        <c:txPr>
          <a:bodyPr/>
          <a:lstStyle/>
          <a:p>
            <a:pPr>
              <a:defRPr sz="900">
                <a:solidFill>
                  <a:srgbClr val="475569"/>
                </a:solidFill>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2E8F0"/>
              </a:solidFill>
              <a:prstDash val="solid"/>
            </a:ln>
          </c:spPr>
        </c:majorGridlines>
        <c:numFmt formatCode="\$#,##0.0,,&quot;M&quot;" sourceLinked="0"/>
        <c:majorTickMark val="none"/>
        <c:minorTickMark val="none"/>
        <c:tickLblPos val="nextTo"/>
        <c:spPr>
          <a:ln>
            <a:noFill/>
            <a:prstDash val="solid"/>
          </a:ln>
        </c:spPr>
        <c:txPr>
          <a:bodyPr/>
          <a:lstStyle/>
          <a:p>
            <a:pPr>
              <a:defRPr sz="900">
                <a:solidFill>
                  <a:srgbClr val="475569"/>
                </a:solidFill>
              </a:defRPr>
            </a:pPr>
            <a:endParaRPr lang="en-US"/>
          </a:p>
        </c:txPr>
        <c:crossAx val="10"/>
        <c:crosses val="autoZero"/>
        <c:crossBetween val="between"/>
      </c:valAx>
    </c:plotArea>
    <c:legend>
      <c:legendPos val="b"/>
      <c:overlay val="0"/>
      <c:txPr>
        <a:bodyPr/>
        <a:lstStyle/>
        <a:p>
          <a:pPr>
            <a:defRPr sz="900">
              <a:solidFill>
                <a:srgbClr val="475569"/>
              </a:solidFill>
            </a:defRPr>
          </a:pPr>
          <a:endParaRPr lang="en-US"/>
        </a:p>
      </c:txPr>
    </c:legend>
    <c:plotVisOnly val="1"/>
    <c:dispBlanksAs val="gap"/>
    <c:showDLblsOverMax val="1"/>
  </c:chart>
  <c:spPr>
    <a:ln w="9525">
      <a:solidFill>
        <a:srgbClr val="CBD5E1"/>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73763"/>
                </a:solidFill>
              </a:defRPr>
            </a:pPr>
            <a:r>
              <a:rPr lang="en-US" sz="1200" b="1">
                <a:solidFill>
                  <a:srgbClr val="073763"/>
                </a:solidFill>
              </a:rPr>
              <a:t>USA falls 14% below FY25 operating profit in the Worst case, the most of any country</a:t>
            </a:r>
          </a:p>
        </c:rich>
      </c:tx>
      <c:overlay val="0"/>
    </c:title>
    <c:autoTitleDeleted val="0"/>
    <c:plotArea>
      <c:layout/>
      <c:barChart>
        <c:barDir val="col"/>
        <c:grouping val="clustered"/>
        <c:varyColors val="1"/>
        <c:ser>
          <c:idx val="0"/>
          <c:order val="0"/>
          <c:tx>
            <c:strRef>
              <c:f>'Summary-Country'!$B$27</c:f>
              <c:strCache>
                <c:ptCount val="1"/>
                <c:pt idx="0">
                  <c:v>FY25 Actual</c:v>
                </c:pt>
              </c:strCache>
            </c:strRef>
          </c:tx>
          <c:spPr>
            <a:solidFill>
              <a:srgbClr val="94A3B8"/>
            </a:solidFill>
            <a:ln>
              <a:solidFill>
                <a:srgbClr val="94A3B8"/>
              </a:solidFill>
              <a:prstDash val="solid"/>
            </a:ln>
          </c:spPr>
          <c:invertIfNegative val="0"/>
          <c:cat>
            <c:strRef>
              <c:f>'Summary-Country'!$A$28:$A$33</c:f>
              <c:strCache>
                <c:ptCount val="6"/>
                <c:pt idx="0">
                  <c:v>Brazil</c:v>
                </c:pt>
                <c:pt idx="1">
                  <c:v>Germany</c:v>
                </c:pt>
                <c:pt idx="2">
                  <c:v>India</c:v>
                </c:pt>
                <c:pt idx="3">
                  <c:v>Mexico</c:v>
                </c:pt>
                <c:pt idx="4">
                  <c:v>Singapore</c:v>
                </c:pt>
                <c:pt idx="5">
                  <c:v>USA</c:v>
                </c:pt>
              </c:strCache>
            </c:strRef>
          </c:cat>
          <c:val>
            <c:numRef>
              <c:f>'Summary-Country'!$B$28:$B$33</c:f>
              <c:numCache>
                <c:formatCode>\$#\ ##0</c:formatCode>
                <c:ptCount val="6"/>
                <c:pt idx="0">
                  <c:v>2205279.5600000005</c:v>
                </c:pt>
                <c:pt idx="1">
                  <c:v>1117636.54</c:v>
                </c:pt>
                <c:pt idx="2">
                  <c:v>1487501.6500000001</c:v>
                </c:pt>
                <c:pt idx="3">
                  <c:v>1813553.3299999998</c:v>
                </c:pt>
                <c:pt idx="4">
                  <c:v>1503749.1699999997</c:v>
                </c:pt>
                <c:pt idx="5">
                  <c:v>3670558.9699999997</c:v>
                </c:pt>
              </c:numCache>
            </c:numRef>
          </c:val>
          <c:extLst>
            <c:ext xmlns:c16="http://schemas.microsoft.com/office/drawing/2014/chart" uri="{C3380CC4-5D6E-409C-BE32-E72D297353CC}">
              <c16:uniqueId val="{00000000-45E1-4F2D-9F8B-AEAAD0E0C69F}"/>
            </c:ext>
          </c:extLst>
        </c:ser>
        <c:ser>
          <c:idx val="1"/>
          <c:order val="1"/>
          <c:tx>
            <c:strRef>
              <c:f>'Summary-Country'!$C$27</c:f>
              <c:strCache>
                <c:ptCount val="1"/>
                <c:pt idx="0">
                  <c:v>FY26 Base</c:v>
                </c:pt>
              </c:strCache>
            </c:strRef>
          </c:tx>
          <c:spPr>
            <a:solidFill>
              <a:srgbClr val="0F766E"/>
            </a:solidFill>
            <a:ln>
              <a:solidFill>
                <a:srgbClr val="0F766E"/>
              </a:solidFill>
              <a:prstDash val="solid"/>
            </a:ln>
          </c:spPr>
          <c:invertIfNegative val="0"/>
          <c:cat>
            <c:strRef>
              <c:f>'Summary-Country'!$A$28:$A$33</c:f>
              <c:strCache>
                <c:ptCount val="6"/>
                <c:pt idx="0">
                  <c:v>Brazil</c:v>
                </c:pt>
                <c:pt idx="1">
                  <c:v>Germany</c:v>
                </c:pt>
                <c:pt idx="2">
                  <c:v>India</c:v>
                </c:pt>
                <c:pt idx="3">
                  <c:v>Mexico</c:v>
                </c:pt>
                <c:pt idx="4">
                  <c:v>Singapore</c:v>
                </c:pt>
                <c:pt idx="5">
                  <c:v>USA</c:v>
                </c:pt>
              </c:strCache>
            </c:strRef>
          </c:cat>
          <c:val>
            <c:numRef>
              <c:f>'Summary-Country'!$C$28:$C$33</c:f>
              <c:numCache>
                <c:formatCode>\$#\ ##0</c:formatCode>
                <c:ptCount val="6"/>
                <c:pt idx="0">
                  <c:v>3100834.4960986981</c:v>
                </c:pt>
                <c:pt idx="1">
                  <c:v>1231047.9576467443</c:v>
                </c:pt>
                <c:pt idx="2">
                  <c:v>1833568.3005935519</c:v>
                </c:pt>
                <c:pt idx="3">
                  <c:v>2366720.1971029504</c:v>
                </c:pt>
                <c:pt idx="4">
                  <c:v>1676953.8895494351</c:v>
                </c:pt>
                <c:pt idx="5">
                  <c:v>4088272.0597205451</c:v>
                </c:pt>
              </c:numCache>
            </c:numRef>
          </c:val>
          <c:extLst>
            <c:ext xmlns:c16="http://schemas.microsoft.com/office/drawing/2014/chart" uri="{C3380CC4-5D6E-409C-BE32-E72D297353CC}">
              <c16:uniqueId val="{00000001-45E1-4F2D-9F8B-AEAAD0E0C69F}"/>
            </c:ext>
          </c:extLst>
        </c:ser>
        <c:ser>
          <c:idx val="2"/>
          <c:order val="2"/>
          <c:tx>
            <c:strRef>
              <c:f>'Summary-Country'!$D$27</c:f>
              <c:strCache>
                <c:ptCount val="1"/>
                <c:pt idx="0">
                  <c:v>FY26 Best</c:v>
                </c:pt>
              </c:strCache>
            </c:strRef>
          </c:tx>
          <c:spPr>
            <a:solidFill>
              <a:srgbClr val="2563EB"/>
            </a:solidFill>
            <a:ln>
              <a:solidFill>
                <a:srgbClr val="2563EB"/>
              </a:solidFill>
              <a:prstDash val="solid"/>
            </a:ln>
          </c:spPr>
          <c:invertIfNegative val="0"/>
          <c:cat>
            <c:strRef>
              <c:f>'Summary-Country'!$A$28:$A$33</c:f>
              <c:strCache>
                <c:ptCount val="6"/>
                <c:pt idx="0">
                  <c:v>Brazil</c:v>
                </c:pt>
                <c:pt idx="1">
                  <c:v>Germany</c:v>
                </c:pt>
                <c:pt idx="2">
                  <c:v>India</c:v>
                </c:pt>
                <c:pt idx="3">
                  <c:v>Mexico</c:v>
                </c:pt>
                <c:pt idx="4">
                  <c:v>Singapore</c:v>
                </c:pt>
                <c:pt idx="5">
                  <c:v>USA</c:v>
                </c:pt>
              </c:strCache>
            </c:strRef>
          </c:cat>
          <c:val>
            <c:numRef>
              <c:f>'Summary-Country'!$D$28:$D$33</c:f>
              <c:numCache>
                <c:formatCode>\$#\ ##0</c:formatCode>
                <c:ptCount val="6"/>
                <c:pt idx="0">
                  <c:v>4385276.7060424509</c:v>
                </c:pt>
                <c:pt idx="1">
                  <c:v>1554549.9683038082</c:v>
                </c:pt>
                <c:pt idx="2">
                  <c:v>2457822.3620391544</c:v>
                </c:pt>
                <c:pt idx="3">
                  <c:v>3228393.8063730756</c:v>
                </c:pt>
                <c:pt idx="4">
                  <c:v>2085795.9168007954</c:v>
                </c:pt>
                <c:pt idx="5">
                  <c:v>5391327.3743838379</c:v>
                </c:pt>
              </c:numCache>
            </c:numRef>
          </c:val>
          <c:extLst>
            <c:ext xmlns:c16="http://schemas.microsoft.com/office/drawing/2014/chart" uri="{C3380CC4-5D6E-409C-BE32-E72D297353CC}">
              <c16:uniqueId val="{00000002-45E1-4F2D-9F8B-AEAAD0E0C69F}"/>
            </c:ext>
          </c:extLst>
        </c:ser>
        <c:ser>
          <c:idx val="3"/>
          <c:order val="3"/>
          <c:tx>
            <c:strRef>
              <c:f>'Summary-Country'!$E$27</c:f>
              <c:strCache>
                <c:ptCount val="1"/>
                <c:pt idx="0">
                  <c:v>FY26 Worst</c:v>
                </c:pt>
              </c:strCache>
            </c:strRef>
          </c:tx>
          <c:spPr>
            <a:solidFill>
              <a:srgbClr val="EA580C"/>
            </a:solidFill>
            <a:ln>
              <a:solidFill>
                <a:srgbClr val="EA580C"/>
              </a:solidFill>
              <a:prstDash val="solid"/>
            </a:ln>
          </c:spPr>
          <c:invertIfNegative val="0"/>
          <c:cat>
            <c:strRef>
              <c:f>'Summary-Country'!$A$28:$A$33</c:f>
              <c:strCache>
                <c:ptCount val="6"/>
                <c:pt idx="0">
                  <c:v>Brazil</c:v>
                </c:pt>
                <c:pt idx="1">
                  <c:v>Germany</c:v>
                </c:pt>
                <c:pt idx="2">
                  <c:v>India</c:v>
                </c:pt>
                <c:pt idx="3">
                  <c:v>Mexico</c:v>
                </c:pt>
                <c:pt idx="4">
                  <c:v>Singapore</c:v>
                </c:pt>
                <c:pt idx="5">
                  <c:v>USA</c:v>
                </c:pt>
              </c:strCache>
            </c:strRef>
          </c:cat>
          <c:val>
            <c:numRef>
              <c:f>'Summary-Country'!$E$28:$E$33</c:f>
              <c:numCache>
                <c:formatCode>\$#\ ##0</c:formatCode>
                <c:ptCount val="6"/>
                <c:pt idx="0">
                  <c:v>2306173.2653405252</c:v>
                </c:pt>
                <c:pt idx="1">
                  <c:v>976684.06782129186</c:v>
                </c:pt>
                <c:pt idx="2">
                  <c:v>1402291.4734958012</c:v>
                </c:pt>
                <c:pt idx="3">
                  <c:v>1801252.1725908557</c:v>
                </c:pt>
                <c:pt idx="4">
                  <c:v>1346797.9821627485</c:v>
                </c:pt>
                <c:pt idx="5">
                  <c:v>3153306.3843456348</c:v>
                </c:pt>
              </c:numCache>
            </c:numRef>
          </c:val>
          <c:extLst>
            <c:ext xmlns:c16="http://schemas.microsoft.com/office/drawing/2014/chart" uri="{C3380CC4-5D6E-409C-BE32-E72D297353CC}">
              <c16:uniqueId val="{00000003-45E1-4F2D-9F8B-AEAAD0E0C69F}"/>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w="9525">
            <a:solidFill>
              <a:srgbClr val="94A3B8"/>
            </a:solidFill>
            <a:prstDash val="solid"/>
          </a:ln>
        </c:spPr>
        <c:txPr>
          <a:bodyPr/>
          <a:lstStyle/>
          <a:p>
            <a:pPr>
              <a:defRPr sz="900">
                <a:solidFill>
                  <a:srgbClr val="475569"/>
                </a:solidFill>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2E8F0"/>
              </a:solidFill>
              <a:prstDash val="solid"/>
            </a:ln>
          </c:spPr>
        </c:majorGridlines>
        <c:numFmt formatCode="\$#,##0.0,,&quot;M&quot;" sourceLinked="0"/>
        <c:majorTickMark val="none"/>
        <c:minorTickMark val="none"/>
        <c:tickLblPos val="nextTo"/>
        <c:spPr>
          <a:ln>
            <a:noFill/>
            <a:prstDash val="solid"/>
          </a:ln>
        </c:spPr>
        <c:txPr>
          <a:bodyPr/>
          <a:lstStyle/>
          <a:p>
            <a:pPr>
              <a:defRPr sz="900">
                <a:solidFill>
                  <a:srgbClr val="475569"/>
                </a:solidFill>
              </a:defRPr>
            </a:pPr>
            <a:endParaRPr lang="en-US"/>
          </a:p>
        </c:txPr>
        <c:crossAx val="10"/>
        <c:crosses val="autoZero"/>
        <c:crossBetween val="between"/>
      </c:valAx>
    </c:plotArea>
    <c:legend>
      <c:legendPos val="b"/>
      <c:overlay val="0"/>
      <c:txPr>
        <a:bodyPr/>
        <a:lstStyle/>
        <a:p>
          <a:pPr>
            <a:defRPr sz="900">
              <a:solidFill>
                <a:srgbClr val="475569"/>
              </a:solidFill>
            </a:defRPr>
          </a:pPr>
          <a:endParaRPr lang="en-US"/>
        </a:p>
      </c:txPr>
    </c:legend>
    <c:plotVisOnly val="1"/>
    <c:dispBlanksAs val="gap"/>
    <c:showDLblsOverMax val="1"/>
  </c:chart>
  <c:spPr>
    <a:ln w="9525">
      <a:solidFill>
        <a:srgbClr val="CBD5E1"/>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521607</xdr:colOff>
      <xdr:row>3</xdr:row>
      <xdr:rowOff>208643</xdr:rowOff>
    </xdr:from>
    <xdr:ext cx="10800000" cy="216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553357</xdr:colOff>
      <xdr:row>13</xdr:row>
      <xdr:rowOff>226786</xdr:rowOff>
    </xdr:from>
    <xdr:ext cx="10800000" cy="2160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9</xdr:col>
      <xdr:colOff>489857</xdr:colOff>
      <xdr:row>23</xdr:row>
      <xdr:rowOff>244929</xdr:rowOff>
    </xdr:from>
    <xdr:ext cx="10800000" cy="2160000"/>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227610</xdr:colOff>
      <xdr:row>3</xdr:row>
      <xdr:rowOff>254001</xdr:rowOff>
    </xdr:from>
    <xdr:ext cx="10790104" cy="234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222662</xdr:colOff>
      <xdr:row>14</xdr:row>
      <xdr:rowOff>261010</xdr:rowOff>
    </xdr:from>
    <xdr:ext cx="10800000" cy="234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9</xdr:col>
      <xdr:colOff>227610</xdr:colOff>
      <xdr:row>25</xdr:row>
      <xdr:rowOff>268018</xdr:rowOff>
    </xdr:from>
    <xdr:ext cx="10800000" cy="2340000"/>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4748B"/>
    <pageSetUpPr fitToPage="1"/>
  </sheetPr>
  <dimension ref="A1:AM408"/>
  <sheetViews>
    <sheetView showGridLines="0" tabSelected="1" zoomScale="70" zoomScaleNormal="70" workbookViewId="0">
      <pane xSplit="3" ySplit="2" topLeftCell="D3" activePane="bottomRight" state="frozen"/>
      <selection pane="topRight" activeCell="D1" sqref="D1"/>
      <selection pane="bottomLeft" activeCell="A3" sqref="A3"/>
      <selection pane="bottomRight" activeCell="D3" sqref="D3"/>
    </sheetView>
  </sheetViews>
  <sheetFormatPr defaultColWidth="8.81640625" defaultRowHeight="14.5" x14ac:dyDescent="0.35"/>
  <cols>
    <col min="1" max="1" width="11" customWidth="1"/>
    <col min="2" max="2" width="12" customWidth="1"/>
    <col min="3" max="3" width="22" customWidth="1"/>
    <col min="4" max="5" width="15.26953125" customWidth="1"/>
    <col min="6" max="7" width="13" customWidth="1"/>
    <col min="8" max="9" width="19.08984375" customWidth="1"/>
    <col min="10" max="11" width="14.36328125" customWidth="1"/>
    <col min="12" max="13" width="16.26953125" customWidth="1"/>
    <col min="14" max="15" width="13" customWidth="1"/>
    <col min="16" max="17" width="25.7265625" customWidth="1"/>
    <col min="18" max="19" width="21" customWidth="1"/>
    <col min="20" max="21" width="23.81640625" customWidth="1"/>
    <col min="22" max="23" width="19.08984375" customWidth="1"/>
    <col min="24" max="25" width="27" customWidth="1"/>
    <col min="26" max="27" width="13" customWidth="1"/>
    <col min="28" max="29" width="27" customWidth="1"/>
    <col min="30" max="31" width="22.90625" customWidth="1"/>
  </cols>
  <sheetData>
    <row r="1" spans="1:39" ht="30" customHeight="1" x14ac:dyDescent="0.35">
      <c r="A1" s="6" t="s">
        <v>41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9" ht="48" customHeight="1" x14ac:dyDescent="0.35">
      <c r="A2" s="8" t="s">
        <v>42</v>
      </c>
      <c r="B2" s="8" t="s">
        <v>43</v>
      </c>
      <c r="C2" s="8" t="s">
        <v>44</v>
      </c>
      <c r="D2" s="9" t="s">
        <v>45</v>
      </c>
      <c r="E2" s="9" t="s">
        <v>46</v>
      </c>
      <c r="F2" s="9" t="s">
        <v>47</v>
      </c>
      <c r="G2" s="9" t="s">
        <v>48</v>
      </c>
      <c r="H2" s="10" t="s">
        <v>49</v>
      </c>
      <c r="I2" s="10" t="s">
        <v>50</v>
      </c>
      <c r="J2" s="10" t="s">
        <v>51</v>
      </c>
      <c r="K2" s="10" t="s">
        <v>52</v>
      </c>
      <c r="L2" s="9" t="s">
        <v>53</v>
      </c>
      <c r="M2" s="9" t="s">
        <v>54</v>
      </c>
      <c r="N2" s="9" t="s">
        <v>55</v>
      </c>
      <c r="O2" s="9" t="s">
        <v>56</v>
      </c>
      <c r="P2" s="10" t="s">
        <v>57</v>
      </c>
      <c r="Q2" s="10" t="s">
        <v>58</v>
      </c>
      <c r="R2" s="10" t="s">
        <v>59</v>
      </c>
      <c r="S2" s="10" t="s">
        <v>60</v>
      </c>
      <c r="T2" s="9" t="s">
        <v>61</v>
      </c>
      <c r="U2" s="9" t="s">
        <v>62</v>
      </c>
      <c r="V2" s="9" t="s">
        <v>63</v>
      </c>
      <c r="W2" s="9" t="s">
        <v>64</v>
      </c>
      <c r="X2" s="10" t="s">
        <v>65</v>
      </c>
      <c r="Y2" s="10" t="s">
        <v>66</v>
      </c>
      <c r="Z2" s="10" t="s">
        <v>67</v>
      </c>
      <c r="AA2" s="10" t="s">
        <v>68</v>
      </c>
      <c r="AB2" s="9" t="s">
        <v>69</v>
      </c>
      <c r="AC2" s="9" t="s">
        <v>70</v>
      </c>
      <c r="AD2" s="9" t="s">
        <v>71</v>
      </c>
      <c r="AE2" s="9" t="s">
        <v>72</v>
      </c>
      <c r="AF2" s="1"/>
    </row>
    <row r="3" spans="1:39" x14ac:dyDescent="0.35">
      <c r="A3" s="11" t="s">
        <v>73</v>
      </c>
      <c r="B3" s="12" t="s">
        <v>74</v>
      </c>
      <c r="C3" s="12" t="s">
        <v>75</v>
      </c>
      <c r="D3" s="13">
        <v>10691718.5</v>
      </c>
      <c r="E3" s="14">
        <v>10247980.93</v>
      </c>
      <c r="F3" s="14">
        <v>443737.57</v>
      </c>
      <c r="G3" s="15">
        <v>4.3299999999999998E-2</v>
      </c>
      <c r="H3" s="13">
        <v>80187.89</v>
      </c>
      <c r="I3" s="14">
        <v>76274.98</v>
      </c>
      <c r="J3" s="14">
        <v>3912.91</v>
      </c>
      <c r="K3" s="15">
        <v>5.1299999999999998E-2</v>
      </c>
      <c r="L3" s="13">
        <v>28065.759999999998</v>
      </c>
      <c r="M3" s="14">
        <v>26246.85</v>
      </c>
      <c r="N3" s="14">
        <v>1818.91</v>
      </c>
      <c r="O3" s="15">
        <v>6.93E-2</v>
      </c>
      <c r="P3" s="13">
        <v>1924.51</v>
      </c>
      <c r="Q3" s="14">
        <v>1783.11</v>
      </c>
      <c r="R3" s="14">
        <v>141.4</v>
      </c>
      <c r="S3" s="15">
        <v>7.9299999999999995E-2</v>
      </c>
      <c r="T3" s="13">
        <v>50197.62</v>
      </c>
      <c r="U3" s="14">
        <v>47253.71</v>
      </c>
      <c r="V3" s="14">
        <v>2943.91</v>
      </c>
      <c r="W3" s="15">
        <v>6.2300000000000001E-2</v>
      </c>
      <c r="X3" s="13">
        <v>33972.32</v>
      </c>
      <c r="Y3" s="14">
        <v>31652.21</v>
      </c>
      <c r="Z3" s="14">
        <v>2320.11</v>
      </c>
      <c r="AA3" s="15">
        <v>7.3300000000000004E-2</v>
      </c>
      <c r="AB3" s="13">
        <v>16225.3</v>
      </c>
      <c r="AC3" s="14">
        <v>14800.06</v>
      </c>
      <c r="AD3" s="14">
        <v>1425.25</v>
      </c>
      <c r="AE3" s="15">
        <v>9.6299999999999997E-2</v>
      </c>
      <c r="AF3" s="2"/>
      <c r="AM3" s="4"/>
    </row>
    <row r="4" spans="1:39" x14ac:dyDescent="0.35">
      <c r="A4" s="11" t="s">
        <v>73</v>
      </c>
      <c r="B4" s="12" t="s">
        <v>74</v>
      </c>
      <c r="C4" s="12" t="s">
        <v>76</v>
      </c>
      <c r="D4" s="13">
        <v>16941176.120000001</v>
      </c>
      <c r="E4" s="14">
        <v>15742246.619999999</v>
      </c>
      <c r="F4" s="14">
        <v>1198929.5</v>
      </c>
      <c r="G4" s="15">
        <v>7.6200000000000004E-2</v>
      </c>
      <c r="H4" s="13">
        <v>177882.35</v>
      </c>
      <c r="I4" s="14">
        <v>164073.89000000001</v>
      </c>
      <c r="J4" s="14">
        <v>13808.46</v>
      </c>
      <c r="K4" s="15">
        <v>8.4199999999999997E-2</v>
      </c>
      <c r="L4" s="13">
        <v>49807.06</v>
      </c>
      <c r="M4" s="14">
        <v>45190.41</v>
      </c>
      <c r="N4" s="14">
        <v>4616.6499999999996</v>
      </c>
      <c r="O4" s="15">
        <v>0.1022</v>
      </c>
      <c r="P4" s="13">
        <v>3049.41</v>
      </c>
      <c r="Q4" s="14">
        <v>2741.88</v>
      </c>
      <c r="R4" s="14">
        <v>307.52999999999997</v>
      </c>
      <c r="S4" s="15">
        <v>0.11219999999999999</v>
      </c>
      <c r="T4" s="13">
        <v>125025.88</v>
      </c>
      <c r="U4" s="14">
        <v>114162.2</v>
      </c>
      <c r="V4" s="14">
        <v>10863.68</v>
      </c>
      <c r="W4" s="15">
        <v>9.5200000000000007E-2</v>
      </c>
      <c r="X4" s="13">
        <v>75361.45</v>
      </c>
      <c r="Y4" s="14">
        <v>68128.89</v>
      </c>
      <c r="Z4" s="14">
        <v>7232.56</v>
      </c>
      <c r="AA4" s="15">
        <v>0.1062</v>
      </c>
      <c r="AB4" s="13">
        <v>49664.43</v>
      </c>
      <c r="AC4" s="14">
        <v>43983.519999999997</v>
      </c>
      <c r="AD4" s="14">
        <v>5680.91</v>
      </c>
      <c r="AE4" s="15">
        <v>0.12920000000000001</v>
      </c>
      <c r="AF4" s="2"/>
      <c r="AM4" s="4"/>
    </row>
    <row r="5" spans="1:39" x14ac:dyDescent="0.35">
      <c r="A5" s="11" t="s">
        <v>73</v>
      </c>
      <c r="B5" s="12" t="s">
        <v>74</v>
      </c>
      <c r="C5" s="12" t="s">
        <v>77</v>
      </c>
      <c r="D5" s="13">
        <v>25621674.440000001</v>
      </c>
      <c r="E5" s="14">
        <v>24749501.989999998</v>
      </c>
      <c r="F5" s="14">
        <v>872172.45</v>
      </c>
      <c r="G5" s="15">
        <v>3.5200000000000002E-2</v>
      </c>
      <c r="H5" s="13">
        <v>166540.88</v>
      </c>
      <c r="I5" s="14">
        <v>159638.13</v>
      </c>
      <c r="J5" s="14">
        <v>6902.75</v>
      </c>
      <c r="K5" s="15">
        <v>4.3200000000000002E-2</v>
      </c>
      <c r="L5" s="13">
        <v>53293.08</v>
      </c>
      <c r="M5" s="14">
        <v>50217.75</v>
      </c>
      <c r="N5" s="14">
        <v>3075.33</v>
      </c>
      <c r="O5" s="15">
        <v>6.1199999999999997E-2</v>
      </c>
      <c r="P5" s="13">
        <v>4611.8999999999996</v>
      </c>
      <c r="Q5" s="14">
        <v>4305.2</v>
      </c>
      <c r="R5" s="14">
        <v>306.7</v>
      </c>
      <c r="S5" s="15">
        <v>7.1199999999999999E-2</v>
      </c>
      <c r="T5" s="13">
        <v>108635.9</v>
      </c>
      <c r="U5" s="14">
        <v>103046.65</v>
      </c>
      <c r="V5" s="14">
        <v>5589.25</v>
      </c>
      <c r="W5" s="15">
        <v>5.4199999999999998E-2</v>
      </c>
      <c r="X5" s="13">
        <v>70556.539999999994</v>
      </c>
      <c r="Y5" s="14">
        <v>66235.34</v>
      </c>
      <c r="Z5" s="14">
        <v>4321.1899999999996</v>
      </c>
      <c r="AA5" s="15">
        <v>6.5199999999999994E-2</v>
      </c>
      <c r="AB5" s="13">
        <v>38079.360000000001</v>
      </c>
      <c r="AC5" s="14">
        <v>34991.699999999997</v>
      </c>
      <c r="AD5" s="14">
        <v>3087.67</v>
      </c>
      <c r="AE5" s="15">
        <v>8.8200000000000001E-2</v>
      </c>
      <c r="AF5" s="2"/>
      <c r="AM5" s="4"/>
    </row>
    <row r="6" spans="1:39" x14ac:dyDescent="0.35">
      <c r="A6" s="11" t="s">
        <v>73</v>
      </c>
      <c r="B6" s="12" t="s">
        <v>74</v>
      </c>
      <c r="C6" s="12" t="s">
        <v>78</v>
      </c>
      <c r="D6" s="13">
        <v>7138685.0300000003</v>
      </c>
      <c r="E6" s="14">
        <v>7439229.9199999999</v>
      </c>
      <c r="F6" s="14">
        <v>-300544.89</v>
      </c>
      <c r="G6" s="15">
        <v>-4.0399999999999998E-2</v>
      </c>
      <c r="H6" s="13">
        <v>21416.06</v>
      </c>
      <c r="I6" s="14">
        <v>22133.17</v>
      </c>
      <c r="J6" s="14">
        <v>-717.11</v>
      </c>
      <c r="K6" s="15">
        <v>-3.2399999999999998E-2</v>
      </c>
      <c r="L6" s="13">
        <v>3854.89</v>
      </c>
      <c r="M6" s="14">
        <v>3911.21</v>
      </c>
      <c r="N6" s="14">
        <v>-56.32</v>
      </c>
      <c r="O6" s="15">
        <v>-1.44E-2</v>
      </c>
      <c r="P6" s="13">
        <v>1284.96</v>
      </c>
      <c r="Q6" s="14">
        <v>1290.6400000000001</v>
      </c>
      <c r="R6" s="14">
        <v>-5.68</v>
      </c>
      <c r="S6" s="15">
        <v>-4.4000000000000003E-3</v>
      </c>
      <c r="T6" s="13">
        <v>16276.2</v>
      </c>
      <c r="U6" s="14">
        <v>16632.13</v>
      </c>
      <c r="V6" s="14">
        <v>-355.93</v>
      </c>
      <c r="W6" s="15">
        <v>-2.1399999999999999E-2</v>
      </c>
      <c r="X6" s="13">
        <v>9073.11</v>
      </c>
      <c r="Y6" s="14">
        <v>9168.4599999999991</v>
      </c>
      <c r="Z6" s="14">
        <v>-95.35</v>
      </c>
      <c r="AA6" s="15">
        <v>-1.04E-2</v>
      </c>
      <c r="AB6" s="13">
        <v>7203.09</v>
      </c>
      <c r="AC6" s="14">
        <v>7113.46</v>
      </c>
      <c r="AD6" s="14">
        <v>89.63</v>
      </c>
      <c r="AE6" s="15">
        <v>1.26E-2</v>
      </c>
      <c r="AF6" s="2"/>
      <c r="AM6" s="4"/>
    </row>
    <row r="7" spans="1:39" x14ac:dyDescent="0.35">
      <c r="A7" s="11" t="s">
        <v>73</v>
      </c>
      <c r="B7" s="12" t="s">
        <v>74</v>
      </c>
      <c r="C7" s="12" t="s">
        <v>79</v>
      </c>
      <c r="D7" s="13">
        <v>10439540.300000001</v>
      </c>
      <c r="E7" s="14">
        <v>10645205.67</v>
      </c>
      <c r="F7" s="14">
        <v>-205665.37</v>
      </c>
      <c r="G7" s="15">
        <v>-1.9300000000000001E-2</v>
      </c>
      <c r="H7" s="13">
        <v>46977.93</v>
      </c>
      <c r="I7" s="14">
        <v>47515.81</v>
      </c>
      <c r="J7" s="14">
        <v>-537.88</v>
      </c>
      <c r="K7" s="15">
        <v>-1.1299999999999999E-2</v>
      </c>
      <c r="L7" s="13">
        <v>10335.14</v>
      </c>
      <c r="M7" s="14">
        <v>10266.56</v>
      </c>
      <c r="N7" s="14">
        <v>68.58</v>
      </c>
      <c r="O7" s="15">
        <v>6.7000000000000002E-3</v>
      </c>
      <c r="P7" s="13">
        <v>1879.12</v>
      </c>
      <c r="Q7" s="14">
        <v>1848.29</v>
      </c>
      <c r="R7" s="14">
        <v>30.83</v>
      </c>
      <c r="S7" s="15">
        <v>1.67E-2</v>
      </c>
      <c r="T7" s="13">
        <v>34763.67</v>
      </c>
      <c r="U7" s="14">
        <v>34774.800000000003</v>
      </c>
      <c r="V7" s="14">
        <v>-11.13</v>
      </c>
      <c r="W7" s="15">
        <v>-2.9999999999999997E-4</v>
      </c>
      <c r="X7" s="13">
        <v>19902.62</v>
      </c>
      <c r="Y7" s="14">
        <v>19692.310000000001</v>
      </c>
      <c r="Z7" s="14">
        <v>210.31</v>
      </c>
      <c r="AA7" s="15">
        <v>1.0699999999999999E-2</v>
      </c>
      <c r="AB7" s="13">
        <v>14861.05</v>
      </c>
      <c r="AC7" s="14">
        <v>14376.84</v>
      </c>
      <c r="AD7" s="14">
        <v>484.21</v>
      </c>
      <c r="AE7" s="15">
        <v>3.3700000000000001E-2</v>
      </c>
      <c r="AF7" s="2"/>
      <c r="AM7" s="4"/>
    </row>
    <row r="8" spans="1:39" x14ac:dyDescent="0.35">
      <c r="A8" s="11" t="s">
        <v>73</v>
      </c>
      <c r="B8" s="12" t="s">
        <v>80</v>
      </c>
      <c r="C8" s="12" t="s">
        <v>75</v>
      </c>
      <c r="D8" s="13">
        <v>5804075.7599999998</v>
      </c>
      <c r="E8" s="14">
        <v>5753901.7400000002</v>
      </c>
      <c r="F8" s="14">
        <v>50174.02</v>
      </c>
      <c r="G8" s="15">
        <v>8.6999999999999994E-3</v>
      </c>
      <c r="H8" s="13">
        <v>43530.57</v>
      </c>
      <c r="I8" s="14">
        <v>42814.71</v>
      </c>
      <c r="J8" s="14">
        <v>715.86</v>
      </c>
      <c r="K8" s="15">
        <v>1.67E-2</v>
      </c>
      <c r="L8" s="13">
        <v>15235.7</v>
      </c>
      <c r="M8" s="14">
        <v>14724.47</v>
      </c>
      <c r="N8" s="14">
        <v>511.23</v>
      </c>
      <c r="O8" s="15">
        <v>3.4700000000000002E-2</v>
      </c>
      <c r="P8" s="13">
        <v>522.37</v>
      </c>
      <c r="Q8" s="14">
        <v>500.01</v>
      </c>
      <c r="R8" s="14">
        <v>22.36</v>
      </c>
      <c r="S8" s="15">
        <v>4.4699999999999997E-2</v>
      </c>
      <c r="T8" s="13">
        <v>27772.5</v>
      </c>
      <c r="U8" s="14">
        <v>27023.41</v>
      </c>
      <c r="V8" s="14">
        <v>749.09</v>
      </c>
      <c r="W8" s="15">
        <v>2.7699999999999999E-2</v>
      </c>
      <c r="X8" s="13">
        <v>18442.12</v>
      </c>
      <c r="Y8" s="14">
        <v>17754.66</v>
      </c>
      <c r="Z8" s="14">
        <v>687.46</v>
      </c>
      <c r="AA8" s="15">
        <v>3.8699999999999998E-2</v>
      </c>
      <c r="AB8" s="13">
        <v>9330.3799999999992</v>
      </c>
      <c r="AC8" s="14">
        <v>8787.99</v>
      </c>
      <c r="AD8" s="14">
        <v>542.39</v>
      </c>
      <c r="AE8" s="15">
        <v>6.1699999999999998E-2</v>
      </c>
      <c r="AF8" s="2"/>
      <c r="AM8" s="4"/>
    </row>
    <row r="9" spans="1:39" x14ac:dyDescent="0.35">
      <c r="A9" s="11" t="s">
        <v>73</v>
      </c>
      <c r="B9" s="12" t="s">
        <v>80</v>
      </c>
      <c r="C9" s="12" t="s">
        <v>76</v>
      </c>
      <c r="D9" s="13">
        <v>9196638.4700000007</v>
      </c>
      <c r="E9" s="14">
        <v>8829507.5500000007</v>
      </c>
      <c r="F9" s="14">
        <v>367130.92</v>
      </c>
      <c r="G9" s="15">
        <v>4.1599999999999998E-2</v>
      </c>
      <c r="H9" s="13">
        <v>96564.7</v>
      </c>
      <c r="I9" s="14">
        <v>92003.18</v>
      </c>
      <c r="J9" s="14">
        <v>4561.5200000000004</v>
      </c>
      <c r="K9" s="15">
        <v>4.9599999999999998E-2</v>
      </c>
      <c r="L9" s="13">
        <v>27038.12</v>
      </c>
      <c r="M9" s="14">
        <v>25326.55</v>
      </c>
      <c r="N9" s="14">
        <v>1711.57</v>
      </c>
      <c r="O9" s="15">
        <v>6.7599999999999993E-2</v>
      </c>
      <c r="P9" s="13">
        <v>827.7</v>
      </c>
      <c r="Q9" s="14">
        <v>768.11</v>
      </c>
      <c r="R9" s="14">
        <v>59.59</v>
      </c>
      <c r="S9" s="15">
        <v>7.7600000000000002E-2</v>
      </c>
      <c r="T9" s="13">
        <v>68698.89</v>
      </c>
      <c r="U9" s="14">
        <v>64774.83</v>
      </c>
      <c r="V9" s="14">
        <v>3924.06</v>
      </c>
      <c r="W9" s="15">
        <v>6.0600000000000001E-2</v>
      </c>
      <c r="X9" s="13">
        <v>40910.5</v>
      </c>
      <c r="Y9" s="14">
        <v>38177.74</v>
      </c>
      <c r="Z9" s="14">
        <v>2732.76</v>
      </c>
      <c r="AA9" s="15">
        <v>7.1599999999999997E-2</v>
      </c>
      <c r="AB9" s="13">
        <v>27788.39</v>
      </c>
      <c r="AC9" s="14">
        <v>25387.26</v>
      </c>
      <c r="AD9" s="14">
        <v>2401.13</v>
      </c>
      <c r="AE9" s="15">
        <v>9.4600000000000004E-2</v>
      </c>
      <c r="AF9" s="2"/>
      <c r="AM9" s="4"/>
    </row>
    <row r="10" spans="1:39" x14ac:dyDescent="0.35">
      <c r="A10" s="11" t="s">
        <v>73</v>
      </c>
      <c r="B10" s="12" t="s">
        <v>80</v>
      </c>
      <c r="C10" s="12" t="s">
        <v>77</v>
      </c>
      <c r="D10" s="13">
        <v>13908908.98</v>
      </c>
      <c r="E10" s="14">
        <v>13899735.15</v>
      </c>
      <c r="F10" s="14">
        <v>9173.83</v>
      </c>
      <c r="G10" s="15">
        <v>6.9999999999999999E-4</v>
      </c>
      <c r="H10" s="13">
        <v>90407.91</v>
      </c>
      <c r="I10" s="14">
        <v>89631.7</v>
      </c>
      <c r="J10" s="14">
        <v>776.21</v>
      </c>
      <c r="K10" s="15">
        <v>8.6999999999999994E-3</v>
      </c>
      <c r="L10" s="13">
        <v>28930.53</v>
      </c>
      <c r="M10" s="14">
        <v>28179.27</v>
      </c>
      <c r="N10" s="14">
        <v>751.26</v>
      </c>
      <c r="O10" s="15">
        <v>2.6700000000000002E-2</v>
      </c>
      <c r="P10" s="13">
        <v>1251.8</v>
      </c>
      <c r="Q10" s="14">
        <v>1207.53</v>
      </c>
      <c r="R10" s="14">
        <v>44.27</v>
      </c>
      <c r="S10" s="15">
        <v>3.6700000000000003E-2</v>
      </c>
      <c r="T10" s="13">
        <v>60225.58</v>
      </c>
      <c r="U10" s="14">
        <v>59064.37</v>
      </c>
      <c r="V10" s="14">
        <v>1161.21</v>
      </c>
      <c r="W10" s="15">
        <v>1.9699999999999999E-2</v>
      </c>
      <c r="X10" s="13">
        <v>38302.120000000003</v>
      </c>
      <c r="Y10" s="14">
        <v>37162.71</v>
      </c>
      <c r="Z10" s="14">
        <v>1139.4100000000001</v>
      </c>
      <c r="AA10" s="15">
        <v>3.0700000000000002E-2</v>
      </c>
      <c r="AB10" s="13">
        <v>21923.46</v>
      </c>
      <c r="AC10" s="14">
        <v>20806.96</v>
      </c>
      <c r="AD10" s="14">
        <v>1116.5</v>
      </c>
      <c r="AE10" s="15">
        <v>5.3699999999999998E-2</v>
      </c>
      <c r="AF10" s="2"/>
      <c r="AM10" s="4"/>
    </row>
    <row r="11" spans="1:39" x14ac:dyDescent="0.35">
      <c r="A11" s="11" t="s">
        <v>73</v>
      </c>
      <c r="B11" s="12" t="s">
        <v>80</v>
      </c>
      <c r="C11" s="12" t="s">
        <v>78</v>
      </c>
      <c r="D11" s="13">
        <v>3875286.16</v>
      </c>
      <c r="E11" s="14">
        <v>4189407.97</v>
      </c>
      <c r="F11" s="14">
        <v>-314121.81</v>
      </c>
      <c r="G11" s="15">
        <v>-7.4999999999999997E-2</v>
      </c>
      <c r="H11" s="13">
        <v>11625.86</v>
      </c>
      <c r="I11" s="14">
        <v>12460.46</v>
      </c>
      <c r="J11" s="14">
        <v>-834.6</v>
      </c>
      <c r="K11" s="15">
        <v>-6.7000000000000004E-2</v>
      </c>
      <c r="L11" s="13">
        <v>2092.65</v>
      </c>
      <c r="M11" s="14">
        <v>2200.4299999999998</v>
      </c>
      <c r="N11" s="14">
        <v>-107.78</v>
      </c>
      <c r="O11" s="15">
        <v>-4.9000000000000002E-2</v>
      </c>
      <c r="P11" s="13">
        <v>348.78</v>
      </c>
      <c r="Q11" s="14">
        <v>362.93</v>
      </c>
      <c r="R11" s="14">
        <v>-14.15</v>
      </c>
      <c r="S11" s="15">
        <v>-3.9E-2</v>
      </c>
      <c r="T11" s="13">
        <v>9184.43</v>
      </c>
      <c r="U11" s="14">
        <v>9729.06</v>
      </c>
      <c r="V11" s="14">
        <v>-544.63</v>
      </c>
      <c r="W11" s="15">
        <v>-5.6000000000000001E-2</v>
      </c>
      <c r="X11" s="13">
        <v>4925.3999999999996</v>
      </c>
      <c r="Y11" s="14">
        <v>5157.38</v>
      </c>
      <c r="Z11" s="14">
        <v>-231.98</v>
      </c>
      <c r="AA11" s="15">
        <v>-4.4999999999999998E-2</v>
      </c>
      <c r="AB11" s="13">
        <v>4259.03</v>
      </c>
      <c r="AC11" s="14">
        <v>4354.75</v>
      </c>
      <c r="AD11" s="14">
        <v>-95.72</v>
      </c>
      <c r="AE11" s="15">
        <v>-2.1999999999999999E-2</v>
      </c>
      <c r="AF11" s="2"/>
      <c r="AM11" s="4"/>
    </row>
    <row r="12" spans="1:39" x14ac:dyDescent="0.35">
      <c r="A12" s="11" t="s">
        <v>73</v>
      </c>
      <c r="B12" s="12" t="s">
        <v>80</v>
      </c>
      <c r="C12" s="12" t="s">
        <v>79</v>
      </c>
      <c r="D12" s="13">
        <v>5667179.0199999996</v>
      </c>
      <c r="E12" s="14">
        <v>5990042.2999999998</v>
      </c>
      <c r="F12" s="14">
        <v>-322863.28000000003</v>
      </c>
      <c r="G12" s="15">
        <v>-5.3900000000000003E-2</v>
      </c>
      <c r="H12" s="13">
        <v>25502.31</v>
      </c>
      <c r="I12" s="14">
        <v>26729.18</v>
      </c>
      <c r="J12" s="14">
        <v>-1226.8699999999999</v>
      </c>
      <c r="K12" s="15">
        <v>-4.5900000000000003E-2</v>
      </c>
      <c r="L12" s="13">
        <v>5610.51</v>
      </c>
      <c r="M12" s="14">
        <v>5771.54</v>
      </c>
      <c r="N12" s="14">
        <v>-161.03</v>
      </c>
      <c r="O12" s="15">
        <v>-2.7900000000000001E-2</v>
      </c>
      <c r="P12" s="13">
        <v>510.05</v>
      </c>
      <c r="Q12" s="14">
        <v>519.35</v>
      </c>
      <c r="R12" s="14">
        <v>-9.3000000000000007</v>
      </c>
      <c r="S12" s="15">
        <v>-1.7899999999999999E-2</v>
      </c>
      <c r="T12" s="13">
        <v>19381.75</v>
      </c>
      <c r="U12" s="14">
        <v>20082.63</v>
      </c>
      <c r="V12" s="14">
        <v>-700.88</v>
      </c>
      <c r="W12" s="15">
        <v>-3.49E-2</v>
      </c>
      <c r="X12" s="13">
        <v>10804.28</v>
      </c>
      <c r="Y12" s="14">
        <v>11068.83</v>
      </c>
      <c r="Z12" s="14">
        <v>-264.54000000000002</v>
      </c>
      <c r="AA12" s="15">
        <v>-2.3900000000000001E-2</v>
      </c>
      <c r="AB12" s="13">
        <v>8577.4699999999993</v>
      </c>
      <c r="AC12" s="14">
        <v>8585.19</v>
      </c>
      <c r="AD12" s="14">
        <v>-7.73</v>
      </c>
      <c r="AE12" s="15">
        <v>-8.9999999999999998E-4</v>
      </c>
      <c r="AF12" s="2"/>
      <c r="AM12" s="4"/>
    </row>
    <row r="13" spans="1:39" x14ac:dyDescent="0.35">
      <c r="A13" s="11" t="s">
        <v>73</v>
      </c>
      <c r="B13" s="12" t="s">
        <v>81</v>
      </c>
      <c r="C13" s="12" t="s">
        <v>75</v>
      </c>
      <c r="D13" s="13">
        <v>6873247.6100000003</v>
      </c>
      <c r="E13" s="14">
        <v>6653418.6600000001</v>
      </c>
      <c r="F13" s="14">
        <v>219828.95</v>
      </c>
      <c r="G13" s="15">
        <v>3.3000000000000002E-2</v>
      </c>
      <c r="H13" s="13">
        <v>51549.36</v>
      </c>
      <c r="I13" s="14">
        <v>49517.18</v>
      </c>
      <c r="J13" s="14">
        <v>2032.18</v>
      </c>
      <c r="K13" s="15">
        <v>4.1000000000000002E-2</v>
      </c>
      <c r="L13" s="13">
        <v>18042.27</v>
      </c>
      <c r="M13" s="14">
        <v>17036.439999999999</v>
      </c>
      <c r="N13" s="14">
        <v>1005.83</v>
      </c>
      <c r="O13" s="15">
        <v>5.8999999999999997E-2</v>
      </c>
      <c r="P13" s="13">
        <v>1374.65</v>
      </c>
      <c r="Q13" s="14">
        <v>1285.8699999999999</v>
      </c>
      <c r="R13" s="14">
        <v>88.78</v>
      </c>
      <c r="S13" s="15">
        <v>6.9000000000000006E-2</v>
      </c>
      <c r="T13" s="13">
        <v>32132.43</v>
      </c>
      <c r="U13" s="14">
        <v>30542.97</v>
      </c>
      <c r="V13" s="14">
        <v>1589.46</v>
      </c>
      <c r="W13" s="15">
        <v>5.1999999999999998E-2</v>
      </c>
      <c r="X13" s="13">
        <v>21839.35</v>
      </c>
      <c r="Y13" s="14">
        <v>20544.240000000002</v>
      </c>
      <c r="Z13" s="14">
        <v>1295.1099999999999</v>
      </c>
      <c r="AA13" s="15">
        <v>6.3E-2</v>
      </c>
      <c r="AB13" s="13">
        <v>10293.08</v>
      </c>
      <c r="AC13" s="14">
        <v>9477.6299999999992</v>
      </c>
      <c r="AD13" s="14">
        <v>815.45</v>
      </c>
      <c r="AE13" s="15">
        <v>8.5999999999999993E-2</v>
      </c>
      <c r="AF13" s="2"/>
      <c r="AM13" s="4"/>
    </row>
    <row r="14" spans="1:39" x14ac:dyDescent="0.35">
      <c r="A14" s="11" t="s">
        <v>73</v>
      </c>
      <c r="B14" s="12" t="s">
        <v>81</v>
      </c>
      <c r="C14" s="12" t="s">
        <v>76</v>
      </c>
      <c r="D14" s="13">
        <v>10890756.08</v>
      </c>
      <c r="E14" s="14">
        <v>10217427.6</v>
      </c>
      <c r="F14" s="14">
        <v>673328.48</v>
      </c>
      <c r="G14" s="15">
        <v>6.59E-2</v>
      </c>
      <c r="H14" s="13">
        <v>114352.94</v>
      </c>
      <c r="I14" s="14">
        <v>106483.79</v>
      </c>
      <c r="J14" s="14">
        <v>7869.15</v>
      </c>
      <c r="K14" s="15">
        <v>7.3899999999999993E-2</v>
      </c>
      <c r="L14" s="13">
        <v>32018.82</v>
      </c>
      <c r="M14" s="14">
        <v>29323.95</v>
      </c>
      <c r="N14" s="14">
        <v>2694.87</v>
      </c>
      <c r="O14" s="15">
        <v>9.1899999999999996E-2</v>
      </c>
      <c r="P14" s="13">
        <v>2178.15</v>
      </c>
      <c r="Q14" s="14">
        <v>1976.72</v>
      </c>
      <c r="R14" s="14">
        <v>201.43</v>
      </c>
      <c r="S14" s="15">
        <v>0.1019</v>
      </c>
      <c r="T14" s="13">
        <v>80155.960000000006</v>
      </c>
      <c r="U14" s="14">
        <v>73883.27</v>
      </c>
      <c r="V14" s="14">
        <v>6272.69</v>
      </c>
      <c r="W14" s="15">
        <v>8.4900000000000003E-2</v>
      </c>
      <c r="X14" s="13">
        <v>48446.65</v>
      </c>
      <c r="Y14" s="14">
        <v>44207.18</v>
      </c>
      <c r="Z14" s="14">
        <v>4239.47</v>
      </c>
      <c r="AA14" s="15">
        <v>9.5899999999999999E-2</v>
      </c>
      <c r="AB14" s="13">
        <v>31709.31</v>
      </c>
      <c r="AC14" s="14">
        <v>28339.72</v>
      </c>
      <c r="AD14" s="14">
        <v>3369.59</v>
      </c>
      <c r="AE14" s="15">
        <v>0.11890000000000001</v>
      </c>
      <c r="AF14" s="2"/>
      <c r="AM14" s="4"/>
    </row>
    <row r="15" spans="1:39" x14ac:dyDescent="0.35">
      <c r="A15" s="11" t="s">
        <v>73</v>
      </c>
      <c r="B15" s="12" t="s">
        <v>81</v>
      </c>
      <c r="C15" s="12" t="s">
        <v>77</v>
      </c>
      <c r="D15" s="13">
        <v>16471076.43</v>
      </c>
      <c r="E15" s="14">
        <v>16069656.41</v>
      </c>
      <c r="F15" s="14">
        <v>401420.02</v>
      </c>
      <c r="G15" s="15">
        <v>2.5000000000000001E-2</v>
      </c>
      <c r="H15" s="13">
        <v>107062</v>
      </c>
      <c r="I15" s="14">
        <v>103643.83</v>
      </c>
      <c r="J15" s="14">
        <v>3418.17</v>
      </c>
      <c r="K15" s="15">
        <v>3.3000000000000002E-2</v>
      </c>
      <c r="L15" s="13">
        <v>34259.839999999997</v>
      </c>
      <c r="M15" s="14">
        <v>32597.99</v>
      </c>
      <c r="N15" s="14">
        <v>1661.85</v>
      </c>
      <c r="O15" s="15">
        <v>5.0999999999999997E-2</v>
      </c>
      <c r="P15" s="13">
        <v>3294.22</v>
      </c>
      <c r="Q15" s="14">
        <v>3104.88</v>
      </c>
      <c r="R15" s="14">
        <v>189.34</v>
      </c>
      <c r="S15" s="15">
        <v>6.0999999999999999E-2</v>
      </c>
      <c r="T15" s="13">
        <v>69507.94</v>
      </c>
      <c r="U15" s="14">
        <v>66579.759999999995</v>
      </c>
      <c r="V15" s="14">
        <v>2928.18</v>
      </c>
      <c r="W15" s="15">
        <v>4.3999999999999997E-2</v>
      </c>
      <c r="X15" s="13">
        <v>45357.78</v>
      </c>
      <c r="Y15" s="14">
        <v>42993.97</v>
      </c>
      <c r="Z15" s="14">
        <v>2363.81</v>
      </c>
      <c r="AA15" s="15">
        <v>5.5E-2</v>
      </c>
      <c r="AB15" s="13">
        <v>24150.16</v>
      </c>
      <c r="AC15" s="14">
        <v>22403.16</v>
      </c>
      <c r="AD15" s="14">
        <v>1747</v>
      </c>
      <c r="AE15" s="15">
        <v>7.8E-2</v>
      </c>
      <c r="AF15" s="2"/>
      <c r="AM15" s="4"/>
    </row>
    <row r="16" spans="1:39" x14ac:dyDescent="0.35">
      <c r="A16" s="11" t="s">
        <v>73</v>
      </c>
      <c r="B16" s="12" t="s">
        <v>81</v>
      </c>
      <c r="C16" s="12" t="s">
        <v>78</v>
      </c>
      <c r="D16" s="13">
        <v>4589154.66</v>
      </c>
      <c r="E16" s="14">
        <v>4834047.51</v>
      </c>
      <c r="F16" s="14">
        <v>-244892.85</v>
      </c>
      <c r="G16" s="15">
        <v>-5.0700000000000002E-2</v>
      </c>
      <c r="H16" s="13">
        <v>13767.46</v>
      </c>
      <c r="I16" s="14">
        <v>14380.95</v>
      </c>
      <c r="J16" s="14">
        <v>-613.49</v>
      </c>
      <c r="K16" s="15">
        <v>-4.2700000000000002E-2</v>
      </c>
      <c r="L16" s="13">
        <v>2478.14</v>
      </c>
      <c r="M16" s="14">
        <v>2540.8000000000002</v>
      </c>
      <c r="N16" s="14">
        <v>-62.66</v>
      </c>
      <c r="O16" s="15">
        <v>-2.47E-2</v>
      </c>
      <c r="P16" s="13">
        <v>917.83</v>
      </c>
      <c r="Q16" s="14">
        <v>931.49</v>
      </c>
      <c r="R16" s="14">
        <v>-13.66</v>
      </c>
      <c r="S16" s="15">
        <v>-1.47E-2</v>
      </c>
      <c r="T16" s="13">
        <v>10371.49</v>
      </c>
      <c r="U16" s="14">
        <v>10710.59</v>
      </c>
      <c r="V16" s="14">
        <v>-339.1</v>
      </c>
      <c r="W16" s="15">
        <v>-3.1699999999999999E-2</v>
      </c>
      <c r="X16" s="13">
        <v>5832.71</v>
      </c>
      <c r="Y16" s="14">
        <v>5955.75</v>
      </c>
      <c r="Z16" s="14">
        <v>-123.05</v>
      </c>
      <c r="AA16" s="15">
        <v>-2.07E-2</v>
      </c>
      <c r="AB16" s="13">
        <v>4538.78</v>
      </c>
      <c r="AC16" s="14">
        <v>4528.1899999999996</v>
      </c>
      <c r="AD16" s="14">
        <v>10.6</v>
      </c>
      <c r="AE16" s="15">
        <v>2.3E-3</v>
      </c>
      <c r="AF16" s="2"/>
      <c r="AM16" s="4"/>
    </row>
    <row r="17" spans="1:39" x14ac:dyDescent="0.35">
      <c r="A17" s="11" t="s">
        <v>73</v>
      </c>
      <c r="B17" s="12" t="s">
        <v>81</v>
      </c>
      <c r="C17" s="12" t="s">
        <v>79</v>
      </c>
      <c r="D17" s="13">
        <v>6711133.0499999998</v>
      </c>
      <c r="E17" s="14">
        <v>6915699.4400000004</v>
      </c>
      <c r="F17" s="14">
        <v>-204566.39</v>
      </c>
      <c r="G17" s="15">
        <v>-2.9600000000000001E-2</v>
      </c>
      <c r="H17" s="13">
        <v>30200.1</v>
      </c>
      <c r="I17" s="14">
        <v>30866.19</v>
      </c>
      <c r="J17" s="14">
        <v>-666.09</v>
      </c>
      <c r="K17" s="15">
        <v>-2.1600000000000001E-2</v>
      </c>
      <c r="L17" s="13">
        <v>6644.02</v>
      </c>
      <c r="M17" s="14">
        <v>6667.89</v>
      </c>
      <c r="N17" s="14">
        <v>-23.87</v>
      </c>
      <c r="O17" s="15">
        <v>-3.5999999999999999E-3</v>
      </c>
      <c r="P17" s="13">
        <v>1342.23</v>
      </c>
      <c r="Q17" s="14">
        <v>1333.67</v>
      </c>
      <c r="R17" s="14">
        <v>8.56</v>
      </c>
      <c r="S17" s="15">
        <v>6.4000000000000003E-3</v>
      </c>
      <c r="T17" s="13">
        <v>22213.85</v>
      </c>
      <c r="U17" s="14">
        <v>22451.39</v>
      </c>
      <c r="V17" s="14">
        <v>-237.54</v>
      </c>
      <c r="W17" s="15">
        <v>-1.06E-2</v>
      </c>
      <c r="X17" s="13">
        <v>12794.54</v>
      </c>
      <c r="Y17" s="14">
        <v>12789.17</v>
      </c>
      <c r="Z17" s="14">
        <v>5.37</v>
      </c>
      <c r="AA17" s="15">
        <v>4.0000000000000002E-4</v>
      </c>
      <c r="AB17" s="13">
        <v>9419.31</v>
      </c>
      <c r="AC17" s="14">
        <v>9203.75</v>
      </c>
      <c r="AD17" s="14">
        <v>215.55</v>
      </c>
      <c r="AE17" s="15">
        <v>2.3400000000000001E-2</v>
      </c>
      <c r="AF17" s="2"/>
      <c r="AM17" s="4"/>
    </row>
    <row r="18" spans="1:39" x14ac:dyDescent="0.35">
      <c r="A18" s="11" t="s">
        <v>73</v>
      </c>
      <c r="B18" s="12" t="s">
        <v>82</v>
      </c>
      <c r="C18" s="12" t="s">
        <v>75</v>
      </c>
      <c r="D18" s="13">
        <v>8400635.9700000007</v>
      </c>
      <c r="E18" s="14">
        <v>8400803.9900000002</v>
      </c>
      <c r="F18" s="14">
        <v>-168.02</v>
      </c>
      <c r="G18" s="15">
        <v>0</v>
      </c>
      <c r="H18" s="13">
        <v>63004.77</v>
      </c>
      <c r="I18" s="14">
        <v>62505.97</v>
      </c>
      <c r="J18" s="14">
        <v>498.8</v>
      </c>
      <c r="K18" s="15">
        <v>8.0000000000000002E-3</v>
      </c>
      <c r="L18" s="13">
        <v>22051.67</v>
      </c>
      <c r="M18" s="14">
        <v>21493.27</v>
      </c>
      <c r="N18" s="14">
        <v>558.4</v>
      </c>
      <c r="O18" s="15">
        <v>2.5999999999999999E-2</v>
      </c>
      <c r="P18" s="13">
        <v>1260.0999999999999</v>
      </c>
      <c r="Q18" s="14">
        <v>1216.3399999999999</v>
      </c>
      <c r="R18" s="14">
        <v>43.76</v>
      </c>
      <c r="S18" s="15">
        <v>3.5999999999999997E-2</v>
      </c>
      <c r="T18" s="13">
        <v>39693</v>
      </c>
      <c r="U18" s="14">
        <v>38953.660000000003</v>
      </c>
      <c r="V18" s="14">
        <v>739.34</v>
      </c>
      <c r="W18" s="15">
        <v>1.9E-2</v>
      </c>
      <c r="X18" s="13">
        <v>26692.54</v>
      </c>
      <c r="Y18" s="14">
        <v>25915.59</v>
      </c>
      <c r="Z18" s="14">
        <v>776.95</v>
      </c>
      <c r="AA18" s="15">
        <v>0.03</v>
      </c>
      <c r="AB18" s="13">
        <v>13000.46</v>
      </c>
      <c r="AC18" s="14">
        <v>12346.35</v>
      </c>
      <c r="AD18" s="14">
        <v>654.11</v>
      </c>
      <c r="AE18" s="15">
        <v>5.2999999999999999E-2</v>
      </c>
      <c r="AF18" s="2"/>
      <c r="AM18" s="4"/>
    </row>
    <row r="19" spans="1:39" x14ac:dyDescent="0.35">
      <c r="A19" s="11" t="s">
        <v>73</v>
      </c>
      <c r="B19" s="12" t="s">
        <v>82</v>
      </c>
      <c r="C19" s="12" t="s">
        <v>76</v>
      </c>
      <c r="D19" s="13">
        <v>13310924.1</v>
      </c>
      <c r="E19" s="14">
        <v>12887692.289999999</v>
      </c>
      <c r="F19" s="14">
        <v>423231.81</v>
      </c>
      <c r="G19" s="15">
        <v>3.2800000000000003E-2</v>
      </c>
      <c r="H19" s="13">
        <v>139764.70000000001</v>
      </c>
      <c r="I19" s="14">
        <v>134280.68</v>
      </c>
      <c r="J19" s="14">
        <v>5484.02</v>
      </c>
      <c r="K19" s="15">
        <v>4.0800000000000003E-2</v>
      </c>
      <c r="L19" s="13">
        <v>39134.120000000003</v>
      </c>
      <c r="M19" s="14">
        <v>36959.43</v>
      </c>
      <c r="N19" s="14">
        <v>2174.69</v>
      </c>
      <c r="O19" s="15">
        <v>5.8799999999999998E-2</v>
      </c>
      <c r="P19" s="13">
        <v>1996.64</v>
      </c>
      <c r="Q19" s="14">
        <v>1868.04</v>
      </c>
      <c r="R19" s="14">
        <v>128.6</v>
      </c>
      <c r="S19" s="15">
        <v>6.88E-2</v>
      </c>
      <c r="T19" s="13">
        <v>98633.95</v>
      </c>
      <c r="U19" s="14">
        <v>93772.77</v>
      </c>
      <c r="V19" s="14">
        <v>4861.18</v>
      </c>
      <c r="W19" s="15">
        <v>5.1799999999999999E-2</v>
      </c>
      <c r="X19" s="13">
        <v>59212.57</v>
      </c>
      <c r="Y19" s="14">
        <v>55711.65</v>
      </c>
      <c r="Z19" s="14">
        <v>3500.92</v>
      </c>
      <c r="AA19" s="15">
        <v>6.2799999999999995E-2</v>
      </c>
      <c r="AB19" s="13">
        <v>39421.379999999997</v>
      </c>
      <c r="AC19" s="14">
        <v>36304.959999999999</v>
      </c>
      <c r="AD19" s="14">
        <v>3116.42</v>
      </c>
      <c r="AE19" s="15">
        <v>8.5800000000000001E-2</v>
      </c>
      <c r="AF19" s="2"/>
      <c r="AM19" s="4"/>
    </row>
    <row r="20" spans="1:39" x14ac:dyDescent="0.35">
      <c r="A20" s="11" t="s">
        <v>73</v>
      </c>
      <c r="B20" s="12" t="s">
        <v>82</v>
      </c>
      <c r="C20" s="12" t="s">
        <v>77</v>
      </c>
      <c r="D20" s="13">
        <v>20131315.629999999</v>
      </c>
      <c r="E20" s="14">
        <v>20295301.670000002</v>
      </c>
      <c r="F20" s="14">
        <v>-163986.04</v>
      </c>
      <c r="G20" s="15">
        <v>-8.0999999999999996E-3</v>
      </c>
      <c r="H20" s="13">
        <v>130853.55</v>
      </c>
      <c r="I20" s="14">
        <v>130864.02</v>
      </c>
      <c r="J20" s="14">
        <v>-10.47</v>
      </c>
      <c r="K20" s="15">
        <v>-1E-4</v>
      </c>
      <c r="L20" s="13">
        <v>41873.14</v>
      </c>
      <c r="M20" s="14">
        <v>41135.980000000003</v>
      </c>
      <c r="N20" s="14">
        <v>737.16</v>
      </c>
      <c r="O20" s="15">
        <v>1.7899999999999999E-2</v>
      </c>
      <c r="P20" s="13">
        <v>3019.7</v>
      </c>
      <c r="Q20" s="14">
        <v>2937.68</v>
      </c>
      <c r="R20" s="14">
        <v>82.02</v>
      </c>
      <c r="S20" s="15">
        <v>2.7900000000000001E-2</v>
      </c>
      <c r="T20" s="13">
        <v>85960.72</v>
      </c>
      <c r="U20" s="14">
        <v>85032.17</v>
      </c>
      <c r="V20" s="14">
        <v>928.55</v>
      </c>
      <c r="W20" s="15">
        <v>1.09E-2</v>
      </c>
      <c r="X20" s="13">
        <v>55437.279999999999</v>
      </c>
      <c r="Y20" s="14">
        <v>54248.160000000003</v>
      </c>
      <c r="Z20" s="14">
        <v>1189.1199999999999</v>
      </c>
      <c r="AA20" s="15">
        <v>2.1899999999999999E-2</v>
      </c>
      <c r="AB20" s="13">
        <v>30523.439999999999</v>
      </c>
      <c r="AC20" s="14">
        <v>29211.27</v>
      </c>
      <c r="AD20" s="14">
        <v>1312.17</v>
      </c>
      <c r="AE20" s="15">
        <v>4.4900000000000002E-2</v>
      </c>
      <c r="AF20" s="2"/>
      <c r="AM20" s="4"/>
    </row>
    <row r="21" spans="1:39" x14ac:dyDescent="0.35">
      <c r="A21" s="11" t="s">
        <v>73</v>
      </c>
      <c r="B21" s="12" t="s">
        <v>82</v>
      </c>
      <c r="C21" s="12" t="s">
        <v>78</v>
      </c>
      <c r="D21" s="13">
        <v>5608966.8099999996</v>
      </c>
      <c r="E21" s="14">
        <v>6121455.0199999996</v>
      </c>
      <c r="F21" s="14">
        <v>-512488.21</v>
      </c>
      <c r="G21" s="15">
        <v>-8.3699999999999997E-2</v>
      </c>
      <c r="H21" s="13">
        <v>16826.900000000001</v>
      </c>
      <c r="I21" s="14">
        <v>18205.41</v>
      </c>
      <c r="J21" s="14">
        <v>-1378.51</v>
      </c>
      <c r="K21" s="15">
        <v>-7.5700000000000003E-2</v>
      </c>
      <c r="L21" s="13">
        <v>3028.84</v>
      </c>
      <c r="M21" s="14">
        <v>3214.37</v>
      </c>
      <c r="N21" s="14">
        <v>-185.53</v>
      </c>
      <c r="O21" s="15">
        <v>-5.7700000000000001E-2</v>
      </c>
      <c r="P21" s="13">
        <v>841.35</v>
      </c>
      <c r="Q21" s="14">
        <v>883.51</v>
      </c>
      <c r="R21" s="14">
        <v>-42.16</v>
      </c>
      <c r="S21" s="15">
        <v>-4.7699999999999999E-2</v>
      </c>
      <c r="T21" s="13">
        <v>12956.71</v>
      </c>
      <c r="U21" s="14">
        <v>13853.3</v>
      </c>
      <c r="V21" s="14">
        <v>-896.59</v>
      </c>
      <c r="W21" s="15">
        <v>-6.4699999999999994E-2</v>
      </c>
      <c r="X21" s="13">
        <v>7128.87</v>
      </c>
      <c r="Y21" s="14">
        <v>7533.57</v>
      </c>
      <c r="Z21" s="14">
        <v>-404.7</v>
      </c>
      <c r="AA21" s="15">
        <v>-5.3699999999999998E-2</v>
      </c>
      <c r="AB21" s="13">
        <v>5827.84</v>
      </c>
      <c r="AC21" s="14">
        <v>6012.55</v>
      </c>
      <c r="AD21" s="14">
        <v>-184.71</v>
      </c>
      <c r="AE21" s="15">
        <v>-3.0700000000000002E-2</v>
      </c>
      <c r="AF21" s="2"/>
      <c r="AM21" s="4"/>
    </row>
    <row r="22" spans="1:39" x14ac:dyDescent="0.35">
      <c r="A22" s="11" t="s">
        <v>73</v>
      </c>
      <c r="B22" s="12" t="s">
        <v>82</v>
      </c>
      <c r="C22" s="12" t="s">
        <v>79</v>
      </c>
      <c r="D22" s="13">
        <v>8202495.9500000002</v>
      </c>
      <c r="E22" s="14">
        <v>8750635.7699999996</v>
      </c>
      <c r="F22" s="14">
        <v>-548139.81999999995</v>
      </c>
      <c r="G22" s="15">
        <v>-6.2600000000000003E-2</v>
      </c>
      <c r="H22" s="13">
        <v>36911.230000000003</v>
      </c>
      <c r="I22" s="14">
        <v>39044.629999999997</v>
      </c>
      <c r="J22" s="14">
        <v>-2133.4</v>
      </c>
      <c r="K22" s="15">
        <v>-5.4600000000000003E-2</v>
      </c>
      <c r="L22" s="13">
        <v>8120.47</v>
      </c>
      <c r="M22" s="14">
        <v>8429.32</v>
      </c>
      <c r="N22" s="14">
        <v>-308.85000000000002</v>
      </c>
      <c r="O22" s="15">
        <v>-3.6600000000000001E-2</v>
      </c>
      <c r="P22" s="13">
        <v>1230.3699999999999</v>
      </c>
      <c r="Q22" s="14">
        <v>1264.04</v>
      </c>
      <c r="R22" s="14">
        <v>-33.67</v>
      </c>
      <c r="S22" s="15">
        <v>-2.6599999999999999E-2</v>
      </c>
      <c r="T22" s="13">
        <v>27560.39</v>
      </c>
      <c r="U22" s="14">
        <v>28818.01</v>
      </c>
      <c r="V22" s="14">
        <v>-1257.6199999999999</v>
      </c>
      <c r="W22" s="15">
        <v>-4.36E-2</v>
      </c>
      <c r="X22" s="13">
        <v>15637.77</v>
      </c>
      <c r="Y22" s="14">
        <v>16165.41</v>
      </c>
      <c r="Z22" s="14">
        <v>-527.64</v>
      </c>
      <c r="AA22" s="15">
        <v>-3.2599999999999997E-2</v>
      </c>
      <c r="AB22" s="13">
        <v>11922.62</v>
      </c>
      <c r="AC22" s="14">
        <v>12038.67</v>
      </c>
      <c r="AD22" s="14">
        <v>-116.05</v>
      </c>
      <c r="AE22" s="15">
        <v>-9.5999999999999992E-3</v>
      </c>
      <c r="AF22" s="2"/>
      <c r="AM22" s="4"/>
    </row>
    <row r="23" spans="1:39" x14ac:dyDescent="0.35">
      <c r="A23" s="11" t="s">
        <v>73</v>
      </c>
      <c r="B23" s="12" t="s">
        <v>83</v>
      </c>
      <c r="C23" s="12" t="s">
        <v>75</v>
      </c>
      <c r="D23" s="13">
        <v>7331464.1200000001</v>
      </c>
      <c r="E23" s="14">
        <v>7162850.6200000001</v>
      </c>
      <c r="F23" s="14">
        <v>168613.5</v>
      </c>
      <c r="G23" s="15">
        <v>2.35E-2</v>
      </c>
      <c r="H23" s="13">
        <v>54985.98</v>
      </c>
      <c r="I23" s="14">
        <v>53304.75</v>
      </c>
      <c r="J23" s="14">
        <v>1681.23</v>
      </c>
      <c r="K23" s="15">
        <v>3.15E-2</v>
      </c>
      <c r="L23" s="13">
        <v>19245.09</v>
      </c>
      <c r="M23" s="14">
        <v>18336.689999999999</v>
      </c>
      <c r="N23" s="14">
        <v>908.4</v>
      </c>
      <c r="O23" s="15">
        <v>4.9500000000000002E-2</v>
      </c>
      <c r="P23" s="13">
        <v>586.52</v>
      </c>
      <c r="Q23" s="14">
        <v>553.55999999999995</v>
      </c>
      <c r="R23" s="14">
        <v>32.96</v>
      </c>
      <c r="S23" s="15">
        <v>5.9499999999999997E-2</v>
      </c>
      <c r="T23" s="13">
        <v>35154.370000000003</v>
      </c>
      <c r="U23" s="14">
        <v>33719.919999999998</v>
      </c>
      <c r="V23" s="14">
        <v>1434.45</v>
      </c>
      <c r="W23" s="15">
        <v>4.2500000000000003E-2</v>
      </c>
      <c r="X23" s="13">
        <v>23295.3</v>
      </c>
      <c r="Y23" s="14">
        <v>22111.46</v>
      </c>
      <c r="Z23" s="14">
        <v>1183.8499999999999</v>
      </c>
      <c r="AA23" s="15">
        <v>5.3499999999999999E-2</v>
      </c>
      <c r="AB23" s="13">
        <v>11859.07</v>
      </c>
      <c r="AC23" s="14">
        <v>11015.91</v>
      </c>
      <c r="AD23" s="14">
        <v>843.16</v>
      </c>
      <c r="AE23" s="15">
        <v>7.6499999999999999E-2</v>
      </c>
      <c r="AF23" s="2"/>
      <c r="AM23" s="4"/>
    </row>
    <row r="24" spans="1:39" x14ac:dyDescent="0.35">
      <c r="A24" s="11" t="s">
        <v>73</v>
      </c>
      <c r="B24" s="12" t="s">
        <v>83</v>
      </c>
      <c r="C24" s="12" t="s">
        <v>76</v>
      </c>
      <c r="D24" s="13">
        <v>11616806.49</v>
      </c>
      <c r="E24" s="14">
        <v>10996598.34</v>
      </c>
      <c r="F24" s="14">
        <v>620208.15</v>
      </c>
      <c r="G24" s="15">
        <v>5.6399999999999999E-2</v>
      </c>
      <c r="H24" s="13">
        <v>121976.47</v>
      </c>
      <c r="I24" s="14">
        <v>114596.46</v>
      </c>
      <c r="J24" s="14">
        <v>7380.01</v>
      </c>
      <c r="K24" s="15">
        <v>6.4399999999999999E-2</v>
      </c>
      <c r="L24" s="13">
        <v>34153.410000000003</v>
      </c>
      <c r="M24" s="14">
        <v>31553.41</v>
      </c>
      <c r="N24" s="14">
        <v>2600</v>
      </c>
      <c r="O24" s="15">
        <v>8.2400000000000001E-2</v>
      </c>
      <c r="P24" s="13">
        <v>929.34</v>
      </c>
      <c r="Q24" s="14">
        <v>850.73</v>
      </c>
      <c r="R24" s="14">
        <v>78.61</v>
      </c>
      <c r="S24" s="15">
        <v>9.2399999999999996E-2</v>
      </c>
      <c r="T24" s="13">
        <v>86893.71</v>
      </c>
      <c r="U24" s="14">
        <v>80801.289999999994</v>
      </c>
      <c r="V24" s="14">
        <v>6092.42</v>
      </c>
      <c r="W24" s="15">
        <v>7.5399999999999995E-2</v>
      </c>
      <c r="X24" s="13">
        <v>51676.43</v>
      </c>
      <c r="Y24" s="14">
        <v>47566.67</v>
      </c>
      <c r="Z24" s="14">
        <v>4109.76</v>
      </c>
      <c r="AA24" s="15">
        <v>8.6400000000000005E-2</v>
      </c>
      <c r="AB24" s="13">
        <v>35217.279999999999</v>
      </c>
      <c r="AC24" s="14">
        <v>31744.44</v>
      </c>
      <c r="AD24" s="14">
        <v>3472.84</v>
      </c>
      <c r="AE24" s="15">
        <v>0.1094</v>
      </c>
      <c r="AF24" s="2"/>
      <c r="AM24" s="4"/>
    </row>
    <row r="25" spans="1:39" x14ac:dyDescent="0.35">
      <c r="A25" s="11" t="s">
        <v>73</v>
      </c>
      <c r="B25" s="12" t="s">
        <v>83</v>
      </c>
      <c r="C25" s="12" t="s">
        <v>77</v>
      </c>
      <c r="D25" s="13">
        <v>17569148.190000001</v>
      </c>
      <c r="E25" s="14">
        <v>17301323.699999999</v>
      </c>
      <c r="F25" s="14">
        <v>267824.49</v>
      </c>
      <c r="G25" s="15">
        <v>1.55E-2</v>
      </c>
      <c r="H25" s="13">
        <v>114199.46</v>
      </c>
      <c r="I25" s="14">
        <v>111579.57</v>
      </c>
      <c r="J25" s="14">
        <v>2619.89</v>
      </c>
      <c r="K25" s="15">
        <v>2.35E-2</v>
      </c>
      <c r="L25" s="13">
        <v>36543.83</v>
      </c>
      <c r="M25" s="14">
        <v>35088.36</v>
      </c>
      <c r="N25" s="14">
        <v>1455.47</v>
      </c>
      <c r="O25" s="15">
        <v>4.1500000000000002E-2</v>
      </c>
      <c r="P25" s="13">
        <v>1405.53</v>
      </c>
      <c r="Q25" s="14">
        <v>1336.72</v>
      </c>
      <c r="R25" s="14">
        <v>68.81</v>
      </c>
      <c r="S25" s="15">
        <v>5.1499999999999997E-2</v>
      </c>
      <c r="T25" s="13">
        <v>76250.100000000006</v>
      </c>
      <c r="U25" s="14">
        <v>73708.63</v>
      </c>
      <c r="V25" s="14">
        <v>2541.4699999999998</v>
      </c>
      <c r="W25" s="15">
        <v>3.4500000000000003E-2</v>
      </c>
      <c r="X25" s="13">
        <v>48381.63</v>
      </c>
      <c r="Y25" s="14">
        <v>46276.95</v>
      </c>
      <c r="Z25" s="14">
        <v>2104.6799999999998</v>
      </c>
      <c r="AA25" s="15">
        <v>4.5499999999999999E-2</v>
      </c>
      <c r="AB25" s="13">
        <v>27868.47</v>
      </c>
      <c r="AC25" s="14">
        <v>26082.35</v>
      </c>
      <c r="AD25" s="14">
        <v>1786.12</v>
      </c>
      <c r="AE25" s="15">
        <v>6.8500000000000005E-2</v>
      </c>
      <c r="AF25" s="2"/>
      <c r="AM25" s="4"/>
    </row>
    <row r="26" spans="1:39" x14ac:dyDescent="0.35">
      <c r="A26" s="11" t="s">
        <v>73</v>
      </c>
      <c r="B26" s="12" t="s">
        <v>83</v>
      </c>
      <c r="C26" s="12" t="s">
        <v>78</v>
      </c>
      <c r="D26" s="13">
        <v>4895098.3099999996</v>
      </c>
      <c r="E26" s="14">
        <v>5208437.9400000004</v>
      </c>
      <c r="F26" s="14">
        <v>-313339.63</v>
      </c>
      <c r="G26" s="15">
        <v>-6.0199999999999997E-2</v>
      </c>
      <c r="H26" s="13">
        <v>14685.29</v>
      </c>
      <c r="I26" s="14">
        <v>15493.43</v>
      </c>
      <c r="J26" s="14">
        <v>-808.14</v>
      </c>
      <c r="K26" s="15">
        <v>-5.2200000000000003E-2</v>
      </c>
      <c r="L26" s="13">
        <v>2643.35</v>
      </c>
      <c r="M26" s="14">
        <v>2736.84</v>
      </c>
      <c r="N26" s="14">
        <v>-93.49</v>
      </c>
      <c r="O26" s="15">
        <v>-3.4200000000000001E-2</v>
      </c>
      <c r="P26" s="13">
        <v>391.61</v>
      </c>
      <c r="Q26" s="14">
        <v>401.31</v>
      </c>
      <c r="R26" s="14">
        <v>-9.6999999999999993</v>
      </c>
      <c r="S26" s="15">
        <v>-2.4199999999999999E-2</v>
      </c>
      <c r="T26" s="13">
        <v>11650.33</v>
      </c>
      <c r="U26" s="14">
        <v>12150.44</v>
      </c>
      <c r="V26" s="14">
        <v>-500.11</v>
      </c>
      <c r="W26" s="15">
        <v>-4.1200000000000001E-2</v>
      </c>
      <c r="X26" s="13">
        <v>6221.55</v>
      </c>
      <c r="Y26" s="14">
        <v>6415.03</v>
      </c>
      <c r="Z26" s="14">
        <v>-193.48</v>
      </c>
      <c r="AA26" s="15">
        <v>-3.0200000000000001E-2</v>
      </c>
      <c r="AB26" s="13">
        <v>5428.78</v>
      </c>
      <c r="AC26" s="14">
        <v>5467.93</v>
      </c>
      <c r="AD26" s="14">
        <v>-39.15</v>
      </c>
      <c r="AE26" s="15">
        <v>-7.1999999999999998E-3</v>
      </c>
      <c r="AF26" s="2"/>
      <c r="AM26" s="4"/>
    </row>
    <row r="27" spans="1:39" x14ac:dyDescent="0.35">
      <c r="A27" s="11" t="s">
        <v>73</v>
      </c>
      <c r="B27" s="12" t="s">
        <v>83</v>
      </c>
      <c r="C27" s="12" t="s">
        <v>79</v>
      </c>
      <c r="D27" s="13">
        <v>7158541.9199999999</v>
      </c>
      <c r="E27" s="14">
        <v>7449675.2300000004</v>
      </c>
      <c r="F27" s="14">
        <v>-291133.31</v>
      </c>
      <c r="G27" s="15">
        <v>-3.9100000000000003E-2</v>
      </c>
      <c r="H27" s="13">
        <v>32213.439999999999</v>
      </c>
      <c r="I27" s="14">
        <v>33246.75</v>
      </c>
      <c r="J27" s="14">
        <v>-1033.31</v>
      </c>
      <c r="K27" s="15">
        <v>-3.1099999999999999E-2</v>
      </c>
      <c r="L27" s="13">
        <v>7086.96</v>
      </c>
      <c r="M27" s="14">
        <v>7180.89</v>
      </c>
      <c r="N27" s="14">
        <v>-93.93</v>
      </c>
      <c r="O27" s="15">
        <v>-1.3100000000000001E-2</v>
      </c>
      <c r="P27" s="13">
        <v>572.67999999999995</v>
      </c>
      <c r="Q27" s="14">
        <v>574.45000000000005</v>
      </c>
      <c r="R27" s="14">
        <v>-1.77</v>
      </c>
      <c r="S27" s="15">
        <v>-3.0999999999999999E-3</v>
      </c>
      <c r="T27" s="13">
        <v>24553.8</v>
      </c>
      <c r="U27" s="14">
        <v>25056.94</v>
      </c>
      <c r="V27" s="14">
        <v>-503.14</v>
      </c>
      <c r="W27" s="15">
        <v>-2.01E-2</v>
      </c>
      <c r="X27" s="13">
        <v>13647.51</v>
      </c>
      <c r="Y27" s="14">
        <v>13772.57</v>
      </c>
      <c r="Z27" s="14">
        <v>-125.05</v>
      </c>
      <c r="AA27" s="15">
        <v>-9.1000000000000004E-3</v>
      </c>
      <c r="AB27" s="13">
        <v>10906.29</v>
      </c>
      <c r="AC27" s="14">
        <v>10756.56</v>
      </c>
      <c r="AD27" s="14">
        <v>149.72999999999999</v>
      </c>
      <c r="AE27" s="15">
        <v>1.3899999999999999E-2</v>
      </c>
      <c r="AF27" s="2"/>
      <c r="AM27" s="4"/>
    </row>
    <row r="28" spans="1:39" x14ac:dyDescent="0.35">
      <c r="A28" s="11" t="s">
        <v>73</v>
      </c>
      <c r="B28" s="12" t="s">
        <v>84</v>
      </c>
      <c r="C28" s="12" t="s">
        <v>75</v>
      </c>
      <c r="D28" s="13">
        <v>18328660.289999999</v>
      </c>
      <c r="E28" s="14">
        <v>17664475.989999998</v>
      </c>
      <c r="F28" s="14">
        <v>664184.30000000005</v>
      </c>
      <c r="G28" s="15">
        <v>3.7600000000000001E-2</v>
      </c>
      <c r="H28" s="13">
        <v>137464.95000000001</v>
      </c>
      <c r="I28" s="14">
        <v>131469.92000000001</v>
      </c>
      <c r="J28" s="14">
        <v>5995.03</v>
      </c>
      <c r="K28" s="15">
        <v>4.5600000000000002E-2</v>
      </c>
      <c r="L28" s="13">
        <v>48112.73</v>
      </c>
      <c r="M28" s="14">
        <v>45235.74</v>
      </c>
      <c r="N28" s="14">
        <v>2876.99</v>
      </c>
      <c r="O28" s="15">
        <v>6.3600000000000004E-2</v>
      </c>
      <c r="P28" s="13">
        <v>1283.01</v>
      </c>
      <c r="Q28" s="14">
        <v>1195.05</v>
      </c>
      <c r="R28" s="14">
        <v>87.96</v>
      </c>
      <c r="S28" s="15">
        <v>7.3599999999999999E-2</v>
      </c>
      <c r="T28" s="13">
        <v>88069.21</v>
      </c>
      <c r="U28" s="14">
        <v>83351.509999999995</v>
      </c>
      <c r="V28" s="14">
        <v>4717.7</v>
      </c>
      <c r="W28" s="15">
        <v>5.6599999999999998E-2</v>
      </c>
      <c r="X28" s="13">
        <v>58238.26</v>
      </c>
      <c r="Y28" s="14">
        <v>54550.64</v>
      </c>
      <c r="Z28" s="14">
        <v>3687.62</v>
      </c>
      <c r="AA28" s="15">
        <v>6.7599999999999993E-2</v>
      </c>
      <c r="AB28" s="13">
        <v>29830.95</v>
      </c>
      <c r="AC28" s="14">
        <v>27352.79</v>
      </c>
      <c r="AD28" s="14">
        <v>2478.16</v>
      </c>
      <c r="AE28" s="15">
        <v>9.06E-2</v>
      </c>
      <c r="AF28" s="2"/>
      <c r="AM28" s="4"/>
    </row>
    <row r="29" spans="1:39" x14ac:dyDescent="0.35">
      <c r="A29" s="11" t="s">
        <v>73</v>
      </c>
      <c r="B29" s="12" t="s">
        <v>84</v>
      </c>
      <c r="C29" s="12" t="s">
        <v>76</v>
      </c>
      <c r="D29" s="13">
        <v>29042016.210000001</v>
      </c>
      <c r="E29" s="14">
        <v>27130407.68</v>
      </c>
      <c r="F29" s="14">
        <v>1911608.53</v>
      </c>
      <c r="G29" s="15">
        <v>7.0499999999999993E-2</v>
      </c>
      <c r="H29" s="13">
        <v>304941.17</v>
      </c>
      <c r="I29" s="14">
        <v>282756.12</v>
      </c>
      <c r="J29" s="14">
        <v>22185.05</v>
      </c>
      <c r="K29" s="15">
        <v>7.85E-2</v>
      </c>
      <c r="L29" s="13">
        <v>85383.53</v>
      </c>
      <c r="M29" s="14">
        <v>77872</v>
      </c>
      <c r="N29" s="14">
        <v>7511.53</v>
      </c>
      <c r="O29" s="15">
        <v>9.6500000000000002E-2</v>
      </c>
      <c r="P29" s="13">
        <v>2032.94</v>
      </c>
      <c r="Q29" s="14">
        <v>1837.34</v>
      </c>
      <c r="R29" s="14">
        <v>195.6</v>
      </c>
      <c r="S29" s="15">
        <v>0.1065</v>
      </c>
      <c r="T29" s="13">
        <v>217524.7</v>
      </c>
      <c r="U29" s="14">
        <v>199662.86</v>
      </c>
      <c r="V29" s="14">
        <v>17861.84</v>
      </c>
      <c r="W29" s="15">
        <v>8.9499999999999996E-2</v>
      </c>
      <c r="X29" s="13">
        <v>129191.06</v>
      </c>
      <c r="Y29" s="14">
        <v>117397.33</v>
      </c>
      <c r="Z29" s="14">
        <v>11793.74</v>
      </c>
      <c r="AA29" s="15">
        <v>0.10050000000000001</v>
      </c>
      <c r="AB29" s="13">
        <v>88333.64</v>
      </c>
      <c r="AC29" s="14">
        <v>78626.42</v>
      </c>
      <c r="AD29" s="14">
        <v>9707.2199999999993</v>
      </c>
      <c r="AE29" s="15">
        <v>0.1235</v>
      </c>
      <c r="AF29" s="2"/>
      <c r="AM29" s="4"/>
    </row>
    <row r="30" spans="1:39" x14ac:dyDescent="0.35">
      <c r="A30" s="11" t="s">
        <v>73</v>
      </c>
      <c r="B30" s="12" t="s">
        <v>84</v>
      </c>
      <c r="C30" s="12" t="s">
        <v>77</v>
      </c>
      <c r="D30" s="13">
        <v>43922870.469999999</v>
      </c>
      <c r="E30" s="14">
        <v>42662616.770000003</v>
      </c>
      <c r="F30" s="14">
        <v>1260253.7</v>
      </c>
      <c r="G30" s="15">
        <v>2.9499999999999998E-2</v>
      </c>
      <c r="H30" s="13">
        <v>285498.65999999997</v>
      </c>
      <c r="I30" s="14">
        <v>275168.82</v>
      </c>
      <c r="J30" s="14">
        <v>10329.84</v>
      </c>
      <c r="K30" s="15">
        <v>3.7499999999999999E-2</v>
      </c>
      <c r="L30" s="13">
        <v>91359.57</v>
      </c>
      <c r="M30" s="14">
        <v>86552.45</v>
      </c>
      <c r="N30" s="14">
        <v>4807.12</v>
      </c>
      <c r="O30" s="15">
        <v>5.5500000000000001E-2</v>
      </c>
      <c r="P30" s="13">
        <v>3074.6</v>
      </c>
      <c r="Q30" s="14">
        <v>2885.49</v>
      </c>
      <c r="R30" s="14">
        <v>189.11</v>
      </c>
      <c r="S30" s="15">
        <v>6.5500000000000003E-2</v>
      </c>
      <c r="T30" s="13">
        <v>191064.49</v>
      </c>
      <c r="U30" s="14">
        <v>182219.55</v>
      </c>
      <c r="V30" s="14">
        <v>8844.94</v>
      </c>
      <c r="W30" s="15">
        <v>4.8500000000000001E-2</v>
      </c>
      <c r="X30" s="13">
        <v>120954.07</v>
      </c>
      <c r="Y30" s="14">
        <v>114157.15</v>
      </c>
      <c r="Z30" s="14">
        <v>6796.92</v>
      </c>
      <c r="AA30" s="15">
        <v>5.9499999999999997E-2</v>
      </c>
      <c r="AB30" s="13">
        <v>70110.42</v>
      </c>
      <c r="AC30" s="14">
        <v>64764.74</v>
      </c>
      <c r="AD30" s="14">
        <v>5345.68</v>
      </c>
      <c r="AE30" s="15">
        <v>8.2500000000000004E-2</v>
      </c>
      <c r="AF30" s="2"/>
      <c r="AM30" s="4"/>
    </row>
    <row r="31" spans="1:39" x14ac:dyDescent="0.35">
      <c r="A31" s="11" t="s">
        <v>73</v>
      </c>
      <c r="B31" s="12" t="s">
        <v>84</v>
      </c>
      <c r="C31" s="12" t="s">
        <v>78</v>
      </c>
      <c r="D31" s="13">
        <v>12237745.77</v>
      </c>
      <c r="E31" s="14">
        <v>12829170.529999999</v>
      </c>
      <c r="F31" s="14">
        <v>-591424.76</v>
      </c>
      <c r="G31" s="15">
        <v>-4.6100000000000002E-2</v>
      </c>
      <c r="H31" s="13">
        <v>36713.24</v>
      </c>
      <c r="I31" s="14">
        <v>38167.42</v>
      </c>
      <c r="J31" s="14">
        <v>-1454.18</v>
      </c>
      <c r="K31" s="15">
        <v>-3.8100000000000002E-2</v>
      </c>
      <c r="L31" s="13">
        <v>6608.38</v>
      </c>
      <c r="M31" s="14">
        <v>6743.93</v>
      </c>
      <c r="N31" s="14">
        <v>-135.55000000000001</v>
      </c>
      <c r="O31" s="15">
        <v>-2.01E-2</v>
      </c>
      <c r="P31" s="13">
        <v>856.64</v>
      </c>
      <c r="Q31" s="14">
        <v>865.38</v>
      </c>
      <c r="R31" s="14">
        <v>-8.74</v>
      </c>
      <c r="S31" s="15">
        <v>-1.01E-2</v>
      </c>
      <c r="T31" s="13">
        <v>29248.21</v>
      </c>
      <c r="U31" s="14">
        <v>30062.91</v>
      </c>
      <c r="V31" s="14">
        <v>-814.7</v>
      </c>
      <c r="W31" s="15">
        <v>-2.7099999999999999E-2</v>
      </c>
      <c r="X31" s="13">
        <v>15553.89</v>
      </c>
      <c r="Y31" s="14">
        <v>15808.41</v>
      </c>
      <c r="Z31" s="14">
        <v>-254.52</v>
      </c>
      <c r="AA31" s="15">
        <v>-1.61E-2</v>
      </c>
      <c r="AB31" s="13">
        <v>13694.32</v>
      </c>
      <c r="AC31" s="14">
        <v>13600.47</v>
      </c>
      <c r="AD31" s="14">
        <v>93.84</v>
      </c>
      <c r="AE31" s="15">
        <v>6.8999999999999999E-3</v>
      </c>
      <c r="AF31" s="2"/>
      <c r="AM31" s="4"/>
    </row>
    <row r="32" spans="1:39" x14ac:dyDescent="0.35">
      <c r="A32" s="11" t="s">
        <v>73</v>
      </c>
      <c r="B32" s="12" t="s">
        <v>84</v>
      </c>
      <c r="C32" s="12" t="s">
        <v>79</v>
      </c>
      <c r="D32" s="13">
        <v>17896354.809999999</v>
      </c>
      <c r="E32" s="14">
        <v>18355612.23</v>
      </c>
      <c r="F32" s="14">
        <v>-459257.42</v>
      </c>
      <c r="G32" s="15">
        <v>-2.5000000000000001E-2</v>
      </c>
      <c r="H32" s="13">
        <v>80533.600000000006</v>
      </c>
      <c r="I32" s="14">
        <v>81928.009999999995</v>
      </c>
      <c r="J32" s="14">
        <v>-1394.41</v>
      </c>
      <c r="K32" s="15">
        <v>-1.7000000000000001E-2</v>
      </c>
      <c r="L32" s="13">
        <v>17717.39</v>
      </c>
      <c r="M32" s="14">
        <v>17700.04</v>
      </c>
      <c r="N32" s="14">
        <v>17.350000000000001</v>
      </c>
      <c r="O32" s="15">
        <v>1E-3</v>
      </c>
      <c r="P32" s="13">
        <v>1252.74</v>
      </c>
      <c r="Q32" s="14">
        <v>1239.1300000000001</v>
      </c>
      <c r="R32" s="14">
        <v>13.61</v>
      </c>
      <c r="S32" s="15">
        <v>1.0999999999999999E-2</v>
      </c>
      <c r="T32" s="13">
        <v>61563.46</v>
      </c>
      <c r="U32" s="14">
        <v>61936.32</v>
      </c>
      <c r="V32" s="14">
        <v>-372.86</v>
      </c>
      <c r="W32" s="15">
        <v>-6.0000000000000001E-3</v>
      </c>
      <c r="X32" s="13">
        <v>34118.78</v>
      </c>
      <c r="Y32" s="14">
        <v>33949.71</v>
      </c>
      <c r="Z32" s="14">
        <v>169.07</v>
      </c>
      <c r="AA32" s="15">
        <v>5.0000000000000001E-3</v>
      </c>
      <c r="AB32" s="13">
        <v>27444.68</v>
      </c>
      <c r="AC32" s="14">
        <v>26697.68</v>
      </c>
      <c r="AD32" s="14">
        <v>747</v>
      </c>
      <c r="AE32" s="15">
        <v>2.8000000000000001E-2</v>
      </c>
      <c r="AF32" s="2"/>
      <c r="AM32" s="4"/>
    </row>
    <row r="33" spans="1:39" x14ac:dyDescent="0.35">
      <c r="A33" s="16" t="s">
        <v>85</v>
      </c>
      <c r="B33" s="17" t="s">
        <v>74</v>
      </c>
      <c r="C33" s="17" t="s">
        <v>75</v>
      </c>
      <c r="D33" s="18">
        <v>11369618.029999999</v>
      </c>
      <c r="E33" s="19">
        <v>11833244.550000001</v>
      </c>
      <c r="F33" s="19">
        <v>-463626.52</v>
      </c>
      <c r="G33" s="20">
        <v>-3.9199999999999999E-2</v>
      </c>
      <c r="H33" s="18">
        <v>85272.14</v>
      </c>
      <c r="I33" s="19">
        <v>88016.49</v>
      </c>
      <c r="J33" s="19">
        <v>-2744.35</v>
      </c>
      <c r="K33" s="20">
        <v>-3.1199999999999999E-2</v>
      </c>
      <c r="L33" s="18">
        <v>29845.25</v>
      </c>
      <c r="M33" s="19">
        <v>30243.86</v>
      </c>
      <c r="N33" s="19">
        <v>-398.61</v>
      </c>
      <c r="O33" s="20">
        <v>-1.32E-2</v>
      </c>
      <c r="P33" s="18">
        <v>2046.53</v>
      </c>
      <c r="Q33" s="19">
        <v>2053.06</v>
      </c>
      <c r="R33" s="19">
        <v>-6.53</v>
      </c>
      <c r="S33" s="20">
        <v>-3.2000000000000002E-3</v>
      </c>
      <c r="T33" s="18">
        <v>53380.36</v>
      </c>
      <c r="U33" s="19">
        <v>54479.76</v>
      </c>
      <c r="V33" s="19">
        <v>-1099.4000000000001</v>
      </c>
      <c r="W33" s="20">
        <v>-2.0199999999999999E-2</v>
      </c>
      <c r="X33" s="18">
        <v>33454.07</v>
      </c>
      <c r="Y33" s="19">
        <v>33764.03</v>
      </c>
      <c r="Z33" s="19">
        <v>-309.95</v>
      </c>
      <c r="AA33" s="20">
        <v>-9.1999999999999998E-3</v>
      </c>
      <c r="AB33" s="18">
        <v>19926.29</v>
      </c>
      <c r="AC33" s="19">
        <v>19654.66</v>
      </c>
      <c r="AD33" s="19">
        <v>271.63</v>
      </c>
      <c r="AE33" s="20">
        <v>1.38E-2</v>
      </c>
      <c r="AF33" s="2"/>
      <c r="AM33" s="4"/>
    </row>
    <row r="34" spans="1:39" x14ac:dyDescent="0.35">
      <c r="A34" s="16" t="s">
        <v>85</v>
      </c>
      <c r="B34" s="17" t="s">
        <v>74</v>
      </c>
      <c r="C34" s="17" t="s">
        <v>76</v>
      </c>
      <c r="D34" s="18">
        <v>18160814.719999999</v>
      </c>
      <c r="E34" s="19">
        <v>18185547.059999999</v>
      </c>
      <c r="F34" s="19">
        <v>-24732.34</v>
      </c>
      <c r="G34" s="20">
        <v>-1.4E-3</v>
      </c>
      <c r="H34" s="18">
        <v>190688.55</v>
      </c>
      <c r="I34" s="19">
        <v>189430.73</v>
      </c>
      <c r="J34" s="19">
        <v>1257.82</v>
      </c>
      <c r="K34" s="20">
        <v>6.6E-3</v>
      </c>
      <c r="L34" s="18">
        <v>53392.800000000003</v>
      </c>
      <c r="M34" s="19">
        <v>52108.84</v>
      </c>
      <c r="N34" s="19">
        <v>1283.96</v>
      </c>
      <c r="O34" s="20">
        <v>2.46E-2</v>
      </c>
      <c r="P34" s="18">
        <v>3268.95</v>
      </c>
      <c r="Q34" s="19">
        <v>3159.5</v>
      </c>
      <c r="R34" s="19">
        <v>109.45</v>
      </c>
      <c r="S34" s="20">
        <v>3.4599999999999999E-2</v>
      </c>
      <c r="T34" s="18">
        <v>134026.81</v>
      </c>
      <c r="U34" s="19">
        <v>131703.56</v>
      </c>
      <c r="V34" s="19">
        <v>2323.25</v>
      </c>
      <c r="W34" s="20">
        <v>1.7600000000000001E-2</v>
      </c>
      <c r="X34" s="18">
        <v>74811.17</v>
      </c>
      <c r="Y34" s="19">
        <v>72728.23</v>
      </c>
      <c r="Z34" s="19">
        <v>2082.94</v>
      </c>
      <c r="AA34" s="20">
        <v>2.86E-2</v>
      </c>
      <c r="AB34" s="18">
        <v>59215.64</v>
      </c>
      <c r="AC34" s="19">
        <v>56307.9</v>
      </c>
      <c r="AD34" s="19">
        <v>2907.74</v>
      </c>
      <c r="AE34" s="20">
        <v>5.16E-2</v>
      </c>
      <c r="AF34" s="2"/>
      <c r="AM34" s="4"/>
    </row>
    <row r="35" spans="1:39" x14ac:dyDescent="0.35">
      <c r="A35" s="16" t="s">
        <v>85</v>
      </c>
      <c r="B35" s="17" t="s">
        <v>74</v>
      </c>
      <c r="C35" s="17" t="s">
        <v>77</v>
      </c>
      <c r="D35" s="18">
        <v>26833248.969999999</v>
      </c>
      <c r="E35" s="19">
        <v>28182041.469999999</v>
      </c>
      <c r="F35" s="19">
        <v>-1348792.5</v>
      </c>
      <c r="G35" s="20">
        <v>-4.7899999999999998E-2</v>
      </c>
      <c r="H35" s="18">
        <v>174416.12</v>
      </c>
      <c r="I35" s="19">
        <v>181656.97</v>
      </c>
      <c r="J35" s="19">
        <v>-7240.85</v>
      </c>
      <c r="K35" s="20">
        <v>-3.9899999999999998E-2</v>
      </c>
      <c r="L35" s="18">
        <v>55813.16</v>
      </c>
      <c r="M35" s="19">
        <v>57060.5</v>
      </c>
      <c r="N35" s="19">
        <v>-1247.3399999999999</v>
      </c>
      <c r="O35" s="20">
        <v>-2.1899999999999999E-2</v>
      </c>
      <c r="P35" s="18">
        <v>4829.9799999999996</v>
      </c>
      <c r="Q35" s="19">
        <v>4887.95</v>
      </c>
      <c r="R35" s="19">
        <v>-57.97</v>
      </c>
      <c r="S35" s="20">
        <v>-1.1900000000000001E-2</v>
      </c>
      <c r="T35" s="18">
        <v>113772.98</v>
      </c>
      <c r="U35" s="19">
        <v>117154.05</v>
      </c>
      <c r="V35" s="19">
        <v>-3381.07</v>
      </c>
      <c r="W35" s="20">
        <v>-2.8899999999999999E-2</v>
      </c>
      <c r="X35" s="18">
        <v>68427.149999999994</v>
      </c>
      <c r="Y35" s="19">
        <v>69671.48</v>
      </c>
      <c r="Z35" s="19">
        <v>-1244.33</v>
      </c>
      <c r="AA35" s="20">
        <v>-1.7899999999999999E-2</v>
      </c>
      <c r="AB35" s="18">
        <v>45345.83</v>
      </c>
      <c r="AC35" s="19">
        <v>45113.94</v>
      </c>
      <c r="AD35" s="19">
        <v>231.89</v>
      </c>
      <c r="AE35" s="20">
        <v>5.1000000000000004E-3</v>
      </c>
      <c r="AF35" s="2"/>
      <c r="AM35" s="4"/>
    </row>
    <row r="36" spans="1:39" x14ac:dyDescent="0.35">
      <c r="A36" s="16" t="s">
        <v>85</v>
      </c>
      <c r="B36" s="17" t="s">
        <v>74</v>
      </c>
      <c r="C36" s="17" t="s">
        <v>78</v>
      </c>
      <c r="D36" s="18">
        <v>7516502.7199999997</v>
      </c>
      <c r="E36" s="19">
        <v>7966954.3200000003</v>
      </c>
      <c r="F36" s="19">
        <v>-450451.6</v>
      </c>
      <c r="G36" s="20">
        <v>-5.6500000000000002E-2</v>
      </c>
      <c r="H36" s="18">
        <v>22549.51</v>
      </c>
      <c r="I36" s="19">
        <v>23699.9</v>
      </c>
      <c r="J36" s="19">
        <v>-1150.3900000000001</v>
      </c>
      <c r="K36" s="20">
        <v>-4.8500000000000001E-2</v>
      </c>
      <c r="L36" s="18">
        <v>4058.91</v>
      </c>
      <c r="M36" s="19">
        <v>4186.7700000000004</v>
      </c>
      <c r="N36" s="19">
        <v>-127.86</v>
      </c>
      <c r="O36" s="20">
        <v>-3.0499999999999999E-2</v>
      </c>
      <c r="P36" s="18">
        <v>1352.97</v>
      </c>
      <c r="Q36" s="19">
        <v>1381.34</v>
      </c>
      <c r="R36" s="19">
        <v>-28.37</v>
      </c>
      <c r="S36" s="20">
        <v>-2.0500000000000001E-2</v>
      </c>
      <c r="T36" s="18">
        <v>17137.63</v>
      </c>
      <c r="U36" s="19">
        <v>17806.07</v>
      </c>
      <c r="V36" s="19">
        <v>-668.44</v>
      </c>
      <c r="W36" s="20">
        <v>-3.7499999999999999E-2</v>
      </c>
      <c r="X36" s="18">
        <v>8846.65</v>
      </c>
      <c r="Y36" s="19">
        <v>9087.84</v>
      </c>
      <c r="Z36" s="19">
        <v>-241.19</v>
      </c>
      <c r="AA36" s="20">
        <v>-2.6499999999999999E-2</v>
      </c>
      <c r="AB36" s="18">
        <v>8290.98</v>
      </c>
      <c r="AC36" s="19">
        <v>8320.43</v>
      </c>
      <c r="AD36" s="19">
        <v>-29.45</v>
      </c>
      <c r="AE36" s="20">
        <v>-3.5000000000000001E-3</v>
      </c>
      <c r="AF36" s="2"/>
      <c r="AM36" s="4"/>
    </row>
    <row r="37" spans="1:39" x14ac:dyDescent="0.35">
      <c r="A37" s="16" t="s">
        <v>85</v>
      </c>
      <c r="B37" s="17" t="s">
        <v>74</v>
      </c>
      <c r="C37" s="17" t="s">
        <v>79</v>
      </c>
      <c r="D37" s="18">
        <v>10915992.92</v>
      </c>
      <c r="E37" s="19">
        <v>11295522.48</v>
      </c>
      <c r="F37" s="19">
        <v>-379529.56</v>
      </c>
      <c r="G37" s="20">
        <v>-3.3599999999999998E-2</v>
      </c>
      <c r="H37" s="18">
        <v>49121.97</v>
      </c>
      <c r="I37" s="19">
        <v>50412.53</v>
      </c>
      <c r="J37" s="19">
        <v>-1290.56</v>
      </c>
      <c r="K37" s="20">
        <v>-2.5600000000000001E-2</v>
      </c>
      <c r="L37" s="18">
        <v>10806.83</v>
      </c>
      <c r="M37" s="19">
        <v>10889.59</v>
      </c>
      <c r="N37" s="19">
        <v>-82.76</v>
      </c>
      <c r="O37" s="20">
        <v>-7.6E-3</v>
      </c>
      <c r="P37" s="18">
        <v>1964.88</v>
      </c>
      <c r="Q37" s="19">
        <v>1960.18</v>
      </c>
      <c r="R37" s="19">
        <v>4.7</v>
      </c>
      <c r="S37" s="20">
        <v>2.3999999999999998E-3</v>
      </c>
      <c r="T37" s="18">
        <v>36350.26</v>
      </c>
      <c r="U37" s="19">
        <v>36888.839999999997</v>
      </c>
      <c r="V37" s="19">
        <v>-538.58000000000004</v>
      </c>
      <c r="W37" s="20">
        <v>-1.46E-2</v>
      </c>
      <c r="X37" s="18">
        <v>19271.59</v>
      </c>
      <c r="Y37" s="19">
        <v>19341.22</v>
      </c>
      <c r="Z37" s="19">
        <v>-69.63</v>
      </c>
      <c r="AA37" s="20">
        <v>-3.5999999999999999E-3</v>
      </c>
      <c r="AB37" s="18">
        <v>17078.669999999998</v>
      </c>
      <c r="AC37" s="19">
        <v>16753.650000000001</v>
      </c>
      <c r="AD37" s="19">
        <v>325.02</v>
      </c>
      <c r="AE37" s="20">
        <v>1.9400000000000001E-2</v>
      </c>
      <c r="AF37" s="2"/>
      <c r="AM37" s="4"/>
    </row>
    <row r="38" spans="1:39" x14ac:dyDescent="0.35">
      <c r="A38" s="16" t="s">
        <v>85</v>
      </c>
      <c r="B38" s="17" t="s">
        <v>80</v>
      </c>
      <c r="C38" s="17" t="s">
        <v>75</v>
      </c>
      <c r="D38" s="18">
        <v>6056170.79</v>
      </c>
      <c r="E38" s="19">
        <v>6171327.7699999996</v>
      </c>
      <c r="F38" s="19">
        <v>-115156.98</v>
      </c>
      <c r="G38" s="20">
        <v>-1.8700000000000001E-2</v>
      </c>
      <c r="H38" s="18">
        <v>45421.279999999999</v>
      </c>
      <c r="I38" s="19">
        <v>45910.69</v>
      </c>
      <c r="J38" s="19">
        <v>-489.41</v>
      </c>
      <c r="K38" s="20">
        <v>-1.0699999999999999E-2</v>
      </c>
      <c r="L38" s="18">
        <v>15897.45</v>
      </c>
      <c r="M38" s="19">
        <v>15781.61</v>
      </c>
      <c r="N38" s="19">
        <v>115.84</v>
      </c>
      <c r="O38" s="20">
        <v>7.3000000000000001E-3</v>
      </c>
      <c r="P38" s="18">
        <v>545.05999999999995</v>
      </c>
      <c r="Q38" s="19">
        <v>535.77</v>
      </c>
      <c r="R38" s="19">
        <v>9.2899999999999991</v>
      </c>
      <c r="S38" s="20">
        <v>1.7299999999999999E-2</v>
      </c>
      <c r="T38" s="18">
        <v>28978.78</v>
      </c>
      <c r="U38" s="19">
        <v>28968.93</v>
      </c>
      <c r="V38" s="19">
        <v>9.85</v>
      </c>
      <c r="W38" s="20">
        <v>2.9999999999999997E-4</v>
      </c>
      <c r="X38" s="18">
        <v>17819.73</v>
      </c>
      <c r="Y38" s="19">
        <v>17619.919999999998</v>
      </c>
      <c r="Z38" s="19">
        <v>199.81</v>
      </c>
      <c r="AA38" s="20">
        <v>1.1299999999999999E-2</v>
      </c>
      <c r="AB38" s="18">
        <v>11159.05</v>
      </c>
      <c r="AC38" s="19">
        <v>10788.57</v>
      </c>
      <c r="AD38" s="19">
        <v>370.48</v>
      </c>
      <c r="AE38" s="20">
        <v>3.4299999999999997E-2</v>
      </c>
      <c r="AF38" s="2"/>
      <c r="AM38" s="4"/>
    </row>
    <row r="39" spans="1:39" x14ac:dyDescent="0.35">
      <c r="A39" s="16" t="s">
        <v>85</v>
      </c>
      <c r="B39" s="17" t="s">
        <v>80</v>
      </c>
      <c r="C39" s="17" t="s">
        <v>76</v>
      </c>
      <c r="D39" s="18">
        <v>9672714.25</v>
      </c>
      <c r="E39" s="19">
        <v>9490869.1999999993</v>
      </c>
      <c r="F39" s="19">
        <v>181845.05</v>
      </c>
      <c r="G39" s="20">
        <v>1.9199999999999998E-2</v>
      </c>
      <c r="H39" s="18">
        <v>101563.5</v>
      </c>
      <c r="I39" s="19">
        <v>98877.97</v>
      </c>
      <c r="J39" s="19">
        <v>2685.53</v>
      </c>
      <c r="K39" s="20">
        <v>2.7199999999999998E-2</v>
      </c>
      <c r="L39" s="18">
        <v>28437.78</v>
      </c>
      <c r="M39" s="19">
        <v>27209.02</v>
      </c>
      <c r="N39" s="19">
        <v>1228.76</v>
      </c>
      <c r="O39" s="20">
        <v>4.5199999999999997E-2</v>
      </c>
      <c r="P39" s="18">
        <v>870.54</v>
      </c>
      <c r="Q39" s="19">
        <v>825.03</v>
      </c>
      <c r="R39" s="19">
        <v>45.51</v>
      </c>
      <c r="S39" s="20">
        <v>5.5199999999999999E-2</v>
      </c>
      <c r="T39" s="18">
        <v>72255.179999999993</v>
      </c>
      <c r="U39" s="19">
        <v>69599.27</v>
      </c>
      <c r="V39" s="19">
        <v>2655.91</v>
      </c>
      <c r="W39" s="20">
        <v>3.8199999999999998E-2</v>
      </c>
      <c r="X39" s="18">
        <v>39845.519999999997</v>
      </c>
      <c r="Y39" s="19">
        <v>37978.5</v>
      </c>
      <c r="Z39" s="19">
        <v>1867.02</v>
      </c>
      <c r="AA39" s="20">
        <v>4.9200000000000001E-2</v>
      </c>
      <c r="AB39" s="18">
        <v>32409.66</v>
      </c>
      <c r="AC39" s="19">
        <v>30228.38</v>
      </c>
      <c r="AD39" s="19">
        <v>2181.2800000000002</v>
      </c>
      <c r="AE39" s="20">
        <v>7.22E-2</v>
      </c>
      <c r="AF39" s="2"/>
      <c r="AM39" s="4"/>
    </row>
    <row r="40" spans="1:39" x14ac:dyDescent="0.35">
      <c r="A40" s="16" t="s">
        <v>85</v>
      </c>
      <c r="B40" s="17" t="s">
        <v>80</v>
      </c>
      <c r="C40" s="17" t="s">
        <v>77</v>
      </c>
      <c r="D40" s="18">
        <v>14293069.300000001</v>
      </c>
      <c r="E40" s="19">
        <v>14694825.84</v>
      </c>
      <c r="F40" s="19">
        <v>-401756.54</v>
      </c>
      <c r="G40" s="20">
        <v>-2.7300000000000001E-2</v>
      </c>
      <c r="H40" s="18">
        <v>92904.95</v>
      </c>
      <c r="I40" s="19">
        <v>94737.17</v>
      </c>
      <c r="J40" s="19">
        <v>-1832.22</v>
      </c>
      <c r="K40" s="20">
        <v>-1.9300000000000001E-2</v>
      </c>
      <c r="L40" s="18">
        <v>29729.58</v>
      </c>
      <c r="M40" s="19">
        <v>29769.47</v>
      </c>
      <c r="N40" s="19">
        <v>-39.89</v>
      </c>
      <c r="O40" s="20">
        <v>-1.2999999999999999E-3</v>
      </c>
      <c r="P40" s="18">
        <v>1286.3800000000001</v>
      </c>
      <c r="Q40" s="19">
        <v>1275.3399999999999</v>
      </c>
      <c r="R40" s="19">
        <v>11.04</v>
      </c>
      <c r="S40" s="20">
        <v>8.6999999999999994E-3</v>
      </c>
      <c r="T40" s="18">
        <v>61888.99</v>
      </c>
      <c r="U40" s="19">
        <v>62409.49</v>
      </c>
      <c r="V40" s="19">
        <v>-520.5</v>
      </c>
      <c r="W40" s="20">
        <v>-8.3000000000000001E-3</v>
      </c>
      <c r="X40" s="18">
        <v>36448.589999999997</v>
      </c>
      <c r="Y40" s="19">
        <v>36351.89</v>
      </c>
      <c r="Z40" s="19">
        <v>96.7</v>
      </c>
      <c r="AA40" s="20">
        <v>2.7000000000000001E-3</v>
      </c>
      <c r="AB40" s="18">
        <v>25440.400000000001</v>
      </c>
      <c r="AC40" s="19">
        <v>24803.93</v>
      </c>
      <c r="AD40" s="19">
        <v>636.47</v>
      </c>
      <c r="AE40" s="20">
        <v>2.5700000000000001E-2</v>
      </c>
      <c r="AF40" s="2"/>
      <c r="AM40" s="4"/>
    </row>
    <row r="41" spans="1:39" x14ac:dyDescent="0.35">
      <c r="A41" s="16" t="s">
        <v>85</v>
      </c>
      <c r="B41" s="17" t="s">
        <v>80</v>
      </c>
      <c r="C41" s="17" t="s">
        <v>78</v>
      </c>
      <c r="D41" s="18">
        <v>4003398.75</v>
      </c>
      <c r="E41" s="19">
        <v>4152989.43</v>
      </c>
      <c r="F41" s="19">
        <v>-149590.68</v>
      </c>
      <c r="G41" s="20">
        <v>-3.5999999999999997E-2</v>
      </c>
      <c r="H41" s="18">
        <v>12010.2</v>
      </c>
      <c r="I41" s="19">
        <v>12356.43</v>
      </c>
      <c r="J41" s="19">
        <v>-346.23</v>
      </c>
      <c r="K41" s="20">
        <v>-2.8000000000000001E-2</v>
      </c>
      <c r="L41" s="18">
        <v>2161.84</v>
      </c>
      <c r="M41" s="19">
        <v>2183.7199999999998</v>
      </c>
      <c r="N41" s="19">
        <v>-21.88</v>
      </c>
      <c r="O41" s="20">
        <v>-0.01</v>
      </c>
      <c r="P41" s="18">
        <v>360.31</v>
      </c>
      <c r="Q41" s="19">
        <v>360.32</v>
      </c>
      <c r="R41" s="19">
        <v>-0.01</v>
      </c>
      <c r="S41" s="20">
        <v>0</v>
      </c>
      <c r="T41" s="18">
        <v>9488.06</v>
      </c>
      <c r="U41" s="19">
        <v>9652.34</v>
      </c>
      <c r="V41" s="19">
        <v>-164.28</v>
      </c>
      <c r="W41" s="20">
        <v>-1.7000000000000001E-2</v>
      </c>
      <c r="X41" s="18">
        <v>4711.8599999999997</v>
      </c>
      <c r="Y41" s="19">
        <v>4740.3900000000003</v>
      </c>
      <c r="Z41" s="19">
        <v>-28.54</v>
      </c>
      <c r="AA41" s="20">
        <v>-6.0000000000000001E-3</v>
      </c>
      <c r="AB41" s="18">
        <v>4776.2</v>
      </c>
      <c r="AC41" s="19">
        <v>4696.46</v>
      </c>
      <c r="AD41" s="19">
        <v>79.75</v>
      </c>
      <c r="AE41" s="20">
        <v>1.7000000000000001E-2</v>
      </c>
      <c r="AF41" s="2"/>
      <c r="AM41" s="4"/>
    </row>
    <row r="42" spans="1:39" x14ac:dyDescent="0.35">
      <c r="A42" s="16" t="s">
        <v>85</v>
      </c>
      <c r="B42" s="17" t="s">
        <v>80</v>
      </c>
      <c r="C42" s="17" t="s">
        <v>79</v>
      </c>
      <c r="D42" s="18">
        <v>5814016.71</v>
      </c>
      <c r="E42" s="19">
        <v>5891071.9299999997</v>
      </c>
      <c r="F42" s="19">
        <v>-77055.22</v>
      </c>
      <c r="G42" s="20">
        <v>-1.3100000000000001E-2</v>
      </c>
      <c r="H42" s="18">
        <v>26163.08</v>
      </c>
      <c r="I42" s="19">
        <v>26296.67</v>
      </c>
      <c r="J42" s="19">
        <v>-133.59</v>
      </c>
      <c r="K42" s="20">
        <v>-5.1000000000000004E-3</v>
      </c>
      <c r="L42" s="18">
        <v>5755.88</v>
      </c>
      <c r="M42" s="19">
        <v>5682.46</v>
      </c>
      <c r="N42" s="19">
        <v>73.42</v>
      </c>
      <c r="O42" s="20">
        <v>1.29E-2</v>
      </c>
      <c r="P42" s="18">
        <v>523.26</v>
      </c>
      <c r="Q42" s="19">
        <v>511.54</v>
      </c>
      <c r="R42" s="19">
        <v>11.72</v>
      </c>
      <c r="S42" s="20">
        <v>2.29E-2</v>
      </c>
      <c r="T42" s="18">
        <v>19883.939999999999</v>
      </c>
      <c r="U42" s="19">
        <v>19766.919999999998</v>
      </c>
      <c r="V42" s="19">
        <v>117.02</v>
      </c>
      <c r="W42" s="20">
        <v>5.8999999999999999E-3</v>
      </c>
      <c r="X42" s="18">
        <v>10264.33</v>
      </c>
      <c r="Y42" s="19">
        <v>10093.549999999999</v>
      </c>
      <c r="Z42" s="19">
        <v>170.78</v>
      </c>
      <c r="AA42" s="20">
        <v>1.6899999999999998E-2</v>
      </c>
      <c r="AB42" s="18">
        <v>9619.61</v>
      </c>
      <c r="AC42" s="19">
        <v>9250.33</v>
      </c>
      <c r="AD42" s="19">
        <v>369.27</v>
      </c>
      <c r="AE42" s="20">
        <v>3.9899999999999998E-2</v>
      </c>
      <c r="AF42" s="2"/>
      <c r="AM42" s="4"/>
    </row>
    <row r="43" spans="1:39" x14ac:dyDescent="0.35">
      <c r="A43" s="16" t="s">
        <v>85</v>
      </c>
      <c r="B43" s="17" t="s">
        <v>81</v>
      </c>
      <c r="C43" s="17" t="s">
        <v>75</v>
      </c>
      <c r="D43" s="18">
        <v>7377669.6500000004</v>
      </c>
      <c r="E43" s="19">
        <v>7730489.1799999997</v>
      </c>
      <c r="F43" s="19">
        <v>-352819.53</v>
      </c>
      <c r="G43" s="20">
        <v>-4.5600000000000002E-2</v>
      </c>
      <c r="H43" s="18">
        <v>55332.52</v>
      </c>
      <c r="I43" s="19">
        <v>57496.7</v>
      </c>
      <c r="J43" s="19">
        <v>-2164.1799999999998</v>
      </c>
      <c r="K43" s="20">
        <v>-3.7600000000000001E-2</v>
      </c>
      <c r="L43" s="18">
        <v>19366.38</v>
      </c>
      <c r="M43" s="19">
        <v>19754.36</v>
      </c>
      <c r="N43" s="19">
        <v>-387.98</v>
      </c>
      <c r="O43" s="20">
        <v>-1.9599999999999999E-2</v>
      </c>
      <c r="P43" s="18">
        <v>1475.53</v>
      </c>
      <c r="Q43" s="19">
        <v>1489.89</v>
      </c>
      <c r="R43" s="19">
        <v>-14.36</v>
      </c>
      <c r="S43" s="20">
        <v>-9.5999999999999992E-3</v>
      </c>
      <c r="T43" s="18">
        <v>34490.61</v>
      </c>
      <c r="U43" s="19">
        <v>35434.589999999997</v>
      </c>
      <c r="V43" s="19">
        <v>-943.98</v>
      </c>
      <c r="W43" s="20">
        <v>-2.6599999999999999E-2</v>
      </c>
      <c r="X43" s="18">
        <v>21708.12</v>
      </c>
      <c r="Y43" s="19">
        <v>22053.03</v>
      </c>
      <c r="Z43" s="19">
        <v>-344.91</v>
      </c>
      <c r="AA43" s="20">
        <v>-1.5599999999999999E-2</v>
      </c>
      <c r="AB43" s="18">
        <v>12782.49</v>
      </c>
      <c r="AC43" s="19">
        <v>12689.09</v>
      </c>
      <c r="AD43" s="19">
        <v>93.39</v>
      </c>
      <c r="AE43" s="20">
        <v>7.4000000000000003E-3</v>
      </c>
      <c r="AF43" s="2"/>
      <c r="AM43" s="4"/>
    </row>
    <row r="44" spans="1:39" x14ac:dyDescent="0.35">
      <c r="A44" s="16" t="s">
        <v>85</v>
      </c>
      <c r="B44" s="17" t="s">
        <v>81</v>
      </c>
      <c r="C44" s="17" t="s">
        <v>76</v>
      </c>
      <c r="D44" s="18">
        <v>11784949.17</v>
      </c>
      <c r="E44" s="19">
        <v>11877833.83</v>
      </c>
      <c r="F44" s="19">
        <v>-92884.66</v>
      </c>
      <c r="G44" s="20">
        <v>-7.7999999999999996E-3</v>
      </c>
      <c r="H44" s="18">
        <v>123741.97</v>
      </c>
      <c r="I44" s="19">
        <v>123719.7</v>
      </c>
      <c r="J44" s="19">
        <v>22.27</v>
      </c>
      <c r="K44" s="20">
        <v>2.0000000000000001E-4</v>
      </c>
      <c r="L44" s="18">
        <v>34647.75</v>
      </c>
      <c r="M44" s="19">
        <v>34029.1</v>
      </c>
      <c r="N44" s="19">
        <v>618.65</v>
      </c>
      <c r="O44" s="20">
        <v>1.8200000000000001E-2</v>
      </c>
      <c r="P44" s="18">
        <v>2356.9899999999998</v>
      </c>
      <c r="Q44" s="19">
        <v>2292.39</v>
      </c>
      <c r="R44" s="19">
        <v>64.599999999999994</v>
      </c>
      <c r="S44" s="20">
        <v>2.8199999999999999E-2</v>
      </c>
      <c r="T44" s="18">
        <v>86737.23</v>
      </c>
      <c r="U44" s="19">
        <v>85778.23</v>
      </c>
      <c r="V44" s="19">
        <v>959</v>
      </c>
      <c r="W44" s="20">
        <v>1.12E-2</v>
      </c>
      <c r="X44" s="18">
        <v>48546.6</v>
      </c>
      <c r="Y44" s="19">
        <v>47493.21</v>
      </c>
      <c r="Z44" s="19">
        <v>1053.4000000000001</v>
      </c>
      <c r="AA44" s="20">
        <v>2.2200000000000001E-2</v>
      </c>
      <c r="AB44" s="18">
        <v>38190.629999999997</v>
      </c>
      <c r="AC44" s="19">
        <v>36539.760000000002</v>
      </c>
      <c r="AD44" s="19">
        <v>1650.87</v>
      </c>
      <c r="AE44" s="20">
        <v>4.5199999999999997E-2</v>
      </c>
      <c r="AF44" s="2"/>
      <c r="AM44" s="4"/>
    </row>
    <row r="45" spans="1:39" x14ac:dyDescent="0.35">
      <c r="A45" s="16" t="s">
        <v>85</v>
      </c>
      <c r="B45" s="17" t="s">
        <v>81</v>
      </c>
      <c r="C45" s="17" t="s">
        <v>77</v>
      </c>
      <c r="D45" s="18">
        <v>17411917.09</v>
      </c>
      <c r="E45" s="19">
        <v>18412060.199999999</v>
      </c>
      <c r="F45" s="19">
        <v>-1000143.11</v>
      </c>
      <c r="G45" s="20">
        <v>-5.4300000000000001E-2</v>
      </c>
      <c r="H45" s="18">
        <v>113177.46</v>
      </c>
      <c r="I45" s="19">
        <v>118674.46</v>
      </c>
      <c r="J45" s="19">
        <v>-5497</v>
      </c>
      <c r="K45" s="20">
        <v>-4.6300000000000001E-2</v>
      </c>
      <c r="L45" s="18">
        <v>36216.79</v>
      </c>
      <c r="M45" s="19">
        <v>37272.339999999997</v>
      </c>
      <c r="N45" s="19">
        <v>-1055.55</v>
      </c>
      <c r="O45" s="20">
        <v>-2.8299999999999999E-2</v>
      </c>
      <c r="P45" s="18">
        <v>3482.38</v>
      </c>
      <c r="Q45" s="19">
        <v>3547.37</v>
      </c>
      <c r="R45" s="19">
        <v>-64.989999999999995</v>
      </c>
      <c r="S45" s="20">
        <v>-1.83E-2</v>
      </c>
      <c r="T45" s="18">
        <v>73478.289999999994</v>
      </c>
      <c r="U45" s="19">
        <v>76168.56</v>
      </c>
      <c r="V45" s="19">
        <v>-2690.27</v>
      </c>
      <c r="W45" s="20">
        <v>-3.5299999999999998E-2</v>
      </c>
      <c r="X45" s="18">
        <v>44401.919999999998</v>
      </c>
      <c r="Y45" s="19">
        <v>45508.69</v>
      </c>
      <c r="Z45" s="19">
        <v>-1106.77</v>
      </c>
      <c r="AA45" s="20">
        <v>-2.4299999999999999E-2</v>
      </c>
      <c r="AB45" s="18">
        <v>29076.37</v>
      </c>
      <c r="AC45" s="19">
        <v>29114.799999999999</v>
      </c>
      <c r="AD45" s="19">
        <v>-38.43</v>
      </c>
      <c r="AE45" s="20">
        <v>-1.2999999999999999E-3</v>
      </c>
      <c r="AF45" s="2"/>
      <c r="AM45" s="4"/>
    </row>
    <row r="46" spans="1:39" x14ac:dyDescent="0.35">
      <c r="A46" s="16" t="s">
        <v>85</v>
      </c>
      <c r="B46" s="17" t="s">
        <v>81</v>
      </c>
      <c r="C46" s="17" t="s">
        <v>78</v>
      </c>
      <c r="D46" s="18">
        <v>4877622.72</v>
      </c>
      <c r="E46" s="19">
        <v>5205573.87</v>
      </c>
      <c r="F46" s="19">
        <v>-327951.15000000002</v>
      </c>
      <c r="G46" s="20">
        <v>-6.3E-2</v>
      </c>
      <c r="H46" s="18">
        <v>14632.87</v>
      </c>
      <c r="I46" s="19">
        <v>15484.52</v>
      </c>
      <c r="J46" s="19">
        <v>-851.65</v>
      </c>
      <c r="K46" s="20">
        <v>-5.5E-2</v>
      </c>
      <c r="L46" s="18">
        <v>2633.92</v>
      </c>
      <c r="M46" s="19">
        <v>2735.12</v>
      </c>
      <c r="N46" s="19">
        <v>-101.2</v>
      </c>
      <c r="O46" s="20">
        <v>-3.6999999999999998E-2</v>
      </c>
      <c r="P46" s="18">
        <v>975.52</v>
      </c>
      <c r="Q46" s="19">
        <v>1002.59</v>
      </c>
      <c r="R46" s="19">
        <v>-27.07</v>
      </c>
      <c r="S46" s="20">
        <v>-2.7E-2</v>
      </c>
      <c r="T46" s="18">
        <v>11023.43</v>
      </c>
      <c r="U46" s="19">
        <v>11530.78</v>
      </c>
      <c r="V46" s="19">
        <v>-507.35</v>
      </c>
      <c r="W46" s="20">
        <v>-4.3999999999999997E-2</v>
      </c>
      <c r="X46" s="18">
        <v>5740.79</v>
      </c>
      <c r="Y46" s="19">
        <v>5936.7</v>
      </c>
      <c r="Z46" s="19">
        <v>-195.91</v>
      </c>
      <c r="AA46" s="20">
        <v>-3.3000000000000002E-2</v>
      </c>
      <c r="AB46" s="18">
        <v>5282.64</v>
      </c>
      <c r="AC46" s="19">
        <v>5336</v>
      </c>
      <c r="AD46" s="19">
        <v>-53.36</v>
      </c>
      <c r="AE46" s="20">
        <v>-0.01</v>
      </c>
      <c r="AF46" s="2"/>
      <c r="AM46" s="4"/>
    </row>
    <row r="47" spans="1:39" x14ac:dyDescent="0.35">
      <c r="A47" s="16" t="s">
        <v>85</v>
      </c>
      <c r="B47" s="17" t="s">
        <v>81</v>
      </c>
      <c r="C47" s="17" t="s">
        <v>79</v>
      </c>
      <c r="D47" s="18">
        <v>7083626.1299999999</v>
      </c>
      <c r="E47" s="19">
        <v>7379238.4199999999</v>
      </c>
      <c r="F47" s="19">
        <v>-295612.28999999998</v>
      </c>
      <c r="G47" s="20">
        <v>-4.0099999999999997E-2</v>
      </c>
      <c r="H47" s="18">
        <v>31876.32</v>
      </c>
      <c r="I47" s="19">
        <v>32932.120000000003</v>
      </c>
      <c r="J47" s="19">
        <v>-1055.8</v>
      </c>
      <c r="K47" s="20">
        <v>-3.2099999999999997E-2</v>
      </c>
      <c r="L47" s="18">
        <v>7012.79</v>
      </c>
      <c r="M47" s="19">
        <v>7112.8</v>
      </c>
      <c r="N47" s="19">
        <v>-100.01</v>
      </c>
      <c r="O47" s="20">
        <v>-1.41E-2</v>
      </c>
      <c r="P47" s="18">
        <v>1416.73</v>
      </c>
      <c r="Q47" s="19">
        <v>1422.51</v>
      </c>
      <c r="R47" s="19">
        <v>-5.78</v>
      </c>
      <c r="S47" s="20">
        <v>-4.1000000000000003E-3</v>
      </c>
      <c r="T47" s="18">
        <v>23446.799999999999</v>
      </c>
      <c r="U47" s="19">
        <v>23951.21</v>
      </c>
      <c r="V47" s="19">
        <v>-504.41</v>
      </c>
      <c r="W47" s="20">
        <v>-2.1100000000000001E-2</v>
      </c>
      <c r="X47" s="18">
        <v>12505.76</v>
      </c>
      <c r="Y47" s="19">
        <v>12632.84</v>
      </c>
      <c r="Z47" s="19">
        <v>-127.09</v>
      </c>
      <c r="AA47" s="20">
        <v>-1.01E-2</v>
      </c>
      <c r="AB47" s="18">
        <v>10941.04</v>
      </c>
      <c r="AC47" s="19">
        <v>10801.27</v>
      </c>
      <c r="AD47" s="19">
        <v>139.77000000000001</v>
      </c>
      <c r="AE47" s="20">
        <v>1.29E-2</v>
      </c>
      <c r="AF47" s="2"/>
      <c r="AM47" s="4"/>
    </row>
    <row r="48" spans="1:39" x14ac:dyDescent="0.35">
      <c r="A48" s="16" t="s">
        <v>85</v>
      </c>
      <c r="B48" s="17" t="s">
        <v>82</v>
      </c>
      <c r="C48" s="17" t="s">
        <v>75</v>
      </c>
      <c r="D48" s="18">
        <v>8975211.5500000007</v>
      </c>
      <c r="E48" s="19">
        <v>9297076.3300000001</v>
      </c>
      <c r="F48" s="19">
        <v>-321864.78000000003</v>
      </c>
      <c r="G48" s="20">
        <v>-3.4599999999999999E-2</v>
      </c>
      <c r="H48" s="18">
        <v>67314.09</v>
      </c>
      <c r="I48" s="19">
        <v>69155</v>
      </c>
      <c r="J48" s="19">
        <v>-1840.91</v>
      </c>
      <c r="K48" s="20">
        <v>-2.6599999999999999E-2</v>
      </c>
      <c r="L48" s="18">
        <v>23559.93</v>
      </c>
      <c r="M48" s="19">
        <v>23764.78</v>
      </c>
      <c r="N48" s="19">
        <v>-204.85</v>
      </c>
      <c r="O48" s="20">
        <v>-8.6E-3</v>
      </c>
      <c r="P48" s="18">
        <v>1346.28</v>
      </c>
      <c r="Q48" s="19">
        <v>1344.42</v>
      </c>
      <c r="R48" s="19">
        <v>1.86</v>
      </c>
      <c r="S48" s="20">
        <v>1.4E-3</v>
      </c>
      <c r="T48" s="18">
        <v>42407.87</v>
      </c>
      <c r="U48" s="19">
        <v>43080.79</v>
      </c>
      <c r="V48" s="19">
        <v>-672.92</v>
      </c>
      <c r="W48" s="20">
        <v>-1.5599999999999999E-2</v>
      </c>
      <c r="X48" s="18">
        <v>26408.75</v>
      </c>
      <c r="Y48" s="19">
        <v>26531.32</v>
      </c>
      <c r="Z48" s="19">
        <v>-122.57</v>
      </c>
      <c r="AA48" s="20">
        <v>-4.5999999999999999E-3</v>
      </c>
      <c r="AB48" s="18">
        <v>15999.12</v>
      </c>
      <c r="AC48" s="19">
        <v>15710.37</v>
      </c>
      <c r="AD48" s="19">
        <v>288.76</v>
      </c>
      <c r="AE48" s="20">
        <v>1.84E-2</v>
      </c>
      <c r="AF48" s="2"/>
      <c r="AM48" s="4"/>
    </row>
    <row r="49" spans="1:39" x14ac:dyDescent="0.35">
      <c r="A49" s="16" t="s">
        <v>85</v>
      </c>
      <c r="B49" s="17" t="s">
        <v>82</v>
      </c>
      <c r="C49" s="17" t="s">
        <v>76</v>
      </c>
      <c r="D49" s="18">
        <v>14336519.16</v>
      </c>
      <c r="E49" s="19">
        <v>14290788.640000001</v>
      </c>
      <c r="F49" s="19">
        <v>45730.52</v>
      </c>
      <c r="G49" s="20">
        <v>3.2000000000000002E-3</v>
      </c>
      <c r="H49" s="18">
        <v>150533.45000000001</v>
      </c>
      <c r="I49" s="19">
        <v>148866.15</v>
      </c>
      <c r="J49" s="19">
        <v>1667.3</v>
      </c>
      <c r="K49" s="20">
        <v>1.12E-2</v>
      </c>
      <c r="L49" s="18">
        <v>42149.37</v>
      </c>
      <c r="M49" s="19">
        <v>40953.53</v>
      </c>
      <c r="N49" s="19">
        <v>1195.8399999999999</v>
      </c>
      <c r="O49" s="20">
        <v>2.92E-2</v>
      </c>
      <c r="P49" s="18">
        <v>2150.48</v>
      </c>
      <c r="Q49" s="19">
        <v>2069.36</v>
      </c>
      <c r="R49" s="19">
        <v>81.12</v>
      </c>
      <c r="S49" s="20">
        <v>3.9199999999999999E-2</v>
      </c>
      <c r="T49" s="18">
        <v>106233.61</v>
      </c>
      <c r="U49" s="19">
        <v>103926.44</v>
      </c>
      <c r="V49" s="19">
        <v>2307.17</v>
      </c>
      <c r="W49" s="20">
        <v>2.2200000000000001E-2</v>
      </c>
      <c r="X49" s="18">
        <v>59057.47</v>
      </c>
      <c r="Y49" s="19">
        <v>57159.77</v>
      </c>
      <c r="Z49" s="19">
        <v>1897.7</v>
      </c>
      <c r="AA49" s="20">
        <v>3.32E-2</v>
      </c>
      <c r="AB49" s="18">
        <v>47176.14</v>
      </c>
      <c r="AC49" s="19">
        <v>44665.91</v>
      </c>
      <c r="AD49" s="19">
        <v>2510.2199999999998</v>
      </c>
      <c r="AE49" s="20">
        <v>5.62E-2</v>
      </c>
      <c r="AF49" s="2"/>
      <c r="AM49" s="4"/>
    </row>
    <row r="50" spans="1:39" x14ac:dyDescent="0.35">
      <c r="A50" s="16" t="s">
        <v>85</v>
      </c>
      <c r="B50" s="17" t="s">
        <v>82</v>
      </c>
      <c r="C50" s="17" t="s">
        <v>77</v>
      </c>
      <c r="D50" s="18">
        <v>21182249.52</v>
      </c>
      <c r="E50" s="19">
        <v>22140952.780000001</v>
      </c>
      <c r="F50" s="19">
        <v>-958703.26</v>
      </c>
      <c r="G50" s="20">
        <v>-4.3299999999999998E-2</v>
      </c>
      <c r="H50" s="18">
        <v>137684.62</v>
      </c>
      <c r="I50" s="19">
        <v>142722.73000000001</v>
      </c>
      <c r="J50" s="19">
        <v>-5038.1099999999997</v>
      </c>
      <c r="K50" s="20">
        <v>-3.5299999999999998E-2</v>
      </c>
      <c r="L50" s="18">
        <v>44059.08</v>
      </c>
      <c r="M50" s="19">
        <v>44834.720000000001</v>
      </c>
      <c r="N50" s="19">
        <v>-775.64</v>
      </c>
      <c r="O50" s="20">
        <v>-1.7299999999999999E-2</v>
      </c>
      <c r="P50" s="18">
        <v>3177.34</v>
      </c>
      <c r="Q50" s="19">
        <v>3200.71</v>
      </c>
      <c r="R50" s="19">
        <v>-23.37</v>
      </c>
      <c r="S50" s="20">
        <v>-7.3000000000000001E-3</v>
      </c>
      <c r="T50" s="18">
        <v>90448.21</v>
      </c>
      <c r="U50" s="19">
        <v>92700.84</v>
      </c>
      <c r="V50" s="19">
        <v>-2252.63</v>
      </c>
      <c r="W50" s="20">
        <v>-2.4299999999999999E-2</v>
      </c>
      <c r="X50" s="18">
        <v>54016.6</v>
      </c>
      <c r="Y50" s="19">
        <v>54744.71</v>
      </c>
      <c r="Z50" s="19">
        <v>-728.1</v>
      </c>
      <c r="AA50" s="20">
        <v>-1.3299999999999999E-2</v>
      </c>
      <c r="AB50" s="18">
        <v>36431.61</v>
      </c>
      <c r="AC50" s="19">
        <v>36081.620000000003</v>
      </c>
      <c r="AD50" s="19">
        <v>349.99</v>
      </c>
      <c r="AE50" s="20">
        <v>9.7000000000000003E-3</v>
      </c>
      <c r="AF50" s="2"/>
      <c r="AM50" s="4"/>
    </row>
    <row r="51" spans="1:39" x14ac:dyDescent="0.35">
      <c r="A51" s="16" t="s">
        <v>85</v>
      </c>
      <c r="B51" s="17" t="s">
        <v>82</v>
      </c>
      <c r="C51" s="17" t="s">
        <v>78</v>
      </c>
      <c r="D51" s="18">
        <v>5933681.2199999997</v>
      </c>
      <c r="E51" s="19">
        <v>6259025.3600000003</v>
      </c>
      <c r="F51" s="19">
        <v>-325344.14</v>
      </c>
      <c r="G51" s="20">
        <v>-5.1999999999999998E-2</v>
      </c>
      <c r="H51" s="18">
        <v>17801.04</v>
      </c>
      <c r="I51" s="19">
        <v>18619.95</v>
      </c>
      <c r="J51" s="19">
        <v>-818.91</v>
      </c>
      <c r="K51" s="20">
        <v>-4.3999999999999997E-2</v>
      </c>
      <c r="L51" s="18">
        <v>3204.19</v>
      </c>
      <c r="M51" s="19">
        <v>3289.66</v>
      </c>
      <c r="N51" s="19">
        <v>-85.47</v>
      </c>
      <c r="O51" s="20">
        <v>-2.5999999999999999E-2</v>
      </c>
      <c r="P51" s="18">
        <v>890.05</v>
      </c>
      <c r="Q51" s="19">
        <v>904.5</v>
      </c>
      <c r="R51" s="19">
        <v>-14.45</v>
      </c>
      <c r="S51" s="20">
        <v>-1.6E-2</v>
      </c>
      <c r="T51" s="18">
        <v>13706.8</v>
      </c>
      <c r="U51" s="19">
        <v>14174.27</v>
      </c>
      <c r="V51" s="19">
        <v>-467.47</v>
      </c>
      <c r="W51" s="20">
        <v>-3.3000000000000002E-2</v>
      </c>
      <c r="X51" s="18">
        <v>6983.73</v>
      </c>
      <c r="Y51" s="19">
        <v>7140.68</v>
      </c>
      <c r="Z51" s="19">
        <v>-156.94999999999999</v>
      </c>
      <c r="AA51" s="20">
        <v>-2.1999999999999999E-2</v>
      </c>
      <c r="AB51" s="18">
        <v>6723.07</v>
      </c>
      <c r="AC51" s="19">
        <v>6716.22</v>
      </c>
      <c r="AD51" s="19">
        <v>6.85</v>
      </c>
      <c r="AE51" s="20">
        <v>1E-3</v>
      </c>
      <c r="AF51" s="2"/>
      <c r="AM51" s="4"/>
    </row>
    <row r="52" spans="1:39" x14ac:dyDescent="0.35">
      <c r="A52" s="16" t="s">
        <v>85</v>
      </c>
      <c r="B52" s="17" t="s">
        <v>82</v>
      </c>
      <c r="C52" s="17" t="s">
        <v>79</v>
      </c>
      <c r="D52" s="18">
        <v>8617308.4299999997</v>
      </c>
      <c r="E52" s="19">
        <v>8875039.5800000001</v>
      </c>
      <c r="F52" s="19">
        <v>-257731.15</v>
      </c>
      <c r="G52" s="20">
        <v>-2.9000000000000001E-2</v>
      </c>
      <c r="H52" s="18">
        <v>38777.89</v>
      </c>
      <c r="I52" s="19">
        <v>39611.31</v>
      </c>
      <c r="J52" s="19">
        <v>-833.42</v>
      </c>
      <c r="K52" s="20">
        <v>-2.1000000000000001E-2</v>
      </c>
      <c r="L52" s="18">
        <v>8531.14</v>
      </c>
      <c r="M52" s="19">
        <v>8557.15</v>
      </c>
      <c r="N52" s="19">
        <v>-26.01</v>
      </c>
      <c r="O52" s="20">
        <v>-3.0000000000000001E-3</v>
      </c>
      <c r="P52" s="18">
        <v>1292.5999999999999</v>
      </c>
      <c r="Q52" s="19">
        <v>1283.67</v>
      </c>
      <c r="R52" s="19">
        <v>8.93</v>
      </c>
      <c r="S52" s="20">
        <v>7.0000000000000001E-3</v>
      </c>
      <c r="T52" s="18">
        <v>28954.16</v>
      </c>
      <c r="U52" s="19">
        <v>29247.81</v>
      </c>
      <c r="V52" s="19">
        <v>-293.64999999999998</v>
      </c>
      <c r="W52" s="20">
        <v>-0.01</v>
      </c>
      <c r="X52" s="18">
        <v>15213.39</v>
      </c>
      <c r="Y52" s="19">
        <v>15198.8</v>
      </c>
      <c r="Z52" s="19">
        <v>14.59</v>
      </c>
      <c r="AA52" s="20">
        <v>1E-3</v>
      </c>
      <c r="AB52" s="18">
        <v>13740.77</v>
      </c>
      <c r="AC52" s="19">
        <v>13419.24</v>
      </c>
      <c r="AD52" s="19">
        <v>321.52999999999997</v>
      </c>
      <c r="AE52" s="20">
        <v>2.4E-2</v>
      </c>
      <c r="AF52" s="2"/>
      <c r="AM52" s="4"/>
    </row>
    <row r="53" spans="1:39" x14ac:dyDescent="0.35">
      <c r="A53" s="16" t="s">
        <v>85</v>
      </c>
      <c r="B53" s="17" t="s">
        <v>83</v>
      </c>
      <c r="C53" s="17" t="s">
        <v>75</v>
      </c>
      <c r="D53" s="18">
        <v>7723104.7199999997</v>
      </c>
      <c r="E53" s="19">
        <v>7891348.2699999996</v>
      </c>
      <c r="F53" s="19">
        <v>-168243.55</v>
      </c>
      <c r="G53" s="20">
        <v>-2.1299999999999999E-2</v>
      </c>
      <c r="H53" s="18">
        <v>57923.29</v>
      </c>
      <c r="I53" s="19">
        <v>58705.24</v>
      </c>
      <c r="J53" s="19">
        <v>-781.95</v>
      </c>
      <c r="K53" s="20">
        <v>-1.3299999999999999E-2</v>
      </c>
      <c r="L53" s="18">
        <v>20273.150000000001</v>
      </c>
      <c r="M53" s="19">
        <v>20178.71</v>
      </c>
      <c r="N53" s="19">
        <v>94.44</v>
      </c>
      <c r="O53" s="20">
        <v>4.7000000000000002E-3</v>
      </c>
      <c r="P53" s="18">
        <v>617.85</v>
      </c>
      <c r="Q53" s="19">
        <v>608.91</v>
      </c>
      <c r="R53" s="19">
        <v>8.94</v>
      </c>
      <c r="S53" s="20">
        <v>1.47E-2</v>
      </c>
      <c r="T53" s="18">
        <v>37032.29</v>
      </c>
      <c r="U53" s="19">
        <v>37118.400000000001</v>
      </c>
      <c r="V53" s="19">
        <v>-86.11</v>
      </c>
      <c r="W53" s="20">
        <v>-2.3E-3</v>
      </c>
      <c r="X53" s="18">
        <v>22724.54</v>
      </c>
      <c r="Y53" s="19">
        <v>22528.99</v>
      </c>
      <c r="Z53" s="19">
        <v>195.55</v>
      </c>
      <c r="AA53" s="20">
        <v>8.6999999999999994E-3</v>
      </c>
      <c r="AB53" s="18">
        <v>14307.75</v>
      </c>
      <c r="AC53" s="19">
        <v>13868.4</v>
      </c>
      <c r="AD53" s="19">
        <v>439.35</v>
      </c>
      <c r="AE53" s="20">
        <v>3.1699999999999999E-2</v>
      </c>
      <c r="AF53" s="2"/>
      <c r="AM53" s="4"/>
    </row>
    <row r="54" spans="1:39" x14ac:dyDescent="0.35">
      <c r="A54" s="16" t="s">
        <v>85</v>
      </c>
      <c r="B54" s="17" t="s">
        <v>83</v>
      </c>
      <c r="C54" s="17" t="s">
        <v>76</v>
      </c>
      <c r="D54" s="18">
        <v>12335647.73</v>
      </c>
      <c r="E54" s="19">
        <v>12135413.41</v>
      </c>
      <c r="F54" s="19">
        <v>200234.32</v>
      </c>
      <c r="G54" s="20">
        <v>1.6500000000000001E-2</v>
      </c>
      <c r="H54" s="18">
        <v>129524.3</v>
      </c>
      <c r="I54" s="19">
        <v>126426.84</v>
      </c>
      <c r="J54" s="19">
        <v>3097.46</v>
      </c>
      <c r="K54" s="20">
        <v>2.4500000000000001E-2</v>
      </c>
      <c r="L54" s="18">
        <v>36266.800000000003</v>
      </c>
      <c r="M54" s="19">
        <v>34788.300000000003</v>
      </c>
      <c r="N54" s="19">
        <v>1478.5</v>
      </c>
      <c r="O54" s="20">
        <v>4.2500000000000003E-2</v>
      </c>
      <c r="P54" s="18">
        <v>986.85</v>
      </c>
      <c r="Q54" s="19">
        <v>937.62</v>
      </c>
      <c r="R54" s="19">
        <v>49.23</v>
      </c>
      <c r="S54" s="20">
        <v>5.2499999999999998E-2</v>
      </c>
      <c r="T54" s="18">
        <v>92270.65</v>
      </c>
      <c r="U54" s="19">
        <v>89107.34</v>
      </c>
      <c r="V54" s="19">
        <v>3163.31</v>
      </c>
      <c r="W54" s="20">
        <v>3.5499999999999997E-2</v>
      </c>
      <c r="X54" s="18">
        <v>50815.14</v>
      </c>
      <c r="Y54" s="19">
        <v>48557.22</v>
      </c>
      <c r="Z54" s="19">
        <v>2257.91</v>
      </c>
      <c r="AA54" s="20">
        <v>4.65E-2</v>
      </c>
      <c r="AB54" s="18">
        <v>41455.51</v>
      </c>
      <c r="AC54" s="19">
        <v>38761.58</v>
      </c>
      <c r="AD54" s="19">
        <v>2693.93</v>
      </c>
      <c r="AE54" s="20">
        <v>6.9500000000000006E-2</v>
      </c>
      <c r="AF54" s="2"/>
      <c r="AM54" s="4"/>
    </row>
    <row r="55" spans="1:39" x14ac:dyDescent="0.35">
      <c r="A55" s="16" t="s">
        <v>85</v>
      </c>
      <c r="B55" s="17" t="s">
        <v>83</v>
      </c>
      <c r="C55" s="17" t="s">
        <v>77</v>
      </c>
      <c r="D55" s="18">
        <v>18227172.739999998</v>
      </c>
      <c r="E55" s="19">
        <v>18790899.73</v>
      </c>
      <c r="F55" s="19">
        <v>-563726.99</v>
      </c>
      <c r="G55" s="20">
        <v>-0.03</v>
      </c>
      <c r="H55" s="18">
        <v>118476.62</v>
      </c>
      <c r="I55" s="19">
        <v>121141.74</v>
      </c>
      <c r="J55" s="19">
        <v>-2665.12</v>
      </c>
      <c r="K55" s="20">
        <v>-2.1999999999999999E-2</v>
      </c>
      <c r="L55" s="18">
        <v>37912.519999999997</v>
      </c>
      <c r="M55" s="19">
        <v>38064.78</v>
      </c>
      <c r="N55" s="19">
        <v>-152.26</v>
      </c>
      <c r="O55" s="20">
        <v>-4.0000000000000001E-3</v>
      </c>
      <c r="P55" s="18">
        <v>1458.17</v>
      </c>
      <c r="Q55" s="19">
        <v>1449.47</v>
      </c>
      <c r="R55" s="19">
        <v>8.6999999999999993</v>
      </c>
      <c r="S55" s="20">
        <v>6.0000000000000001E-3</v>
      </c>
      <c r="T55" s="18">
        <v>79105.929999999993</v>
      </c>
      <c r="U55" s="19">
        <v>79985.77</v>
      </c>
      <c r="V55" s="19">
        <v>-879.84</v>
      </c>
      <c r="W55" s="20">
        <v>-1.0999999999999999E-2</v>
      </c>
      <c r="X55" s="18">
        <v>46480.9</v>
      </c>
      <c r="Y55" s="19">
        <v>46480.9</v>
      </c>
      <c r="Z55" s="19">
        <v>0</v>
      </c>
      <c r="AA55" s="20">
        <v>0</v>
      </c>
      <c r="AB55" s="18">
        <v>32625.03</v>
      </c>
      <c r="AC55" s="19">
        <v>31891.53</v>
      </c>
      <c r="AD55" s="19">
        <v>733.51</v>
      </c>
      <c r="AE55" s="20">
        <v>2.3E-2</v>
      </c>
      <c r="AF55" s="2"/>
      <c r="AM55" s="4"/>
    </row>
    <row r="56" spans="1:39" x14ac:dyDescent="0.35">
      <c r="A56" s="16" t="s">
        <v>85</v>
      </c>
      <c r="B56" s="17" t="s">
        <v>83</v>
      </c>
      <c r="C56" s="17" t="s">
        <v>78</v>
      </c>
      <c r="D56" s="18">
        <v>5105549.01</v>
      </c>
      <c r="E56" s="19">
        <v>5310977.62</v>
      </c>
      <c r="F56" s="19">
        <v>-205428.61</v>
      </c>
      <c r="G56" s="20">
        <v>-3.8699999999999998E-2</v>
      </c>
      <c r="H56" s="18">
        <v>15316.65</v>
      </c>
      <c r="I56" s="19">
        <v>15801.44</v>
      </c>
      <c r="J56" s="19">
        <v>-484.79</v>
      </c>
      <c r="K56" s="20">
        <v>-3.0700000000000002E-2</v>
      </c>
      <c r="L56" s="18">
        <v>2757</v>
      </c>
      <c r="M56" s="19">
        <v>2792.41</v>
      </c>
      <c r="N56" s="19">
        <v>-35.409999999999997</v>
      </c>
      <c r="O56" s="20">
        <v>-1.2699999999999999E-2</v>
      </c>
      <c r="P56" s="18">
        <v>408.44</v>
      </c>
      <c r="Q56" s="19">
        <v>409.54</v>
      </c>
      <c r="R56" s="19">
        <v>-1.1000000000000001</v>
      </c>
      <c r="S56" s="20">
        <v>-2.7000000000000001E-3</v>
      </c>
      <c r="T56" s="18">
        <v>12151.21</v>
      </c>
      <c r="U56" s="19">
        <v>12395.15</v>
      </c>
      <c r="V56" s="19">
        <v>-243.94</v>
      </c>
      <c r="W56" s="20">
        <v>-1.9699999999999999E-2</v>
      </c>
      <c r="X56" s="18">
        <v>6009.05</v>
      </c>
      <c r="Y56" s="19">
        <v>6061.66</v>
      </c>
      <c r="Z56" s="19">
        <v>-52.62</v>
      </c>
      <c r="AA56" s="20">
        <v>-8.6999999999999994E-3</v>
      </c>
      <c r="AB56" s="18">
        <v>6142.16</v>
      </c>
      <c r="AC56" s="19">
        <v>6055.45</v>
      </c>
      <c r="AD56" s="19">
        <v>86.71</v>
      </c>
      <c r="AE56" s="20">
        <v>1.43E-2</v>
      </c>
      <c r="AF56" s="2"/>
      <c r="AM56" s="4"/>
    </row>
    <row r="57" spans="1:39" x14ac:dyDescent="0.35">
      <c r="A57" s="16" t="s">
        <v>85</v>
      </c>
      <c r="B57" s="17" t="s">
        <v>83</v>
      </c>
      <c r="C57" s="17" t="s">
        <v>79</v>
      </c>
      <c r="D57" s="18">
        <v>7414636.7000000002</v>
      </c>
      <c r="E57" s="19">
        <v>7533209.4199999999</v>
      </c>
      <c r="F57" s="19">
        <v>-118572.72</v>
      </c>
      <c r="G57" s="20">
        <v>-1.5699999999999999E-2</v>
      </c>
      <c r="H57" s="18">
        <v>33365.870000000003</v>
      </c>
      <c r="I57" s="19">
        <v>33626.14</v>
      </c>
      <c r="J57" s="19">
        <v>-260.27</v>
      </c>
      <c r="K57" s="20">
        <v>-7.7000000000000002E-3</v>
      </c>
      <c r="L57" s="18">
        <v>7340.49</v>
      </c>
      <c r="M57" s="19">
        <v>7265.94</v>
      </c>
      <c r="N57" s="19">
        <v>74.55</v>
      </c>
      <c r="O57" s="20">
        <v>1.03E-2</v>
      </c>
      <c r="P57" s="18">
        <v>593.16999999999996</v>
      </c>
      <c r="Q57" s="19">
        <v>581.39</v>
      </c>
      <c r="R57" s="19">
        <v>11.78</v>
      </c>
      <c r="S57" s="20">
        <v>2.0299999999999999E-2</v>
      </c>
      <c r="T57" s="18">
        <v>25432.2</v>
      </c>
      <c r="U57" s="19">
        <v>25349.56</v>
      </c>
      <c r="V57" s="19">
        <v>82.64</v>
      </c>
      <c r="W57" s="20">
        <v>3.3E-3</v>
      </c>
      <c r="X57" s="18">
        <v>13090.14</v>
      </c>
      <c r="Y57" s="19">
        <v>12906.1</v>
      </c>
      <c r="Z57" s="19">
        <v>184.04</v>
      </c>
      <c r="AA57" s="20">
        <v>1.43E-2</v>
      </c>
      <c r="AB57" s="18">
        <v>12342.06</v>
      </c>
      <c r="AC57" s="19">
        <v>11898.71</v>
      </c>
      <c r="AD57" s="19">
        <v>443.35</v>
      </c>
      <c r="AE57" s="20">
        <v>3.73E-2</v>
      </c>
      <c r="AF57" s="2"/>
      <c r="AM57" s="4"/>
    </row>
    <row r="58" spans="1:39" x14ac:dyDescent="0.35">
      <c r="A58" s="16" t="s">
        <v>85</v>
      </c>
      <c r="B58" s="17" t="s">
        <v>84</v>
      </c>
      <c r="C58" s="17" t="s">
        <v>75</v>
      </c>
      <c r="D58" s="18">
        <v>19216255.829999998</v>
      </c>
      <c r="E58" s="19">
        <v>19835111.300000001</v>
      </c>
      <c r="F58" s="19">
        <v>-618855.47</v>
      </c>
      <c r="G58" s="20">
        <v>-3.1199999999999999E-2</v>
      </c>
      <c r="H58" s="18">
        <v>144121.92000000001</v>
      </c>
      <c r="I58" s="19">
        <v>147544.95999999999</v>
      </c>
      <c r="J58" s="19">
        <v>-3423.04</v>
      </c>
      <c r="K58" s="20">
        <v>-2.3199999999999998E-2</v>
      </c>
      <c r="L58" s="18">
        <v>50442.67</v>
      </c>
      <c r="M58" s="19">
        <v>50706.34</v>
      </c>
      <c r="N58" s="19">
        <v>-263.67</v>
      </c>
      <c r="O58" s="20">
        <v>-5.1999999999999998E-3</v>
      </c>
      <c r="P58" s="18">
        <v>1345.14</v>
      </c>
      <c r="Q58" s="19">
        <v>1338.71</v>
      </c>
      <c r="R58" s="19">
        <v>6.43</v>
      </c>
      <c r="S58" s="20">
        <v>4.7999999999999996E-3</v>
      </c>
      <c r="T58" s="18">
        <v>92334.11</v>
      </c>
      <c r="U58" s="19">
        <v>93474.5</v>
      </c>
      <c r="V58" s="19">
        <v>-1140.3900000000001</v>
      </c>
      <c r="W58" s="20">
        <v>-1.2200000000000001E-2</v>
      </c>
      <c r="X58" s="18">
        <v>56542.09</v>
      </c>
      <c r="Y58" s="19">
        <v>56610.02</v>
      </c>
      <c r="Z58" s="19">
        <v>-67.930000000000007</v>
      </c>
      <c r="AA58" s="20">
        <v>-1.1999999999999999E-3</v>
      </c>
      <c r="AB58" s="18">
        <v>35792.019999999997</v>
      </c>
      <c r="AC58" s="19">
        <v>35028.400000000001</v>
      </c>
      <c r="AD58" s="19">
        <v>763.62</v>
      </c>
      <c r="AE58" s="20">
        <v>2.18E-2</v>
      </c>
      <c r="AF58" s="2"/>
      <c r="AM58" s="4"/>
    </row>
    <row r="59" spans="1:39" x14ac:dyDescent="0.35">
      <c r="A59" s="16" t="s">
        <v>85</v>
      </c>
      <c r="B59" s="17" t="s">
        <v>84</v>
      </c>
      <c r="C59" s="17" t="s">
        <v>76</v>
      </c>
      <c r="D59" s="18">
        <v>30692266.379999999</v>
      </c>
      <c r="E59" s="19">
        <v>30490419.800000001</v>
      </c>
      <c r="F59" s="19">
        <v>201846.58</v>
      </c>
      <c r="G59" s="20">
        <v>6.6E-3</v>
      </c>
      <c r="H59" s="18">
        <v>322268.79999999999</v>
      </c>
      <c r="I59" s="19">
        <v>317625.12</v>
      </c>
      <c r="J59" s="19">
        <v>4643.68</v>
      </c>
      <c r="K59" s="20">
        <v>1.46E-2</v>
      </c>
      <c r="L59" s="18">
        <v>90235.26</v>
      </c>
      <c r="M59" s="19">
        <v>87384.77</v>
      </c>
      <c r="N59" s="19">
        <v>2850.49</v>
      </c>
      <c r="O59" s="20">
        <v>3.2599999999999997E-2</v>
      </c>
      <c r="P59" s="18">
        <v>2148.46</v>
      </c>
      <c r="Q59" s="19">
        <v>2060.64</v>
      </c>
      <c r="R59" s="19">
        <v>87.82</v>
      </c>
      <c r="S59" s="20">
        <v>4.2599999999999999E-2</v>
      </c>
      <c r="T59" s="18">
        <v>229885.08</v>
      </c>
      <c r="U59" s="19">
        <v>224142.55</v>
      </c>
      <c r="V59" s="19">
        <v>5742.53</v>
      </c>
      <c r="W59" s="20">
        <v>2.5600000000000001E-2</v>
      </c>
      <c r="X59" s="18">
        <v>126432.9</v>
      </c>
      <c r="Y59" s="19">
        <v>121966.49</v>
      </c>
      <c r="Z59" s="19">
        <v>4466.41</v>
      </c>
      <c r="AA59" s="20">
        <v>3.6600000000000001E-2</v>
      </c>
      <c r="AB59" s="18">
        <v>103452.18</v>
      </c>
      <c r="AC59" s="19">
        <v>97631.4</v>
      </c>
      <c r="AD59" s="19">
        <v>5820.78</v>
      </c>
      <c r="AE59" s="20">
        <v>5.96E-2</v>
      </c>
      <c r="AF59" s="2"/>
      <c r="AM59" s="4"/>
    </row>
    <row r="60" spans="1:39" x14ac:dyDescent="0.35">
      <c r="A60" s="16" t="s">
        <v>85</v>
      </c>
      <c r="B60" s="17" t="s">
        <v>84</v>
      </c>
      <c r="C60" s="17" t="s">
        <v>77</v>
      </c>
      <c r="D60" s="18">
        <v>45351970.090000004</v>
      </c>
      <c r="E60" s="19">
        <v>47235731.039999999</v>
      </c>
      <c r="F60" s="19">
        <v>-1883760.95</v>
      </c>
      <c r="G60" s="20">
        <v>-3.9899999999999998E-2</v>
      </c>
      <c r="H60" s="18">
        <v>294787.81</v>
      </c>
      <c r="I60" s="19">
        <v>304495.11</v>
      </c>
      <c r="J60" s="19">
        <v>-9707.2999999999993</v>
      </c>
      <c r="K60" s="20">
        <v>-3.1899999999999998E-2</v>
      </c>
      <c r="L60" s="18">
        <v>94332.1</v>
      </c>
      <c r="M60" s="19">
        <v>95659.86</v>
      </c>
      <c r="N60" s="19">
        <v>-1327.76</v>
      </c>
      <c r="O60" s="20">
        <v>-1.3899999999999999E-2</v>
      </c>
      <c r="P60" s="18">
        <v>3174.64</v>
      </c>
      <c r="Q60" s="19">
        <v>3187.01</v>
      </c>
      <c r="R60" s="19">
        <v>-12.37</v>
      </c>
      <c r="S60" s="20">
        <v>-3.8999999999999998E-3</v>
      </c>
      <c r="T60" s="18">
        <v>197281.07</v>
      </c>
      <c r="U60" s="19">
        <v>201488.14</v>
      </c>
      <c r="V60" s="19">
        <v>-4207.07</v>
      </c>
      <c r="W60" s="20">
        <v>-2.0899999999999998E-2</v>
      </c>
      <c r="X60" s="18">
        <v>115651.52</v>
      </c>
      <c r="Y60" s="19">
        <v>116805.56</v>
      </c>
      <c r="Z60" s="19">
        <v>-1154.04</v>
      </c>
      <c r="AA60" s="20">
        <v>-9.9000000000000008E-3</v>
      </c>
      <c r="AB60" s="18">
        <v>81629.55</v>
      </c>
      <c r="AC60" s="19">
        <v>80572.44</v>
      </c>
      <c r="AD60" s="19">
        <v>1057.1099999999999</v>
      </c>
      <c r="AE60" s="20">
        <v>1.3100000000000001E-2</v>
      </c>
      <c r="AF60" s="2"/>
      <c r="AM60" s="4"/>
    </row>
    <row r="61" spans="1:39" x14ac:dyDescent="0.35">
      <c r="A61" s="16" t="s">
        <v>85</v>
      </c>
      <c r="B61" s="17" t="s">
        <v>84</v>
      </c>
      <c r="C61" s="17" t="s">
        <v>78</v>
      </c>
      <c r="D61" s="18">
        <v>12703092.189999999</v>
      </c>
      <c r="E61" s="19">
        <v>13351438.02</v>
      </c>
      <c r="F61" s="19">
        <v>-648345.82999999996</v>
      </c>
      <c r="G61" s="20">
        <v>-4.8599999999999997E-2</v>
      </c>
      <c r="H61" s="18">
        <v>38109.279999999999</v>
      </c>
      <c r="I61" s="19">
        <v>39720.339999999997</v>
      </c>
      <c r="J61" s="19">
        <v>-1611.06</v>
      </c>
      <c r="K61" s="20">
        <v>-4.0599999999999997E-2</v>
      </c>
      <c r="L61" s="18">
        <v>6859.67</v>
      </c>
      <c r="M61" s="19">
        <v>7018</v>
      </c>
      <c r="N61" s="19">
        <v>-158.33000000000001</v>
      </c>
      <c r="O61" s="20">
        <v>-2.2599999999999999E-2</v>
      </c>
      <c r="P61" s="18">
        <v>889.22</v>
      </c>
      <c r="Q61" s="19">
        <v>900.53</v>
      </c>
      <c r="R61" s="19">
        <v>-11.31</v>
      </c>
      <c r="S61" s="20">
        <v>-1.26E-2</v>
      </c>
      <c r="T61" s="18">
        <v>30360.39</v>
      </c>
      <c r="U61" s="19">
        <v>31285.18</v>
      </c>
      <c r="V61" s="19">
        <v>-924.79</v>
      </c>
      <c r="W61" s="20">
        <v>-2.9600000000000001E-2</v>
      </c>
      <c r="X61" s="18">
        <v>14951.08</v>
      </c>
      <c r="Y61" s="19">
        <v>15233.82</v>
      </c>
      <c r="Z61" s="19">
        <v>-282.74</v>
      </c>
      <c r="AA61" s="20">
        <v>-1.8599999999999998E-2</v>
      </c>
      <c r="AB61" s="18">
        <v>15409.31</v>
      </c>
      <c r="AC61" s="19">
        <v>15341.19</v>
      </c>
      <c r="AD61" s="19">
        <v>68.11</v>
      </c>
      <c r="AE61" s="20">
        <v>4.4000000000000003E-3</v>
      </c>
      <c r="AF61" s="2"/>
      <c r="AM61" s="4"/>
    </row>
    <row r="62" spans="1:39" x14ac:dyDescent="0.35">
      <c r="A62" s="16" t="s">
        <v>85</v>
      </c>
      <c r="B62" s="17" t="s">
        <v>84</v>
      </c>
      <c r="C62" s="17" t="s">
        <v>79</v>
      </c>
      <c r="D62" s="18">
        <v>18448322.260000002</v>
      </c>
      <c r="E62" s="19">
        <v>18933395.859999999</v>
      </c>
      <c r="F62" s="19">
        <v>-485073.6</v>
      </c>
      <c r="G62" s="20">
        <v>-2.5600000000000001E-2</v>
      </c>
      <c r="H62" s="18">
        <v>83017.45</v>
      </c>
      <c r="I62" s="19">
        <v>84506.45</v>
      </c>
      <c r="J62" s="19">
        <v>-1489</v>
      </c>
      <c r="K62" s="20">
        <v>-1.7600000000000001E-2</v>
      </c>
      <c r="L62" s="18">
        <v>18263.84</v>
      </c>
      <c r="M62" s="19">
        <v>18256.900000000001</v>
      </c>
      <c r="N62" s="19">
        <v>6.94</v>
      </c>
      <c r="O62" s="20">
        <v>4.0000000000000002E-4</v>
      </c>
      <c r="P62" s="18">
        <v>1291.3800000000001</v>
      </c>
      <c r="Q62" s="19">
        <v>1278.1099999999999</v>
      </c>
      <c r="R62" s="19">
        <v>13.27</v>
      </c>
      <c r="S62" s="20">
        <v>1.04E-2</v>
      </c>
      <c r="T62" s="18">
        <v>63462.23</v>
      </c>
      <c r="U62" s="19">
        <v>63885.15</v>
      </c>
      <c r="V62" s="19">
        <v>-422.92</v>
      </c>
      <c r="W62" s="20">
        <v>-6.6E-3</v>
      </c>
      <c r="X62" s="18">
        <v>32569.51</v>
      </c>
      <c r="Y62" s="19">
        <v>32427.48</v>
      </c>
      <c r="Z62" s="19">
        <v>142.03</v>
      </c>
      <c r="AA62" s="20">
        <v>4.4000000000000003E-3</v>
      </c>
      <c r="AB62" s="18">
        <v>30892.720000000001</v>
      </c>
      <c r="AC62" s="19">
        <v>30069.42</v>
      </c>
      <c r="AD62" s="19">
        <v>823.3</v>
      </c>
      <c r="AE62" s="20">
        <v>2.7400000000000001E-2</v>
      </c>
      <c r="AF62" s="2"/>
      <c r="AM62" s="4"/>
    </row>
    <row r="63" spans="1:39" x14ac:dyDescent="0.35">
      <c r="A63" s="11" t="s">
        <v>86</v>
      </c>
      <c r="B63" s="12" t="s">
        <v>74</v>
      </c>
      <c r="C63" s="12" t="s">
        <v>75</v>
      </c>
      <c r="D63" s="13">
        <v>11907254.23</v>
      </c>
      <c r="E63" s="14">
        <v>11355815.810000001</v>
      </c>
      <c r="F63" s="14">
        <v>551438.42000000004</v>
      </c>
      <c r="G63" s="15">
        <v>4.8599999999999997E-2</v>
      </c>
      <c r="H63" s="13">
        <v>89304.41</v>
      </c>
      <c r="I63" s="14">
        <v>84523.75</v>
      </c>
      <c r="J63" s="14">
        <v>4780.66</v>
      </c>
      <c r="K63" s="15">
        <v>5.6599999999999998E-2</v>
      </c>
      <c r="L63" s="13">
        <v>31256.54</v>
      </c>
      <c r="M63" s="14">
        <v>29087.759999999998</v>
      </c>
      <c r="N63" s="14">
        <v>2168.7800000000002</v>
      </c>
      <c r="O63" s="15">
        <v>7.46E-2</v>
      </c>
      <c r="P63" s="13">
        <v>2143.31</v>
      </c>
      <c r="Q63" s="14">
        <v>1976.2</v>
      </c>
      <c r="R63" s="14">
        <v>167.11</v>
      </c>
      <c r="S63" s="15">
        <v>8.4599999999999995E-2</v>
      </c>
      <c r="T63" s="13">
        <v>55904.56</v>
      </c>
      <c r="U63" s="14">
        <v>52366.67</v>
      </c>
      <c r="V63" s="14">
        <v>3537.89</v>
      </c>
      <c r="W63" s="15">
        <v>6.7599999999999993E-2</v>
      </c>
      <c r="X63" s="13">
        <v>37485.760000000002</v>
      </c>
      <c r="Y63" s="14">
        <v>34755.379999999997</v>
      </c>
      <c r="Z63" s="14">
        <v>2730.38</v>
      </c>
      <c r="AA63" s="15">
        <v>7.8600000000000003E-2</v>
      </c>
      <c r="AB63" s="13">
        <v>18418.8</v>
      </c>
      <c r="AC63" s="14">
        <v>16720.650000000001</v>
      </c>
      <c r="AD63" s="14">
        <v>1698.15</v>
      </c>
      <c r="AE63" s="15">
        <v>0.1016</v>
      </c>
      <c r="AF63" s="2"/>
      <c r="AM63" s="4"/>
    </row>
    <row r="64" spans="1:39" x14ac:dyDescent="0.35">
      <c r="A64" s="11" t="s">
        <v>86</v>
      </c>
      <c r="B64" s="12" t="s">
        <v>74</v>
      </c>
      <c r="C64" s="12" t="s">
        <v>76</v>
      </c>
      <c r="D64" s="13">
        <v>19121982.91</v>
      </c>
      <c r="E64" s="14">
        <v>19153778.18</v>
      </c>
      <c r="F64" s="14">
        <v>-31795.27</v>
      </c>
      <c r="G64" s="15">
        <v>-1.6999999999999999E-3</v>
      </c>
      <c r="H64" s="13">
        <v>200780.82</v>
      </c>
      <c r="I64" s="14">
        <v>199515.89</v>
      </c>
      <c r="J64" s="14">
        <v>1264.93</v>
      </c>
      <c r="K64" s="15">
        <v>6.3E-3</v>
      </c>
      <c r="L64" s="13">
        <v>56218.63</v>
      </c>
      <c r="M64" s="14">
        <v>54882.78</v>
      </c>
      <c r="N64" s="14">
        <v>1335.85</v>
      </c>
      <c r="O64" s="15">
        <v>2.4299999999999999E-2</v>
      </c>
      <c r="P64" s="13">
        <v>3441.96</v>
      </c>
      <c r="Q64" s="14">
        <v>3327.69</v>
      </c>
      <c r="R64" s="14">
        <v>114.27</v>
      </c>
      <c r="S64" s="15">
        <v>3.4299999999999997E-2</v>
      </c>
      <c r="T64" s="13">
        <v>141120.23000000001</v>
      </c>
      <c r="U64" s="14">
        <v>138714.91</v>
      </c>
      <c r="V64" s="14">
        <v>2405.3200000000002</v>
      </c>
      <c r="W64" s="15">
        <v>1.7299999999999999E-2</v>
      </c>
      <c r="X64" s="13">
        <v>84278.27</v>
      </c>
      <c r="Y64" s="14">
        <v>81955.649999999994</v>
      </c>
      <c r="Z64" s="14">
        <v>2322.62</v>
      </c>
      <c r="AA64" s="15">
        <v>2.8299999999999999E-2</v>
      </c>
      <c r="AB64" s="13">
        <v>56841.96</v>
      </c>
      <c r="AC64" s="14">
        <v>54066.2</v>
      </c>
      <c r="AD64" s="14">
        <v>2775.76</v>
      </c>
      <c r="AE64" s="15">
        <v>5.1299999999999998E-2</v>
      </c>
      <c r="AF64" s="2"/>
      <c r="AM64" s="4"/>
    </row>
    <row r="65" spans="1:39" x14ac:dyDescent="0.35">
      <c r="A65" s="11" t="s">
        <v>86</v>
      </c>
      <c r="B65" s="12" t="s">
        <v>74</v>
      </c>
      <c r="C65" s="12" t="s">
        <v>77</v>
      </c>
      <c r="D65" s="13">
        <v>28098728.609999999</v>
      </c>
      <c r="E65" s="14">
        <v>26561859.420000002</v>
      </c>
      <c r="F65" s="14">
        <v>1536869.19</v>
      </c>
      <c r="G65" s="15">
        <v>5.79E-2</v>
      </c>
      <c r="H65" s="13">
        <v>182641.74</v>
      </c>
      <c r="I65" s="14">
        <v>171356.22</v>
      </c>
      <c r="J65" s="14">
        <v>11285.52</v>
      </c>
      <c r="K65" s="15">
        <v>6.59E-2</v>
      </c>
      <c r="L65" s="13">
        <v>58445.36</v>
      </c>
      <c r="M65" s="14">
        <v>53923.35</v>
      </c>
      <c r="N65" s="14">
        <v>4522.01</v>
      </c>
      <c r="O65" s="15">
        <v>8.3900000000000002E-2</v>
      </c>
      <c r="P65" s="13">
        <v>5057.7700000000004</v>
      </c>
      <c r="Q65" s="14">
        <v>4623.78</v>
      </c>
      <c r="R65" s="14">
        <v>433.99</v>
      </c>
      <c r="S65" s="15">
        <v>9.3899999999999997E-2</v>
      </c>
      <c r="T65" s="13">
        <v>119138.61</v>
      </c>
      <c r="U65" s="14">
        <v>110635.19</v>
      </c>
      <c r="V65" s="14">
        <v>8503.42</v>
      </c>
      <c r="W65" s="15">
        <v>7.6899999999999996E-2</v>
      </c>
      <c r="X65" s="13">
        <v>76664.350000000006</v>
      </c>
      <c r="Y65" s="14">
        <v>70472.62</v>
      </c>
      <c r="Z65" s="14">
        <v>6191.72</v>
      </c>
      <c r="AA65" s="15">
        <v>8.7900000000000006E-2</v>
      </c>
      <c r="AB65" s="13">
        <v>42474.26</v>
      </c>
      <c r="AC65" s="14">
        <v>38235.480000000003</v>
      </c>
      <c r="AD65" s="14">
        <v>4238.79</v>
      </c>
      <c r="AE65" s="15">
        <v>0.1109</v>
      </c>
      <c r="AF65" s="2"/>
      <c r="AM65" s="4"/>
    </row>
    <row r="66" spans="1:39" x14ac:dyDescent="0.35">
      <c r="A66" s="11" t="s">
        <v>86</v>
      </c>
      <c r="B66" s="12" t="s">
        <v>74</v>
      </c>
      <c r="C66" s="12" t="s">
        <v>78</v>
      </c>
      <c r="D66" s="13">
        <v>7819911.6600000001</v>
      </c>
      <c r="E66" s="14">
        <v>7574204.4699999997</v>
      </c>
      <c r="F66" s="14">
        <v>245707.19</v>
      </c>
      <c r="G66" s="15">
        <v>3.2399999999999998E-2</v>
      </c>
      <c r="H66" s="13">
        <v>23459.73</v>
      </c>
      <c r="I66" s="14">
        <v>22547.89</v>
      </c>
      <c r="J66" s="14">
        <v>911.84</v>
      </c>
      <c r="K66" s="15">
        <v>4.0399999999999998E-2</v>
      </c>
      <c r="L66" s="13">
        <v>4222.75</v>
      </c>
      <c r="M66" s="14">
        <v>3989.6</v>
      </c>
      <c r="N66" s="14">
        <v>233.15</v>
      </c>
      <c r="O66" s="15">
        <v>5.8400000000000001E-2</v>
      </c>
      <c r="P66" s="13">
        <v>1407.58</v>
      </c>
      <c r="Q66" s="14">
        <v>1317.42</v>
      </c>
      <c r="R66" s="14">
        <v>90.16</v>
      </c>
      <c r="S66" s="15">
        <v>6.8400000000000002E-2</v>
      </c>
      <c r="T66" s="13">
        <v>17829.400000000001</v>
      </c>
      <c r="U66" s="14">
        <v>16957.13</v>
      </c>
      <c r="V66" s="14">
        <v>872.27</v>
      </c>
      <c r="W66" s="15">
        <v>5.1400000000000001E-2</v>
      </c>
      <c r="X66" s="13">
        <v>9847.2800000000007</v>
      </c>
      <c r="Y66" s="14">
        <v>9268.5499999999993</v>
      </c>
      <c r="Z66" s="14">
        <v>578.73</v>
      </c>
      <c r="AA66" s="15">
        <v>6.2399999999999997E-2</v>
      </c>
      <c r="AB66" s="13">
        <v>7982.12</v>
      </c>
      <c r="AC66" s="14">
        <v>7353.81</v>
      </c>
      <c r="AD66" s="14">
        <v>628.30999999999995</v>
      </c>
      <c r="AE66" s="15">
        <v>8.5400000000000004E-2</v>
      </c>
      <c r="AF66" s="2"/>
      <c r="AM66" s="4"/>
    </row>
    <row r="67" spans="1:39" x14ac:dyDescent="0.35">
      <c r="A67" s="11" t="s">
        <v>86</v>
      </c>
      <c r="B67" s="12" t="s">
        <v>74</v>
      </c>
      <c r="C67" s="12" t="s">
        <v>79</v>
      </c>
      <c r="D67" s="13">
        <v>11620600.050000001</v>
      </c>
      <c r="E67" s="14">
        <v>11154990.74</v>
      </c>
      <c r="F67" s="14">
        <v>465609.31</v>
      </c>
      <c r="G67" s="15">
        <v>4.1700000000000001E-2</v>
      </c>
      <c r="H67" s="13">
        <v>52292.7</v>
      </c>
      <c r="I67" s="14">
        <v>49814.91</v>
      </c>
      <c r="J67" s="14">
        <v>2477.79</v>
      </c>
      <c r="K67" s="15">
        <v>4.9700000000000001E-2</v>
      </c>
      <c r="L67" s="13">
        <v>11504.39</v>
      </c>
      <c r="M67" s="14">
        <v>10774.52</v>
      </c>
      <c r="N67" s="14">
        <v>729.87</v>
      </c>
      <c r="O67" s="15">
        <v>6.7699999999999996E-2</v>
      </c>
      <c r="P67" s="13">
        <v>2091.71</v>
      </c>
      <c r="Q67" s="14">
        <v>1940.83</v>
      </c>
      <c r="R67" s="14">
        <v>150.88</v>
      </c>
      <c r="S67" s="15">
        <v>7.7700000000000005E-2</v>
      </c>
      <c r="T67" s="13">
        <v>38696.6</v>
      </c>
      <c r="U67" s="14">
        <v>36480.76</v>
      </c>
      <c r="V67" s="14">
        <v>2215.84</v>
      </c>
      <c r="W67" s="15">
        <v>6.0699999999999997E-2</v>
      </c>
      <c r="X67" s="13">
        <v>21950</v>
      </c>
      <c r="Y67" s="14">
        <v>20480.71</v>
      </c>
      <c r="Z67" s="14">
        <v>1469.29</v>
      </c>
      <c r="AA67" s="15">
        <v>7.17E-2</v>
      </c>
      <c r="AB67" s="13">
        <v>16746.599999999999</v>
      </c>
      <c r="AC67" s="14">
        <v>15297.33</v>
      </c>
      <c r="AD67" s="14">
        <v>1449.27</v>
      </c>
      <c r="AE67" s="15">
        <v>9.4700000000000006E-2</v>
      </c>
      <c r="AF67" s="2"/>
      <c r="AM67" s="4"/>
    </row>
    <row r="68" spans="1:39" x14ac:dyDescent="0.35">
      <c r="A68" s="11" t="s">
        <v>86</v>
      </c>
      <c r="B68" s="12" t="s">
        <v>80</v>
      </c>
      <c r="C68" s="12" t="s">
        <v>75</v>
      </c>
      <c r="D68" s="13">
        <v>6223440.5899999999</v>
      </c>
      <c r="E68" s="14">
        <v>6011475.9500000002</v>
      </c>
      <c r="F68" s="14">
        <v>211964.64</v>
      </c>
      <c r="G68" s="15">
        <v>3.5299999999999998E-2</v>
      </c>
      <c r="H68" s="13">
        <v>46675.8</v>
      </c>
      <c r="I68" s="14">
        <v>44740.33</v>
      </c>
      <c r="J68" s="14">
        <v>1935.47</v>
      </c>
      <c r="K68" s="15">
        <v>4.3299999999999998E-2</v>
      </c>
      <c r="L68" s="13">
        <v>16336.53</v>
      </c>
      <c r="M68" s="14">
        <v>15393.52</v>
      </c>
      <c r="N68" s="14">
        <v>943.01</v>
      </c>
      <c r="O68" s="15">
        <v>6.13E-2</v>
      </c>
      <c r="P68" s="13">
        <v>560.11</v>
      </c>
      <c r="Q68" s="14">
        <v>522.85</v>
      </c>
      <c r="R68" s="14">
        <v>37.26</v>
      </c>
      <c r="S68" s="15">
        <v>7.1300000000000002E-2</v>
      </c>
      <c r="T68" s="13">
        <v>29779.16</v>
      </c>
      <c r="U68" s="14">
        <v>28246.5</v>
      </c>
      <c r="V68" s="14">
        <v>1532.66</v>
      </c>
      <c r="W68" s="15">
        <v>5.4300000000000001E-2</v>
      </c>
      <c r="X68" s="13">
        <v>19592.29</v>
      </c>
      <c r="Y68" s="14">
        <v>18392.03</v>
      </c>
      <c r="Z68" s="14">
        <v>1200.26</v>
      </c>
      <c r="AA68" s="15">
        <v>6.5299999999999997E-2</v>
      </c>
      <c r="AB68" s="13">
        <v>10186.870000000001</v>
      </c>
      <c r="AC68" s="14">
        <v>9360.7000000000007</v>
      </c>
      <c r="AD68" s="14">
        <v>826.18</v>
      </c>
      <c r="AE68" s="15">
        <v>8.8300000000000003E-2</v>
      </c>
      <c r="AF68" s="2"/>
      <c r="AM68" s="4"/>
    </row>
    <row r="69" spans="1:39" x14ac:dyDescent="0.35">
      <c r="A69" s="11" t="s">
        <v>86</v>
      </c>
      <c r="B69" s="12" t="s">
        <v>80</v>
      </c>
      <c r="C69" s="12" t="s">
        <v>76</v>
      </c>
      <c r="D69" s="13">
        <v>9992483.2799999993</v>
      </c>
      <c r="E69" s="14">
        <v>10144241.130000001</v>
      </c>
      <c r="F69" s="14">
        <v>-151757.85</v>
      </c>
      <c r="G69" s="15">
        <v>-1.4999999999999999E-2</v>
      </c>
      <c r="H69" s="13">
        <v>104921.07</v>
      </c>
      <c r="I69" s="14">
        <v>105656.44</v>
      </c>
      <c r="J69" s="14">
        <v>-735.37</v>
      </c>
      <c r="K69" s="15">
        <v>-7.0000000000000001E-3</v>
      </c>
      <c r="L69" s="13">
        <v>29377.9</v>
      </c>
      <c r="M69" s="14">
        <v>29057.11</v>
      </c>
      <c r="N69" s="14">
        <v>320.79000000000002</v>
      </c>
      <c r="O69" s="15">
        <v>1.0999999999999999E-2</v>
      </c>
      <c r="P69" s="13">
        <v>899.32</v>
      </c>
      <c r="Q69" s="14">
        <v>880.79</v>
      </c>
      <c r="R69" s="14">
        <v>18.53</v>
      </c>
      <c r="S69" s="15">
        <v>2.1000000000000001E-2</v>
      </c>
      <c r="T69" s="13">
        <v>74643.850000000006</v>
      </c>
      <c r="U69" s="14">
        <v>74343.5</v>
      </c>
      <c r="V69" s="14">
        <v>300.35000000000002</v>
      </c>
      <c r="W69" s="15">
        <v>4.0000000000000001E-3</v>
      </c>
      <c r="X69" s="13">
        <v>44040.89</v>
      </c>
      <c r="Y69" s="14">
        <v>43388.33</v>
      </c>
      <c r="Z69" s="14">
        <v>652.55999999999995</v>
      </c>
      <c r="AA69" s="15">
        <v>1.4999999999999999E-2</v>
      </c>
      <c r="AB69" s="13">
        <v>30602.959999999999</v>
      </c>
      <c r="AC69" s="14">
        <v>29481.48</v>
      </c>
      <c r="AD69" s="14">
        <v>1121.48</v>
      </c>
      <c r="AE69" s="15">
        <v>3.7999999999999999E-2</v>
      </c>
      <c r="AF69" s="2"/>
      <c r="AM69" s="4"/>
    </row>
    <row r="70" spans="1:39" x14ac:dyDescent="0.35">
      <c r="A70" s="11" t="s">
        <v>86</v>
      </c>
      <c r="B70" s="12" t="s">
        <v>80</v>
      </c>
      <c r="C70" s="12" t="s">
        <v>77</v>
      </c>
      <c r="D70" s="13">
        <v>14686069.93</v>
      </c>
      <c r="E70" s="14">
        <v>14059575.26</v>
      </c>
      <c r="F70" s="14">
        <v>626494.67000000004</v>
      </c>
      <c r="G70" s="15">
        <v>4.4600000000000001E-2</v>
      </c>
      <c r="H70" s="13">
        <v>95459.45</v>
      </c>
      <c r="I70" s="14">
        <v>90692.64</v>
      </c>
      <c r="J70" s="14">
        <v>4766.8100000000004</v>
      </c>
      <c r="K70" s="15">
        <v>5.2600000000000001E-2</v>
      </c>
      <c r="L70" s="13">
        <v>30547.03</v>
      </c>
      <c r="M70" s="14">
        <v>28533.69</v>
      </c>
      <c r="N70" s="14">
        <v>2013.34</v>
      </c>
      <c r="O70" s="15">
        <v>7.0599999999999996E-2</v>
      </c>
      <c r="P70" s="13">
        <v>1321.75</v>
      </c>
      <c r="Q70" s="14">
        <v>1223.21</v>
      </c>
      <c r="R70" s="14">
        <v>98.54</v>
      </c>
      <c r="S70" s="15">
        <v>8.0600000000000005E-2</v>
      </c>
      <c r="T70" s="13">
        <v>63590.68</v>
      </c>
      <c r="U70" s="14">
        <v>59790.400000000001</v>
      </c>
      <c r="V70" s="14">
        <v>3800.28</v>
      </c>
      <c r="W70" s="15">
        <v>6.3600000000000004E-2</v>
      </c>
      <c r="X70" s="13">
        <v>40069.35</v>
      </c>
      <c r="Y70" s="14">
        <v>37289.08</v>
      </c>
      <c r="Z70" s="14">
        <v>2780.27</v>
      </c>
      <c r="AA70" s="15">
        <v>7.46E-2</v>
      </c>
      <c r="AB70" s="13">
        <v>23521.33</v>
      </c>
      <c r="AC70" s="14">
        <v>21430.560000000001</v>
      </c>
      <c r="AD70" s="14">
        <v>2090.77</v>
      </c>
      <c r="AE70" s="15">
        <v>9.7600000000000006E-2</v>
      </c>
      <c r="AF70" s="2"/>
      <c r="AM70" s="4"/>
    </row>
    <row r="71" spans="1:39" x14ac:dyDescent="0.35">
      <c r="A71" s="11" t="s">
        <v>86</v>
      </c>
      <c r="B71" s="12" t="s">
        <v>80</v>
      </c>
      <c r="C71" s="12" t="s">
        <v>78</v>
      </c>
      <c r="D71" s="13">
        <v>4086413.89</v>
      </c>
      <c r="E71" s="14">
        <v>4009668.83</v>
      </c>
      <c r="F71" s="14">
        <v>76745.06</v>
      </c>
      <c r="G71" s="15">
        <v>1.9099999999999999E-2</v>
      </c>
      <c r="H71" s="13">
        <v>12259.24</v>
      </c>
      <c r="I71" s="14">
        <v>11935.32</v>
      </c>
      <c r="J71" s="14">
        <v>323.92</v>
      </c>
      <c r="K71" s="15">
        <v>2.7099999999999999E-2</v>
      </c>
      <c r="L71" s="13">
        <v>2206.66</v>
      </c>
      <c r="M71" s="14">
        <v>2111.35</v>
      </c>
      <c r="N71" s="14">
        <v>95.31</v>
      </c>
      <c r="O71" s="15">
        <v>4.5100000000000001E-2</v>
      </c>
      <c r="P71" s="13">
        <v>367.78</v>
      </c>
      <c r="Q71" s="14">
        <v>348.56</v>
      </c>
      <c r="R71" s="14">
        <v>19.22</v>
      </c>
      <c r="S71" s="15">
        <v>5.5100000000000003E-2</v>
      </c>
      <c r="T71" s="13">
        <v>9684.7999999999993</v>
      </c>
      <c r="U71" s="14">
        <v>9328.99</v>
      </c>
      <c r="V71" s="14">
        <v>355.81</v>
      </c>
      <c r="W71" s="15">
        <v>3.8100000000000002E-2</v>
      </c>
      <c r="X71" s="13">
        <v>5145.8500000000004</v>
      </c>
      <c r="Y71" s="14">
        <v>4904.82</v>
      </c>
      <c r="Z71" s="14">
        <v>241.02</v>
      </c>
      <c r="AA71" s="15">
        <v>4.9099999999999998E-2</v>
      </c>
      <c r="AB71" s="13">
        <v>4538.95</v>
      </c>
      <c r="AC71" s="14">
        <v>4233.54</v>
      </c>
      <c r="AD71" s="14">
        <v>305.41000000000003</v>
      </c>
      <c r="AE71" s="15">
        <v>7.2099999999999997E-2</v>
      </c>
      <c r="AF71" s="2"/>
      <c r="AM71" s="4"/>
    </row>
    <row r="72" spans="1:39" x14ac:dyDescent="0.35">
      <c r="A72" s="11" t="s">
        <v>86</v>
      </c>
      <c r="B72" s="12" t="s">
        <v>80</v>
      </c>
      <c r="C72" s="12" t="s">
        <v>79</v>
      </c>
      <c r="D72" s="13">
        <v>6072521.4699999997</v>
      </c>
      <c r="E72" s="14">
        <v>5904594.79</v>
      </c>
      <c r="F72" s="14">
        <v>167926.68</v>
      </c>
      <c r="G72" s="15">
        <v>2.8400000000000002E-2</v>
      </c>
      <c r="H72" s="13">
        <v>27326.35</v>
      </c>
      <c r="I72" s="14">
        <v>26365.59</v>
      </c>
      <c r="J72" s="14">
        <v>960.76</v>
      </c>
      <c r="K72" s="15">
        <v>3.6400000000000002E-2</v>
      </c>
      <c r="L72" s="13">
        <v>6011.8</v>
      </c>
      <c r="M72" s="14">
        <v>5701.41</v>
      </c>
      <c r="N72" s="14">
        <v>310.39</v>
      </c>
      <c r="O72" s="15">
        <v>5.4399999999999997E-2</v>
      </c>
      <c r="P72" s="13">
        <v>546.53</v>
      </c>
      <c r="Q72" s="14">
        <v>513.44000000000005</v>
      </c>
      <c r="R72" s="14">
        <v>33.090000000000003</v>
      </c>
      <c r="S72" s="15">
        <v>6.4399999999999999E-2</v>
      </c>
      <c r="T72" s="13">
        <v>20768.02</v>
      </c>
      <c r="U72" s="14">
        <v>19827.41</v>
      </c>
      <c r="V72" s="14">
        <v>940.61</v>
      </c>
      <c r="W72" s="15">
        <v>4.7399999999999998E-2</v>
      </c>
      <c r="X72" s="13">
        <v>11470.31</v>
      </c>
      <c r="Y72" s="14">
        <v>10836.99</v>
      </c>
      <c r="Z72" s="14">
        <v>633.30999999999995</v>
      </c>
      <c r="AA72" s="15">
        <v>5.8400000000000001E-2</v>
      </c>
      <c r="AB72" s="13">
        <v>9297.7099999999991</v>
      </c>
      <c r="AC72" s="14">
        <v>8597.5300000000007</v>
      </c>
      <c r="AD72" s="14">
        <v>700.18</v>
      </c>
      <c r="AE72" s="15">
        <v>8.14E-2</v>
      </c>
      <c r="AF72" s="2"/>
      <c r="AM72" s="4"/>
    </row>
    <row r="73" spans="1:39" x14ac:dyDescent="0.35">
      <c r="A73" s="11" t="s">
        <v>86</v>
      </c>
      <c r="B73" s="12" t="s">
        <v>81</v>
      </c>
      <c r="C73" s="12" t="s">
        <v>75</v>
      </c>
      <c r="D73" s="13">
        <v>7799087.8600000003</v>
      </c>
      <c r="E73" s="14">
        <v>7419082.46</v>
      </c>
      <c r="F73" s="14">
        <v>380005.4</v>
      </c>
      <c r="G73" s="15">
        <v>5.1200000000000002E-2</v>
      </c>
      <c r="H73" s="13">
        <v>58493.16</v>
      </c>
      <c r="I73" s="14">
        <v>55222.86</v>
      </c>
      <c r="J73" s="14">
        <v>3270.3</v>
      </c>
      <c r="K73" s="15">
        <v>5.9200000000000003E-2</v>
      </c>
      <c r="L73" s="13">
        <v>20472.61</v>
      </c>
      <c r="M73" s="14">
        <v>19005.04</v>
      </c>
      <c r="N73" s="14">
        <v>1467.57</v>
      </c>
      <c r="O73" s="15">
        <v>7.7200000000000005E-2</v>
      </c>
      <c r="P73" s="13">
        <v>1559.82</v>
      </c>
      <c r="Q73" s="14">
        <v>1434.69</v>
      </c>
      <c r="R73" s="14">
        <v>125.13</v>
      </c>
      <c r="S73" s="15">
        <v>8.72E-2</v>
      </c>
      <c r="T73" s="13">
        <v>36460.74</v>
      </c>
      <c r="U73" s="14">
        <v>34068.449999999997</v>
      </c>
      <c r="V73" s="14">
        <v>2392.29</v>
      </c>
      <c r="W73" s="15">
        <v>7.0199999999999999E-2</v>
      </c>
      <c r="X73" s="13">
        <v>24552.66</v>
      </c>
      <c r="Y73" s="14">
        <v>22708.29</v>
      </c>
      <c r="Z73" s="14">
        <v>1844.37</v>
      </c>
      <c r="AA73" s="15">
        <v>8.1199999999999994E-2</v>
      </c>
      <c r="AB73" s="13">
        <v>11908.08</v>
      </c>
      <c r="AC73" s="14">
        <v>10784.16</v>
      </c>
      <c r="AD73" s="14">
        <v>1123.92</v>
      </c>
      <c r="AE73" s="15">
        <v>0.1042</v>
      </c>
      <c r="AF73" s="2"/>
      <c r="AM73" s="4"/>
    </row>
    <row r="74" spans="1:39" x14ac:dyDescent="0.35">
      <c r="A74" s="11" t="s">
        <v>86</v>
      </c>
      <c r="B74" s="12" t="s">
        <v>81</v>
      </c>
      <c r="C74" s="12" t="s">
        <v>76</v>
      </c>
      <c r="D74" s="13">
        <v>12525735.140000001</v>
      </c>
      <c r="E74" s="14">
        <v>12513221.92</v>
      </c>
      <c r="F74" s="14">
        <v>12513.22</v>
      </c>
      <c r="G74" s="15">
        <v>1E-3</v>
      </c>
      <c r="H74" s="13">
        <v>131520.22</v>
      </c>
      <c r="I74" s="14">
        <v>130347.1</v>
      </c>
      <c r="J74" s="14">
        <v>1173.1199999999999</v>
      </c>
      <c r="K74" s="15">
        <v>8.9999999999999993E-3</v>
      </c>
      <c r="L74" s="13">
        <v>36825.660000000003</v>
      </c>
      <c r="M74" s="14">
        <v>35857.51</v>
      </c>
      <c r="N74" s="14">
        <v>968.15</v>
      </c>
      <c r="O74" s="15">
        <v>2.7E-2</v>
      </c>
      <c r="P74" s="13">
        <v>2505.15</v>
      </c>
      <c r="Q74" s="14">
        <v>2415.77</v>
      </c>
      <c r="R74" s="14">
        <v>89.38</v>
      </c>
      <c r="S74" s="15">
        <v>3.6999999999999998E-2</v>
      </c>
      <c r="T74" s="13">
        <v>92189.41</v>
      </c>
      <c r="U74" s="14">
        <v>90381.77</v>
      </c>
      <c r="V74" s="14">
        <v>1807.64</v>
      </c>
      <c r="W74" s="15">
        <v>0.02</v>
      </c>
      <c r="X74" s="13">
        <v>55205.96</v>
      </c>
      <c r="Y74" s="14">
        <v>53546.03</v>
      </c>
      <c r="Z74" s="14">
        <v>1659.93</v>
      </c>
      <c r="AA74" s="15">
        <v>3.1E-2</v>
      </c>
      <c r="AB74" s="13">
        <v>36983.449999999997</v>
      </c>
      <c r="AC74" s="14">
        <v>35088.67</v>
      </c>
      <c r="AD74" s="14">
        <v>1894.79</v>
      </c>
      <c r="AE74" s="15">
        <v>5.3999999999999999E-2</v>
      </c>
      <c r="AF74" s="2"/>
      <c r="AM74" s="4"/>
    </row>
    <row r="75" spans="1:39" x14ac:dyDescent="0.35">
      <c r="A75" s="11" t="s">
        <v>86</v>
      </c>
      <c r="B75" s="12" t="s">
        <v>81</v>
      </c>
      <c r="C75" s="12" t="s">
        <v>77</v>
      </c>
      <c r="D75" s="13">
        <v>18404281.039999999</v>
      </c>
      <c r="E75" s="14">
        <v>17354015.989999998</v>
      </c>
      <c r="F75" s="14">
        <v>1050265.05</v>
      </c>
      <c r="G75" s="15">
        <v>6.0499999999999998E-2</v>
      </c>
      <c r="H75" s="13">
        <v>119627.83</v>
      </c>
      <c r="I75" s="14">
        <v>111956.57</v>
      </c>
      <c r="J75" s="14">
        <v>7671.26</v>
      </c>
      <c r="K75" s="15">
        <v>6.8500000000000005E-2</v>
      </c>
      <c r="L75" s="13">
        <v>38280.9</v>
      </c>
      <c r="M75" s="14">
        <v>35232.58</v>
      </c>
      <c r="N75" s="14">
        <v>3048.32</v>
      </c>
      <c r="O75" s="15">
        <v>8.6499999999999994E-2</v>
      </c>
      <c r="P75" s="13">
        <v>3680.86</v>
      </c>
      <c r="Q75" s="14">
        <v>3356.86</v>
      </c>
      <c r="R75" s="14">
        <v>324</v>
      </c>
      <c r="S75" s="15">
        <v>9.6500000000000002E-2</v>
      </c>
      <c r="T75" s="13">
        <v>77666.070000000007</v>
      </c>
      <c r="U75" s="14">
        <v>71945</v>
      </c>
      <c r="V75" s="14">
        <v>5721.07</v>
      </c>
      <c r="W75" s="15">
        <v>7.9500000000000001E-2</v>
      </c>
      <c r="X75" s="13">
        <v>50214.09</v>
      </c>
      <c r="Y75" s="14">
        <v>46046.01</v>
      </c>
      <c r="Z75" s="14">
        <v>4168.08</v>
      </c>
      <c r="AA75" s="15">
        <v>9.0499999999999997E-2</v>
      </c>
      <c r="AB75" s="13">
        <v>27451.98</v>
      </c>
      <c r="AC75" s="14">
        <v>24653.33</v>
      </c>
      <c r="AD75" s="14">
        <v>2798.65</v>
      </c>
      <c r="AE75" s="15">
        <v>0.1135</v>
      </c>
      <c r="AF75" s="2"/>
      <c r="AM75" s="4"/>
    </row>
    <row r="76" spans="1:39" x14ac:dyDescent="0.35">
      <c r="A76" s="11" t="s">
        <v>86</v>
      </c>
      <c r="B76" s="12" t="s">
        <v>81</v>
      </c>
      <c r="C76" s="12" t="s">
        <v>78</v>
      </c>
      <c r="D76" s="13">
        <v>5122384.1500000004</v>
      </c>
      <c r="E76" s="14">
        <v>4948685.3</v>
      </c>
      <c r="F76" s="14">
        <v>173698.85</v>
      </c>
      <c r="G76" s="15">
        <v>3.5099999999999999E-2</v>
      </c>
      <c r="H76" s="13">
        <v>15367.15</v>
      </c>
      <c r="I76" s="14">
        <v>14732.19</v>
      </c>
      <c r="J76" s="14">
        <v>634.96</v>
      </c>
      <c r="K76" s="15">
        <v>4.3099999999999999E-2</v>
      </c>
      <c r="L76" s="13">
        <v>2766.09</v>
      </c>
      <c r="M76" s="14">
        <v>2606.81</v>
      </c>
      <c r="N76" s="14">
        <v>159.28</v>
      </c>
      <c r="O76" s="15">
        <v>6.1100000000000002E-2</v>
      </c>
      <c r="P76" s="13">
        <v>1024.48</v>
      </c>
      <c r="Q76" s="14">
        <v>956.47</v>
      </c>
      <c r="R76" s="14">
        <v>68.010000000000005</v>
      </c>
      <c r="S76" s="15">
        <v>7.1099999999999997E-2</v>
      </c>
      <c r="T76" s="13">
        <v>11576.59</v>
      </c>
      <c r="U76" s="14">
        <v>10982.44</v>
      </c>
      <c r="V76" s="14">
        <v>594.15</v>
      </c>
      <c r="W76" s="15">
        <v>5.4100000000000002E-2</v>
      </c>
      <c r="X76" s="13">
        <v>6450.4</v>
      </c>
      <c r="Y76" s="14">
        <v>6056.15</v>
      </c>
      <c r="Z76" s="14">
        <v>394.26</v>
      </c>
      <c r="AA76" s="15">
        <v>6.5100000000000005E-2</v>
      </c>
      <c r="AB76" s="13">
        <v>5126.1899999999996</v>
      </c>
      <c r="AC76" s="14">
        <v>4711.1400000000003</v>
      </c>
      <c r="AD76" s="14">
        <v>415.05</v>
      </c>
      <c r="AE76" s="15">
        <v>8.8099999999999998E-2</v>
      </c>
      <c r="AF76" s="2"/>
      <c r="AM76" s="4"/>
    </row>
    <row r="77" spans="1:39" x14ac:dyDescent="0.35">
      <c r="A77" s="11" t="s">
        <v>86</v>
      </c>
      <c r="B77" s="12" t="s">
        <v>81</v>
      </c>
      <c r="C77" s="12" t="s">
        <v>79</v>
      </c>
      <c r="D77" s="13">
        <v>7612001.2800000003</v>
      </c>
      <c r="E77" s="14">
        <v>7288396.4800000004</v>
      </c>
      <c r="F77" s="14">
        <v>323604.8</v>
      </c>
      <c r="G77" s="15">
        <v>4.4400000000000002E-2</v>
      </c>
      <c r="H77" s="13">
        <v>34254.01</v>
      </c>
      <c r="I77" s="14">
        <v>32548.47</v>
      </c>
      <c r="J77" s="14">
        <v>1705.54</v>
      </c>
      <c r="K77" s="15">
        <v>5.2400000000000002E-2</v>
      </c>
      <c r="L77" s="13">
        <v>7535.88</v>
      </c>
      <c r="M77" s="14">
        <v>7040.25</v>
      </c>
      <c r="N77" s="14">
        <v>495.63</v>
      </c>
      <c r="O77" s="15">
        <v>7.0400000000000004E-2</v>
      </c>
      <c r="P77" s="13">
        <v>1522.4</v>
      </c>
      <c r="Q77" s="14">
        <v>1409.11</v>
      </c>
      <c r="R77" s="14">
        <v>113.29</v>
      </c>
      <c r="S77" s="15">
        <v>8.0399999999999999E-2</v>
      </c>
      <c r="T77" s="13">
        <v>25195.72</v>
      </c>
      <c r="U77" s="14">
        <v>23693.55</v>
      </c>
      <c r="V77" s="14">
        <v>1502.17</v>
      </c>
      <c r="W77" s="15">
        <v>6.3399999999999998E-2</v>
      </c>
      <c r="X77" s="13">
        <v>14378.21</v>
      </c>
      <c r="Y77" s="14">
        <v>13382.55</v>
      </c>
      <c r="Z77" s="14">
        <v>995.66</v>
      </c>
      <c r="AA77" s="15">
        <v>7.4399999999999994E-2</v>
      </c>
      <c r="AB77" s="13">
        <v>10817.51</v>
      </c>
      <c r="AC77" s="14">
        <v>9857.4</v>
      </c>
      <c r="AD77" s="14">
        <v>960.11</v>
      </c>
      <c r="AE77" s="15">
        <v>9.74E-2</v>
      </c>
      <c r="AF77" s="2"/>
      <c r="AM77" s="4"/>
    </row>
    <row r="78" spans="1:39" x14ac:dyDescent="0.35">
      <c r="A78" s="11" t="s">
        <v>86</v>
      </c>
      <c r="B78" s="12" t="s">
        <v>82</v>
      </c>
      <c r="C78" s="12" t="s">
        <v>75</v>
      </c>
      <c r="D78" s="13">
        <v>9443752.9100000001</v>
      </c>
      <c r="E78" s="14">
        <v>9095399.1199999992</v>
      </c>
      <c r="F78" s="14">
        <v>348353.79</v>
      </c>
      <c r="G78" s="15">
        <v>3.8300000000000001E-2</v>
      </c>
      <c r="H78" s="13">
        <v>70828.149999999994</v>
      </c>
      <c r="I78" s="14">
        <v>67693.919999999998</v>
      </c>
      <c r="J78" s="14">
        <v>3134.23</v>
      </c>
      <c r="K78" s="15">
        <v>4.6300000000000001E-2</v>
      </c>
      <c r="L78" s="13">
        <v>24789.85</v>
      </c>
      <c r="M78" s="14">
        <v>23292.16</v>
      </c>
      <c r="N78" s="14">
        <v>1497.69</v>
      </c>
      <c r="O78" s="15">
        <v>6.4299999999999996E-2</v>
      </c>
      <c r="P78" s="13">
        <v>1416.56</v>
      </c>
      <c r="Q78" s="14">
        <v>1318.59</v>
      </c>
      <c r="R78" s="14">
        <v>97.97</v>
      </c>
      <c r="S78" s="15">
        <v>7.4300000000000005E-2</v>
      </c>
      <c r="T78" s="13">
        <v>44621.73</v>
      </c>
      <c r="U78" s="14">
        <v>42203.47</v>
      </c>
      <c r="V78" s="14">
        <v>2418.2600000000002</v>
      </c>
      <c r="W78" s="15">
        <v>5.7299999999999997E-2</v>
      </c>
      <c r="X78" s="13">
        <v>29730.3</v>
      </c>
      <c r="Y78" s="14">
        <v>27829.54</v>
      </c>
      <c r="Z78" s="14">
        <v>1900.76</v>
      </c>
      <c r="AA78" s="15">
        <v>6.83E-2</v>
      </c>
      <c r="AB78" s="13">
        <v>14891.43</v>
      </c>
      <c r="AC78" s="14">
        <v>13645.59</v>
      </c>
      <c r="AD78" s="14">
        <v>1245.8399999999999</v>
      </c>
      <c r="AE78" s="15">
        <v>9.1300000000000006E-2</v>
      </c>
      <c r="AF78" s="2"/>
      <c r="AM78" s="4"/>
    </row>
    <row r="79" spans="1:39" x14ac:dyDescent="0.35">
      <c r="A79" s="11" t="s">
        <v>86</v>
      </c>
      <c r="B79" s="12" t="s">
        <v>82</v>
      </c>
      <c r="C79" s="12" t="s">
        <v>76</v>
      </c>
      <c r="D79" s="13">
        <v>15166489.199999999</v>
      </c>
      <c r="E79" s="14">
        <v>15349454.699999999</v>
      </c>
      <c r="F79" s="14">
        <v>-182965.5</v>
      </c>
      <c r="G79" s="15">
        <v>-1.1900000000000001E-2</v>
      </c>
      <c r="H79" s="13">
        <v>159248.14000000001</v>
      </c>
      <c r="I79" s="14">
        <v>159874.85</v>
      </c>
      <c r="J79" s="14">
        <v>-626.71</v>
      </c>
      <c r="K79" s="15">
        <v>-3.8999999999999998E-3</v>
      </c>
      <c r="L79" s="13">
        <v>44589.48</v>
      </c>
      <c r="M79" s="14">
        <v>43970.38</v>
      </c>
      <c r="N79" s="14">
        <v>619.1</v>
      </c>
      <c r="O79" s="15">
        <v>1.41E-2</v>
      </c>
      <c r="P79" s="13">
        <v>2274.9699999999998</v>
      </c>
      <c r="Q79" s="14">
        <v>2221.48</v>
      </c>
      <c r="R79" s="14">
        <v>53.49</v>
      </c>
      <c r="S79" s="15">
        <v>2.41E-2</v>
      </c>
      <c r="T79" s="13">
        <v>112383.67999999999</v>
      </c>
      <c r="U79" s="14">
        <v>111593.60000000001</v>
      </c>
      <c r="V79" s="14">
        <v>790.08</v>
      </c>
      <c r="W79" s="15">
        <v>7.1000000000000004E-3</v>
      </c>
      <c r="X79" s="13">
        <v>66844.820000000007</v>
      </c>
      <c r="Y79" s="14">
        <v>65657.73</v>
      </c>
      <c r="Z79" s="14">
        <v>1187.0899999999999</v>
      </c>
      <c r="AA79" s="15">
        <v>1.8100000000000002E-2</v>
      </c>
      <c r="AB79" s="13">
        <v>45538.86</v>
      </c>
      <c r="AC79" s="14">
        <v>43741.94</v>
      </c>
      <c r="AD79" s="14">
        <v>1796.92</v>
      </c>
      <c r="AE79" s="15">
        <v>4.1099999999999998E-2</v>
      </c>
      <c r="AF79" s="2"/>
      <c r="AM79" s="4"/>
    </row>
    <row r="80" spans="1:39" x14ac:dyDescent="0.35">
      <c r="A80" s="11" t="s">
        <v>86</v>
      </c>
      <c r="B80" s="12" t="s">
        <v>82</v>
      </c>
      <c r="C80" s="12" t="s">
        <v>77</v>
      </c>
      <c r="D80" s="13">
        <v>22285360.25</v>
      </c>
      <c r="E80" s="14">
        <v>21272776.109999999</v>
      </c>
      <c r="F80" s="14">
        <v>1012584.14</v>
      </c>
      <c r="G80" s="15">
        <v>4.7600000000000003E-2</v>
      </c>
      <c r="H80" s="13">
        <v>144854.84</v>
      </c>
      <c r="I80" s="14">
        <v>137225.12</v>
      </c>
      <c r="J80" s="14">
        <v>7629.72</v>
      </c>
      <c r="K80" s="15">
        <v>5.5599999999999997E-2</v>
      </c>
      <c r="L80" s="13">
        <v>46353.55</v>
      </c>
      <c r="M80" s="14">
        <v>43175.81</v>
      </c>
      <c r="N80" s="14">
        <v>3177.74</v>
      </c>
      <c r="O80" s="15">
        <v>7.3599999999999999E-2</v>
      </c>
      <c r="P80" s="13">
        <v>3342.8</v>
      </c>
      <c r="Q80" s="14">
        <v>3084.9</v>
      </c>
      <c r="R80" s="14">
        <v>257.89999999999998</v>
      </c>
      <c r="S80" s="15">
        <v>8.3599999999999994E-2</v>
      </c>
      <c r="T80" s="13">
        <v>95158.49</v>
      </c>
      <c r="U80" s="14">
        <v>89216.66</v>
      </c>
      <c r="V80" s="14">
        <v>5941.83</v>
      </c>
      <c r="W80" s="15">
        <v>6.6600000000000006E-2</v>
      </c>
      <c r="X80" s="13">
        <v>60803.199999999997</v>
      </c>
      <c r="Y80" s="14">
        <v>56424.639999999999</v>
      </c>
      <c r="Z80" s="14">
        <v>4378.55</v>
      </c>
      <c r="AA80" s="15">
        <v>7.7600000000000002E-2</v>
      </c>
      <c r="AB80" s="13">
        <v>34355.29</v>
      </c>
      <c r="AC80" s="14">
        <v>31215.06</v>
      </c>
      <c r="AD80" s="14">
        <v>3140.23</v>
      </c>
      <c r="AE80" s="15">
        <v>0.10059999999999999</v>
      </c>
      <c r="AF80" s="2"/>
      <c r="AM80" s="4"/>
    </row>
    <row r="81" spans="1:39" x14ac:dyDescent="0.35">
      <c r="A81" s="11" t="s">
        <v>86</v>
      </c>
      <c r="B81" s="12" t="s">
        <v>82</v>
      </c>
      <c r="C81" s="12" t="s">
        <v>78</v>
      </c>
      <c r="D81" s="13">
        <v>6202317.3099999996</v>
      </c>
      <c r="E81" s="14">
        <v>6067734.9500000002</v>
      </c>
      <c r="F81" s="14">
        <v>134582.35999999999</v>
      </c>
      <c r="G81" s="15">
        <v>2.2200000000000001E-2</v>
      </c>
      <c r="H81" s="13">
        <v>18606.95</v>
      </c>
      <c r="I81" s="14">
        <v>18061.84</v>
      </c>
      <c r="J81" s="14">
        <v>545.11</v>
      </c>
      <c r="K81" s="15">
        <v>3.0200000000000001E-2</v>
      </c>
      <c r="L81" s="13">
        <v>3349.25</v>
      </c>
      <c r="M81" s="14">
        <v>3195.3</v>
      </c>
      <c r="N81" s="14">
        <v>153.94999999999999</v>
      </c>
      <c r="O81" s="15">
        <v>4.82E-2</v>
      </c>
      <c r="P81" s="13">
        <v>930.35</v>
      </c>
      <c r="Q81" s="14">
        <v>879.2</v>
      </c>
      <c r="R81" s="14">
        <v>51.15</v>
      </c>
      <c r="S81" s="15">
        <v>5.8200000000000002E-2</v>
      </c>
      <c r="T81" s="13">
        <v>14327.35</v>
      </c>
      <c r="U81" s="14">
        <v>13760.68</v>
      </c>
      <c r="V81" s="14">
        <v>566.66999999999996</v>
      </c>
      <c r="W81" s="15">
        <v>4.1200000000000001E-2</v>
      </c>
      <c r="X81" s="13">
        <v>7810.32</v>
      </c>
      <c r="Y81" s="14">
        <v>7422.98</v>
      </c>
      <c r="Z81" s="14">
        <v>387.33</v>
      </c>
      <c r="AA81" s="15">
        <v>5.2200000000000003E-2</v>
      </c>
      <c r="AB81" s="13">
        <v>6517.03</v>
      </c>
      <c r="AC81" s="14">
        <v>6061.34</v>
      </c>
      <c r="AD81" s="14">
        <v>455.69</v>
      </c>
      <c r="AE81" s="15">
        <v>7.5200000000000003E-2</v>
      </c>
      <c r="AF81" s="2"/>
      <c r="AM81" s="4"/>
    </row>
    <row r="82" spans="1:39" x14ac:dyDescent="0.35">
      <c r="A82" s="11" t="s">
        <v>86</v>
      </c>
      <c r="B82" s="12" t="s">
        <v>82</v>
      </c>
      <c r="C82" s="12" t="s">
        <v>79</v>
      </c>
      <c r="D82" s="13">
        <v>9216811.1500000004</v>
      </c>
      <c r="E82" s="14">
        <v>8935520.9499999993</v>
      </c>
      <c r="F82" s="14">
        <v>281290.2</v>
      </c>
      <c r="G82" s="15">
        <v>3.15E-2</v>
      </c>
      <c r="H82" s="13">
        <v>41475.65</v>
      </c>
      <c r="I82" s="14">
        <v>39900.379999999997</v>
      </c>
      <c r="J82" s="14">
        <v>1575.27</v>
      </c>
      <c r="K82" s="15">
        <v>3.95E-2</v>
      </c>
      <c r="L82" s="13">
        <v>9124.64</v>
      </c>
      <c r="M82" s="14">
        <v>8628.66</v>
      </c>
      <c r="N82" s="14">
        <v>495.98</v>
      </c>
      <c r="O82" s="15">
        <v>5.7500000000000002E-2</v>
      </c>
      <c r="P82" s="13">
        <v>1382.52</v>
      </c>
      <c r="Q82" s="14">
        <v>1295.1199999999999</v>
      </c>
      <c r="R82" s="14">
        <v>87.4</v>
      </c>
      <c r="S82" s="15">
        <v>6.7500000000000004E-2</v>
      </c>
      <c r="T82" s="13">
        <v>30968.49</v>
      </c>
      <c r="U82" s="14">
        <v>29480.32</v>
      </c>
      <c r="V82" s="14">
        <v>1488.17</v>
      </c>
      <c r="W82" s="15">
        <v>5.0500000000000003E-2</v>
      </c>
      <c r="X82" s="13">
        <v>17409.509999999998</v>
      </c>
      <c r="Y82" s="14">
        <v>16401.169999999998</v>
      </c>
      <c r="Z82" s="14">
        <v>1008.34</v>
      </c>
      <c r="AA82" s="15">
        <v>6.1499999999999999E-2</v>
      </c>
      <c r="AB82" s="13">
        <v>13558.98</v>
      </c>
      <c r="AC82" s="14">
        <v>12502.75</v>
      </c>
      <c r="AD82" s="14">
        <v>1056.23</v>
      </c>
      <c r="AE82" s="15">
        <v>8.4500000000000006E-2</v>
      </c>
      <c r="AF82" s="2"/>
      <c r="AM82" s="4"/>
    </row>
    <row r="83" spans="1:39" x14ac:dyDescent="0.35">
      <c r="A83" s="11" t="s">
        <v>86</v>
      </c>
      <c r="B83" s="12" t="s">
        <v>83</v>
      </c>
      <c r="C83" s="12" t="s">
        <v>75</v>
      </c>
      <c r="D83" s="13">
        <v>8012361.3499999996</v>
      </c>
      <c r="E83" s="14">
        <v>7863582.3700000001</v>
      </c>
      <c r="F83" s="14">
        <v>148778.98000000001</v>
      </c>
      <c r="G83" s="15">
        <v>1.89E-2</v>
      </c>
      <c r="H83" s="13">
        <v>60092.71</v>
      </c>
      <c r="I83" s="14">
        <v>58517.42</v>
      </c>
      <c r="J83" s="14">
        <v>1575.29</v>
      </c>
      <c r="K83" s="15">
        <v>2.69E-2</v>
      </c>
      <c r="L83" s="13">
        <v>21032.45</v>
      </c>
      <c r="M83" s="14">
        <v>20128.29</v>
      </c>
      <c r="N83" s="14">
        <v>904.16</v>
      </c>
      <c r="O83" s="15">
        <v>4.4900000000000002E-2</v>
      </c>
      <c r="P83" s="13">
        <v>640.99</v>
      </c>
      <c r="Q83" s="14">
        <v>607.62</v>
      </c>
      <c r="R83" s="14">
        <v>33.369999999999997</v>
      </c>
      <c r="S83" s="15">
        <v>5.4899999999999997E-2</v>
      </c>
      <c r="T83" s="13">
        <v>38419.269999999997</v>
      </c>
      <c r="U83" s="14">
        <v>37015.64</v>
      </c>
      <c r="V83" s="14">
        <v>1403.63</v>
      </c>
      <c r="W83" s="15">
        <v>3.7900000000000003E-2</v>
      </c>
      <c r="X83" s="13">
        <v>25224.07</v>
      </c>
      <c r="Y83" s="14">
        <v>24047.66</v>
      </c>
      <c r="Z83" s="14">
        <v>1176.4100000000001</v>
      </c>
      <c r="AA83" s="15">
        <v>4.8899999999999999E-2</v>
      </c>
      <c r="AB83" s="13">
        <v>13195.2</v>
      </c>
      <c r="AC83" s="14">
        <v>12309.87</v>
      </c>
      <c r="AD83" s="14">
        <v>885.33</v>
      </c>
      <c r="AE83" s="15">
        <v>7.1900000000000006E-2</v>
      </c>
      <c r="AF83" s="2"/>
      <c r="AM83" s="4"/>
    </row>
    <row r="84" spans="1:39" x14ac:dyDescent="0.35">
      <c r="A84" s="11" t="s">
        <v>86</v>
      </c>
      <c r="B84" s="12" t="s">
        <v>83</v>
      </c>
      <c r="C84" s="12" t="s">
        <v>76</v>
      </c>
      <c r="D84" s="13">
        <v>12865983.52</v>
      </c>
      <c r="E84" s="14">
        <v>13281700.75</v>
      </c>
      <c r="F84" s="14">
        <v>-415717.23</v>
      </c>
      <c r="G84" s="15">
        <v>-3.1300000000000001E-2</v>
      </c>
      <c r="H84" s="13">
        <v>135092.82999999999</v>
      </c>
      <c r="I84" s="14">
        <v>138315.57999999999</v>
      </c>
      <c r="J84" s="14">
        <v>-3222.75</v>
      </c>
      <c r="K84" s="15">
        <v>-2.3300000000000001E-2</v>
      </c>
      <c r="L84" s="13">
        <v>37825.99</v>
      </c>
      <c r="M84" s="14">
        <v>38027.54</v>
      </c>
      <c r="N84" s="14">
        <v>-201.55</v>
      </c>
      <c r="O84" s="15">
        <v>-5.3E-3</v>
      </c>
      <c r="P84" s="13">
        <v>1029.28</v>
      </c>
      <c r="Q84" s="14">
        <v>1024.47</v>
      </c>
      <c r="R84" s="14">
        <v>4.8099999999999996</v>
      </c>
      <c r="S84" s="15">
        <v>4.7000000000000002E-3</v>
      </c>
      <c r="T84" s="13">
        <v>96237.56</v>
      </c>
      <c r="U84" s="14">
        <v>97436.02</v>
      </c>
      <c r="V84" s="14">
        <v>-1198.46</v>
      </c>
      <c r="W84" s="15">
        <v>-1.23E-2</v>
      </c>
      <c r="X84" s="13">
        <v>56705.57</v>
      </c>
      <c r="Y84" s="14">
        <v>56779.38</v>
      </c>
      <c r="Z84" s="14">
        <v>-73.81</v>
      </c>
      <c r="AA84" s="15">
        <v>-1.2999999999999999E-3</v>
      </c>
      <c r="AB84" s="13">
        <v>39531.99</v>
      </c>
      <c r="AC84" s="14">
        <v>38692.370000000003</v>
      </c>
      <c r="AD84" s="14">
        <v>839.62</v>
      </c>
      <c r="AE84" s="15">
        <v>2.1700000000000001E-2</v>
      </c>
      <c r="AF84" s="2"/>
      <c r="AM84" s="4"/>
    </row>
    <row r="85" spans="1:39" x14ac:dyDescent="0.35">
      <c r="A85" s="11" t="s">
        <v>86</v>
      </c>
      <c r="B85" s="12" t="s">
        <v>83</v>
      </c>
      <c r="C85" s="12" t="s">
        <v>77</v>
      </c>
      <c r="D85" s="13">
        <v>18907563.640000001</v>
      </c>
      <c r="E85" s="14">
        <v>18388636.32</v>
      </c>
      <c r="F85" s="14">
        <v>518927.32</v>
      </c>
      <c r="G85" s="15">
        <v>2.8199999999999999E-2</v>
      </c>
      <c r="H85" s="13">
        <v>122899.16</v>
      </c>
      <c r="I85" s="14">
        <v>118603.35</v>
      </c>
      <c r="J85" s="14">
        <v>4295.8100000000004</v>
      </c>
      <c r="K85" s="15">
        <v>3.6200000000000003E-2</v>
      </c>
      <c r="L85" s="13">
        <v>39327.730000000003</v>
      </c>
      <c r="M85" s="14">
        <v>37305.050000000003</v>
      </c>
      <c r="N85" s="14">
        <v>2022.68</v>
      </c>
      <c r="O85" s="15">
        <v>5.4199999999999998E-2</v>
      </c>
      <c r="P85" s="13">
        <v>1512.61</v>
      </c>
      <c r="Q85" s="14">
        <v>1421.33</v>
      </c>
      <c r="R85" s="14">
        <v>91.28</v>
      </c>
      <c r="S85" s="15">
        <v>6.4199999999999993E-2</v>
      </c>
      <c r="T85" s="13">
        <v>82058.83</v>
      </c>
      <c r="U85" s="14">
        <v>78358.73</v>
      </c>
      <c r="V85" s="14">
        <v>3700.1</v>
      </c>
      <c r="W85" s="15">
        <v>4.7199999999999999E-2</v>
      </c>
      <c r="X85" s="13">
        <v>51587.24</v>
      </c>
      <c r="Y85" s="14">
        <v>48749.07</v>
      </c>
      <c r="Z85" s="14">
        <v>2838.17</v>
      </c>
      <c r="AA85" s="15">
        <v>5.8200000000000002E-2</v>
      </c>
      <c r="AB85" s="13">
        <v>30471.59</v>
      </c>
      <c r="AC85" s="14">
        <v>28182.6</v>
      </c>
      <c r="AD85" s="14">
        <v>2288.9899999999998</v>
      </c>
      <c r="AE85" s="15">
        <v>8.1199999999999994E-2</v>
      </c>
      <c r="AF85" s="2"/>
      <c r="AM85" s="4"/>
    </row>
    <row r="86" spans="1:39" x14ac:dyDescent="0.35">
      <c r="A86" s="11" t="s">
        <v>86</v>
      </c>
      <c r="B86" s="12" t="s">
        <v>83</v>
      </c>
      <c r="C86" s="12" t="s">
        <v>78</v>
      </c>
      <c r="D86" s="13">
        <v>5261528.3099999996</v>
      </c>
      <c r="E86" s="14">
        <v>5246837.17</v>
      </c>
      <c r="F86" s="14">
        <v>14691.14</v>
      </c>
      <c r="G86" s="15">
        <v>2.8E-3</v>
      </c>
      <c r="H86" s="13">
        <v>15784.58</v>
      </c>
      <c r="I86" s="14">
        <v>15615.93</v>
      </c>
      <c r="J86" s="14">
        <v>168.65</v>
      </c>
      <c r="K86" s="15">
        <v>1.0800000000000001E-2</v>
      </c>
      <c r="L86" s="13">
        <v>2841.23</v>
      </c>
      <c r="M86" s="14">
        <v>2761.69</v>
      </c>
      <c r="N86" s="14">
        <v>79.540000000000006</v>
      </c>
      <c r="O86" s="15">
        <v>2.8799999999999999E-2</v>
      </c>
      <c r="P86" s="13">
        <v>420.92</v>
      </c>
      <c r="Q86" s="14">
        <v>405.2</v>
      </c>
      <c r="R86" s="14">
        <v>15.72</v>
      </c>
      <c r="S86" s="15">
        <v>3.8800000000000001E-2</v>
      </c>
      <c r="T86" s="13">
        <v>12522.44</v>
      </c>
      <c r="U86" s="14">
        <v>12255.28</v>
      </c>
      <c r="V86" s="14">
        <v>267.16000000000003</v>
      </c>
      <c r="W86" s="15">
        <v>2.18E-2</v>
      </c>
      <c r="X86" s="13">
        <v>6625.62</v>
      </c>
      <c r="Y86" s="14">
        <v>6415.2</v>
      </c>
      <c r="Z86" s="14">
        <v>210.42</v>
      </c>
      <c r="AA86" s="15">
        <v>3.2800000000000003E-2</v>
      </c>
      <c r="AB86" s="13">
        <v>5896.82</v>
      </c>
      <c r="AC86" s="14">
        <v>5585.17</v>
      </c>
      <c r="AD86" s="14">
        <v>311.64999999999998</v>
      </c>
      <c r="AE86" s="15">
        <v>5.5800000000000002E-2</v>
      </c>
      <c r="AF86" s="2"/>
      <c r="AM86" s="4"/>
    </row>
    <row r="87" spans="1:39" x14ac:dyDescent="0.35">
      <c r="A87" s="11" t="s">
        <v>86</v>
      </c>
      <c r="B87" s="12" t="s">
        <v>83</v>
      </c>
      <c r="C87" s="12" t="s">
        <v>79</v>
      </c>
      <c r="D87" s="13">
        <v>7818773.2599999998</v>
      </c>
      <c r="E87" s="14">
        <v>7725297.1600000001</v>
      </c>
      <c r="F87" s="14">
        <v>93476.1</v>
      </c>
      <c r="G87" s="15">
        <v>1.21E-2</v>
      </c>
      <c r="H87" s="13">
        <v>35184.480000000003</v>
      </c>
      <c r="I87" s="14">
        <v>34491.21</v>
      </c>
      <c r="J87" s="14">
        <v>693.27</v>
      </c>
      <c r="K87" s="15">
        <v>2.01E-2</v>
      </c>
      <c r="L87" s="13">
        <v>7740.59</v>
      </c>
      <c r="M87" s="14">
        <v>7456.5</v>
      </c>
      <c r="N87" s="14">
        <v>284.08999999999997</v>
      </c>
      <c r="O87" s="15">
        <v>3.8100000000000002E-2</v>
      </c>
      <c r="P87" s="13">
        <v>625.5</v>
      </c>
      <c r="Q87" s="14">
        <v>596.79</v>
      </c>
      <c r="R87" s="14">
        <v>28.71</v>
      </c>
      <c r="S87" s="15">
        <v>4.8099999999999997E-2</v>
      </c>
      <c r="T87" s="13">
        <v>26818.39</v>
      </c>
      <c r="U87" s="14">
        <v>26009.49</v>
      </c>
      <c r="V87" s="14">
        <v>808.9</v>
      </c>
      <c r="W87" s="15">
        <v>3.1099999999999999E-2</v>
      </c>
      <c r="X87" s="13">
        <v>14768.78</v>
      </c>
      <c r="Y87" s="14">
        <v>14172.13</v>
      </c>
      <c r="Z87" s="14">
        <v>596.65</v>
      </c>
      <c r="AA87" s="15">
        <v>4.2099999999999999E-2</v>
      </c>
      <c r="AB87" s="13">
        <v>12049.61</v>
      </c>
      <c r="AC87" s="14">
        <v>11313.13</v>
      </c>
      <c r="AD87" s="14">
        <v>736.48</v>
      </c>
      <c r="AE87" s="15">
        <v>6.5100000000000005E-2</v>
      </c>
      <c r="AF87" s="2"/>
      <c r="AM87" s="4"/>
    </row>
    <row r="88" spans="1:39" x14ac:dyDescent="0.35">
      <c r="A88" s="11" t="s">
        <v>86</v>
      </c>
      <c r="B88" s="12" t="s">
        <v>84</v>
      </c>
      <c r="C88" s="12" t="s">
        <v>75</v>
      </c>
      <c r="D88" s="13">
        <v>19841486.920000002</v>
      </c>
      <c r="E88" s="14">
        <v>19074684.600000001</v>
      </c>
      <c r="F88" s="14">
        <v>766802.32</v>
      </c>
      <c r="G88" s="15">
        <v>4.02E-2</v>
      </c>
      <c r="H88" s="13">
        <v>148811.15</v>
      </c>
      <c r="I88" s="14">
        <v>141968.28</v>
      </c>
      <c r="J88" s="14">
        <v>6842.87</v>
      </c>
      <c r="K88" s="15">
        <v>4.82E-2</v>
      </c>
      <c r="L88" s="13">
        <v>52083.9</v>
      </c>
      <c r="M88" s="14">
        <v>48850.03</v>
      </c>
      <c r="N88" s="14">
        <v>3233.87</v>
      </c>
      <c r="O88" s="15">
        <v>6.6199999999999995E-2</v>
      </c>
      <c r="P88" s="13">
        <v>1388.9</v>
      </c>
      <c r="Q88" s="14">
        <v>1290.56</v>
      </c>
      <c r="R88" s="14">
        <v>98.34</v>
      </c>
      <c r="S88" s="15">
        <v>7.6200000000000004E-2</v>
      </c>
      <c r="T88" s="13">
        <v>95338.34</v>
      </c>
      <c r="U88" s="14">
        <v>90009.76</v>
      </c>
      <c r="V88" s="14">
        <v>5328.58</v>
      </c>
      <c r="W88" s="15">
        <v>5.9200000000000003E-2</v>
      </c>
      <c r="X88" s="13">
        <v>62463.87</v>
      </c>
      <c r="Y88" s="14">
        <v>58366.54</v>
      </c>
      <c r="Z88" s="14">
        <v>4097.33</v>
      </c>
      <c r="AA88" s="15">
        <v>7.0199999999999999E-2</v>
      </c>
      <c r="AB88" s="13">
        <v>32874.47</v>
      </c>
      <c r="AC88" s="14">
        <v>30071.78</v>
      </c>
      <c r="AD88" s="14">
        <v>2802.69</v>
      </c>
      <c r="AE88" s="15">
        <v>9.3200000000000005E-2</v>
      </c>
      <c r="AF88" s="2"/>
      <c r="AM88" s="4"/>
    </row>
    <row r="89" spans="1:39" x14ac:dyDescent="0.35">
      <c r="A89" s="11" t="s">
        <v>86</v>
      </c>
      <c r="B89" s="12" t="s">
        <v>84</v>
      </c>
      <c r="C89" s="12" t="s">
        <v>76</v>
      </c>
      <c r="D89" s="13">
        <v>31859355.210000001</v>
      </c>
      <c r="E89" s="14">
        <v>32181817.02</v>
      </c>
      <c r="F89" s="14">
        <v>-322461.81</v>
      </c>
      <c r="G89" s="15">
        <v>-0.01</v>
      </c>
      <c r="H89" s="13">
        <v>334523.23</v>
      </c>
      <c r="I89" s="14">
        <v>335200.33</v>
      </c>
      <c r="J89" s="14">
        <v>-677.1</v>
      </c>
      <c r="K89" s="15">
        <v>-2E-3</v>
      </c>
      <c r="L89" s="13">
        <v>93666.5</v>
      </c>
      <c r="M89" s="14">
        <v>92193.25</v>
      </c>
      <c r="N89" s="14">
        <v>1473.25</v>
      </c>
      <c r="O89" s="15">
        <v>1.6E-2</v>
      </c>
      <c r="P89" s="13">
        <v>2230.15</v>
      </c>
      <c r="Q89" s="14">
        <v>2173.6799999999998</v>
      </c>
      <c r="R89" s="14">
        <v>56.47</v>
      </c>
      <c r="S89" s="15">
        <v>2.5999999999999999E-2</v>
      </c>
      <c r="T89" s="13">
        <v>238626.57</v>
      </c>
      <c r="U89" s="14">
        <v>236502.78</v>
      </c>
      <c r="V89" s="14">
        <v>2123.79</v>
      </c>
      <c r="W89" s="15">
        <v>8.9999999999999993E-3</v>
      </c>
      <c r="X89" s="13">
        <v>140417</v>
      </c>
      <c r="Y89" s="14">
        <v>137666.42000000001</v>
      </c>
      <c r="Z89" s="14">
        <v>2750.58</v>
      </c>
      <c r="AA89" s="15">
        <v>0.02</v>
      </c>
      <c r="AB89" s="13">
        <v>98209.57</v>
      </c>
      <c r="AC89" s="14">
        <v>94162.47</v>
      </c>
      <c r="AD89" s="14">
        <v>4047.1</v>
      </c>
      <c r="AE89" s="15">
        <v>4.2999999999999997E-2</v>
      </c>
      <c r="AF89" s="2"/>
      <c r="AM89" s="4"/>
    </row>
    <row r="90" spans="1:39" x14ac:dyDescent="0.35">
      <c r="A90" s="11" t="s">
        <v>86</v>
      </c>
      <c r="B90" s="12" t="s">
        <v>84</v>
      </c>
      <c r="C90" s="12" t="s">
        <v>77</v>
      </c>
      <c r="D90" s="13">
        <v>46821924.289999999</v>
      </c>
      <c r="E90" s="14">
        <v>44613553.399999999</v>
      </c>
      <c r="F90" s="14">
        <v>2208370.89</v>
      </c>
      <c r="G90" s="15">
        <v>4.9500000000000002E-2</v>
      </c>
      <c r="H90" s="13">
        <v>304342.51</v>
      </c>
      <c r="I90" s="14">
        <v>287794.34000000003</v>
      </c>
      <c r="J90" s="14">
        <v>16548.169999999998</v>
      </c>
      <c r="K90" s="15">
        <v>5.7500000000000002E-2</v>
      </c>
      <c r="L90" s="13">
        <v>97389.6</v>
      </c>
      <c r="M90" s="14">
        <v>90552.86</v>
      </c>
      <c r="N90" s="14">
        <v>6836.74</v>
      </c>
      <c r="O90" s="15">
        <v>7.5499999999999998E-2</v>
      </c>
      <c r="P90" s="13">
        <v>3277.53</v>
      </c>
      <c r="Q90" s="14">
        <v>3019.37</v>
      </c>
      <c r="R90" s="14">
        <v>258.16000000000003</v>
      </c>
      <c r="S90" s="15">
        <v>8.5500000000000007E-2</v>
      </c>
      <c r="T90" s="13">
        <v>203675.37</v>
      </c>
      <c r="U90" s="14">
        <v>190618.03</v>
      </c>
      <c r="V90" s="14">
        <v>13057.34</v>
      </c>
      <c r="W90" s="15">
        <v>6.8500000000000005E-2</v>
      </c>
      <c r="X90" s="13">
        <v>127748.56</v>
      </c>
      <c r="Y90" s="14">
        <v>118340.49</v>
      </c>
      <c r="Z90" s="14">
        <v>9408.07</v>
      </c>
      <c r="AA90" s="15">
        <v>7.9500000000000001E-2</v>
      </c>
      <c r="AB90" s="13">
        <v>75926.81</v>
      </c>
      <c r="AC90" s="14">
        <v>68867.850000000006</v>
      </c>
      <c r="AD90" s="14">
        <v>7058.95</v>
      </c>
      <c r="AE90" s="15">
        <v>0.10249999999999999</v>
      </c>
      <c r="AF90" s="2"/>
      <c r="AM90" s="4"/>
    </row>
    <row r="91" spans="1:39" x14ac:dyDescent="0.35">
      <c r="A91" s="11" t="s">
        <v>86</v>
      </c>
      <c r="B91" s="12" t="s">
        <v>84</v>
      </c>
      <c r="C91" s="12" t="s">
        <v>78</v>
      </c>
      <c r="D91" s="13">
        <v>13028844.57</v>
      </c>
      <c r="E91" s="14">
        <v>12722487.08</v>
      </c>
      <c r="F91" s="14">
        <v>306357.49</v>
      </c>
      <c r="G91" s="15">
        <v>2.41E-2</v>
      </c>
      <c r="H91" s="13">
        <v>39086.53</v>
      </c>
      <c r="I91" s="14">
        <v>37871.61</v>
      </c>
      <c r="J91" s="14">
        <v>1214.92</v>
      </c>
      <c r="K91" s="15">
        <v>3.2099999999999997E-2</v>
      </c>
      <c r="L91" s="13">
        <v>7035.58</v>
      </c>
      <c r="M91" s="14">
        <v>6700.04</v>
      </c>
      <c r="N91" s="14">
        <v>335.54</v>
      </c>
      <c r="O91" s="15">
        <v>5.0099999999999999E-2</v>
      </c>
      <c r="P91" s="13">
        <v>912.02</v>
      </c>
      <c r="Q91" s="14">
        <v>860.33</v>
      </c>
      <c r="R91" s="14">
        <v>51.69</v>
      </c>
      <c r="S91" s="15">
        <v>6.0100000000000001E-2</v>
      </c>
      <c r="T91" s="13">
        <v>31138.94</v>
      </c>
      <c r="U91" s="14">
        <v>29852.880000000001</v>
      </c>
      <c r="V91" s="14">
        <v>1286.06</v>
      </c>
      <c r="W91" s="15">
        <v>4.3099999999999999E-2</v>
      </c>
      <c r="X91" s="13">
        <v>16406.669999999998</v>
      </c>
      <c r="Y91" s="14">
        <v>15564.92</v>
      </c>
      <c r="Z91" s="14">
        <v>841.75</v>
      </c>
      <c r="AA91" s="15">
        <v>5.4100000000000002E-2</v>
      </c>
      <c r="AB91" s="13">
        <v>14732.27</v>
      </c>
      <c r="AC91" s="14">
        <v>13677.97</v>
      </c>
      <c r="AD91" s="14">
        <v>1054.3</v>
      </c>
      <c r="AE91" s="15">
        <v>7.7100000000000002E-2</v>
      </c>
      <c r="AF91" s="2"/>
      <c r="AM91" s="4"/>
    </row>
    <row r="92" spans="1:39" x14ac:dyDescent="0.35">
      <c r="A92" s="11" t="s">
        <v>86</v>
      </c>
      <c r="B92" s="12" t="s">
        <v>84</v>
      </c>
      <c r="C92" s="12" t="s">
        <v>79</v>
      </c>
      <c r="D92" s="13">
        <v>19361215.129999999</v>
      </c>
      <c r="E92" s="14">
        <v>18735813.670000002</v>
      </c>
      <c r="F92" s="14">
        <v>625401.46</v>
      </c>
      <c r="G92" s="15">
        <v>3.3399999999999999E-2</v>
      </c>
      <c r="H92" s="13">
        <v>87125.47</v>
      </c>
      <c r="I92" s="14">
        <v>83663.48</v>
      </c>
      <c r="J92" s="14">
        <v>3461.99</v>
      </c>
      <c r="K92" s="15">
        <v>4.1399999999999999E-2</v>
      </c>
      <c r="L92" s="13">
        <v>19167.599999999999</v>
      </c>
      <c r="M92" s="14">
        <v>18093.22</v>
      </c>
      <c r="N92" s="14">
        <v>1074.3800000000001</v>
      </c>
      <c r="O92" s="15">
        <v>5.9400000000000001E-2</v>
      </c>
      <c r="P92" s="13">
        <v>1355.29</v>
      </c>
      <c r="Q92" s="14">
        <v>1267.3599999999999</v>
      </c>
      <c r="R92" s="14">
        <v>87.93</v>
      </c>
      <c r="S92" s="15">
        <v>6.9400000000000003E-2</v>
      </c>
      <c r="T92" s="13">
        <v>66602.58</v>
      </c>
      <c r="U92" s="14">
        <v>63287.58</v>
      </c>
      <c r="V92" s="14">
        <v>3315</v>
      </c>
      <c r="W92" s="15">
        <v>5.2400000000000002E-2</v>
      </c>
      <c r="X92" s="13">
        <v>36571.14</v>
      </c>
      <c r="Y92" s="14">
        <v>34391.42</v>
      </c>
      <c r="Z92" s="14">
        <v>2179.73</v>
      </c>
      <c r="AA92" s="15">
        <v>6.3399999999999998E-2</v>
      </c>
      <c r="AB92" s="13">
        <v>30031.439999999999</v>
      </c>
      <c r="AC92" s="14">
        <v>27643.58</v>
      </c>
      <c r="AD92" s="14">
        <v>2387.85</v>
      </c>
      <c r="AE92" s="15">
        <v>8.6400000000000005E-2</v>
      </c>
      <c r="AF92" s="2"/>
      <c r="AM92" s="4"/>
    </row>
    <row r="93" spans="1:39" x14ac:dyDescent="0.35">
      <c r="A93" s="16" t="s">
        <v>87</v>
      </c>
      <c r="B93" s="17" t="s">
        <v>74</v>
      </c>
      <c r="C93" s="17" t="s">
        <v>75</v>
      </c>
      <c r="D93" s="18">
        <v>12468810.82</v>
      </c>
      <c r="E93" s="19">
        <v>12403321.279999999</v>
      </c>
      <c r="F93" s="19">
        <v>65489.54</v>
      </c>
      <c r="G93" s="20">
        <v>5.3E-3</v>
      </c>
      <c r="H93" s="18">
        <v>93516.08</v>
      </c>
      <c r="I93" s="19">
        <v>92290.46</v>
      </c>
      <c r="J93" s="19">
        <v>1225.6199999999999</v>
      </c>
      <c r="K93" s="20">
        <v>1.3299999999999999E-2</v>
      </c>
      <c r="L93" s="18">
        <v>32730.63</v>
      </c>
      <c r="M93" s="19">
        <v>31737.87</v>
      </c>
      <c r="N93" s="19">
        <v>992.76</v>
      </c>
      <c r="O93" s="20">
        <v>3.1300000000000001E-2</v>
      </c>
      <c r="P93" s="18">
        <v>2244.39</v>
      </c>
      <c r="Q93" s="19">
        <v>2155.41</v>
      </c>
      <c r="R93" s="19">
        <v>88.98</v>
      </c>
      <c r="S93" s="20">
        <v>4.1300000000000003E-2</v>
      </c>
      <c r="T93" s="18">
        <v>58541.07</v>
      </c>
      <c r="U93" s="19">
        <v>57153.39</v>
      </c>
      <c r="V93" s="19">
        <v>1387.68</v>
      </c>
      <c r="W93" s="20">
        <v>2.4299999999999999E-2</v>
      </c>
      <c r="X93" s="18">
        <v>37861.57</v>
      </c>
      <c r="Y93" s="19">
        <v>36571.33</v>
      </c>
      <c r="Z93" s="19">
        <v>1290.24</v>
      </c>
      <c r="AA93" s="20">
        <v>3.5299999999999998E-2</v>
      </c>
      <c r="AB93" s="18">
        <v>20679.5</v>
      </c>
      <c r="AC93" s="19">
        <v>19540.669999999998</v>
      </c>
      <c r="AD93" s="19">
        <v>1138.83</v>
      </c>
      <c r="AE93" s="20">
        <v>5.8299999999999998E-2</v>
      </c>
      <c r="AF93" s="2"/>
      <c r="AM93" s="4"/>
    </row>
    <row r="94" spans="1:39" x14ac:dyDescent="0.35">
      <c r="A94" s="16" t="s">
        <v>87</v>
      </c>
      <c r="B94" s="17" t="s">
        <v>74</v>
      </c>
      <c r="C94" s="17" t="s">
        <v>76</v>
      </c>
      <c r="D94" s="18">
        <v>19893855.25</v>
      </c>
      <c r="E94" s="19">
        <v>19004084.039999999</v>
      </c>
      <c r="F94" s="19">
        <v>889771.21</v>
      </c>
      <c r="G94" s="20">
        <v>4.6800000000000001E-2</v>
      </c>
      <c r="H94" s="18">
        <v>208885.48</v>
      </c>
      <c r="I94" s="19">
        <v>198029.5</v>
      </c>
      <c r="J94" s="19">
        <v>10855.98</v>
      </c>
      <c r="K94" s="20">
        <v>5.4800000000000001E-2</v>
      </c>
      <c r="L94" s="18">
        <v>58487.93</v>
      </c>
      <c r="M94" s="19">
        <v>54517.93</v>
      </c>
      <c r="N94" s="19">
        <v>3970</v>
      </c>
      <c r="O94" s="20">
        <v>7.2800000000000004E-2</v>
      </c>
      <c r="P94" s="18">
        <v>3580.89</v>
      </c>
      <c r="Q94" s="19">
        <v>3307</v>
      </c>
      <c r="R94" s="19">
        <v>273.89</v>
      </c>
      <c r="S94" s="20">
        <v>8.2799999999999999E-2</v>
      </c>
      <c r="T94" s="18">
        <v>146816.65</v>
      </c>
      <c r="U94" s="19">
        <v>137749.95000000001</v>
      </c>
      <c r="V94" s="19">
        <v>9066.7000000000007</v>
      </c>
      <c r="W94" s="20">
        <v>6.5799999999999997E-2</v>
      </c>
      <c r="X94" s="18">
        <v>84570.83</v>
      </c>
      <c r="Y94" s="19">
        <v>78537.570000000007</v>
      </c>
      <c r="Z94" s="19">
        <v>6033.26</v>
      </c>
      <c r="AA94" s="20">
        <v>7.6799999999999993E-2</v>
      </c>
      <c r="AB94" s="18">
        <v>62245.82</v>
      </c>
      <c r="AC94" s="19">
        <v>56596.37</v>
      </c>
      <c r="AD94" s="19">
        <v>5649.45</v>
      </c>
      <c r="AE94" s="20">
        <v>9.98E-2</v>
      </c>
      <c r="AF94" s="2"/>
      <c r="AM94" s="4"/>
    </row>
    <row r="95" spans="1:39" x14ac:dyDescent="0.35">
      <c r="A95" s="16" t="s">
        <v>87</v>
      </c>
      <c r="B95" s="17" t="s">
        <v>74</v>
      </c>
      <c r="C95" s="17" t="s">
        <v>77</v>
      </c>
      <c r="D95" s="18">
        <v>29889008.460000001</v>
      </c>
      <c r="E95" s="19">
        <v>30349717.170000002</v>
      </c>
      <c r="F95" s="19">
        <v>-460708.71</v>
      </c>
      <c r="G95" s="20">
        <v>-1.52E-2</v>
      </c>
      <c r="H95" s="18">
        <v>194278.55</v>
      </c>
      <c r="I95" s="19">
        <v>195683.56</v>
      </c>
      <c r="J95" s="19">
        <v>-1405.01</v>
      </c>
      <c r="K95" s="20">
        <v>-7.1999999999999998E-3</v>
      </c>
      <c r="L95" s="18">
        <v>62169.14</v>
      </c>
      <c r="M95" s="19">
        <v>61503.67</v>
      </c>
      <c r="N95" s="19">
        <v>665.47</v>
      </c>
      <c r="O95" s="20">
        <v>1.0800000000000001E-2</v>
      </c>
      <c r="P95" s="18">
        <v>5380.02</v>
      </c>
      <c r="Q95" s="19">
        <v>5270.29</v>
      </c>
      <c r="R95" s="19">
        <v>109.73</v>
      </c>
      <c r="S95" s="20">
        <v>2.0799999999999999E-2</v>
      </c>
      <c r="T95" s="18">
        <v>126729.4</v>
      </c>
      <c r="U95" s="19">
        <v>126247.14</v>
      </c>
      <c r="V95" s="19">
        <v>482.26</v>
      </c>
      <c r="W95" s="20">
        <v>3.8E-3</v>
      </c>
      <c r="X95" s="18">
        <v>78656.97</v>
      </c>
      <c r="Y95" s="19">
        <v>77508.289999999994</v>
      </c>
      <c r="Z95" s="19">
        <v>1148.67</v>
      </c>
      <c r="AA95" s="20">
        <v>1.4800000000000001E-2</v>
      </c>
      <c r="AB95" s="18">
        <v>48072.43</v>
      </c>
      <c r="AC95" s="19">
        <v>46320.59</v>
      </c>
      <c r="AD95" s="19">
        <v>1751.84</v>
      </c>
      <c r="AE95" s="20">
        <v>3.78E-2</v>
      </c>
      <c r="AF95" s="2"/>
      <c r="AM95" s="4"/>
    </row>
    <row r="96" spans="1:39" x14ac:dyDescent="0.35">
      <c r="A96" s="16" t="s">
        <v>87</v>
      </c>
      <c r="B96" s="17" t="s">
        <v>74</v>
      </c>
      <c r="C96" s="17" t="s">
        <v>78</v>
      </c>
      <c r="D96" s="18">
        <v>8176806.4299999997</v>
      </c>
      <c r="E96" s="19">
        <v>7788028.0700000003</v>
      </c>
      <c r="F96" s="19">
        <v>388778.36</v>
      </c>
      <c r="G96" s="20">
        <v>4.99E-2</v>
      </c>
      <c r="H96" s="18">
        <v>24530.42</v>
      </c>
      <c r="I96" s="19">
        <v>23187.41</v>
      </c>
      <c r="J96" s="19">
        <v>1343.01</v>
      </c>
      <c r="K96" s="20">
        <v>5.79E-2</v>
      </c>
      <c r="L96" s="18">
        <v>4415.4799999999996</v>
      </c>
      <c r="M96" s="19">
        <v>4103.91</v>
      </c>
      <c r="N96" s="19">
        <v>311.57</v>
      </c>
      <c r="O96" s="20">
        <v>7.5899999999999995E-2</v>
      </c>
      <c r="P96" s="18">
        <v>1471.83</v>
      </c>
      <c r="Q96" s="19">
        <v>1355.38</v>
      </c>
      <c r="R96" s="19">
        <v>116.45</v>
      </c>
      <c r="S96" s="20">
        <v>8.5900000000000004E-2</v>
      </c>
      <c r="T96" s="18">
        <v>18643.12</v>
      </c>
      <c r="U96" s="19">
        <v>17441.080000000002</v>
      </c>
      <c r="V96" s="19">
        <v>1202.04</v>
      </c>
      <c r="W96" s="20">
        <v>6.8900000000000003E-2</v>
      </c>
      <c r="X96" s="18">
        <v>9931.56</v>
      </c>
      <c r="Y96" s="19">
        <v>9196.57</v>
      </c>
      <c r="Z96" s="19">
        <v>734.99</v>
      </c>
      <c r="AA96" s="20">
        <v>7.9899999999999999E-2</v>
      </c>
      <c r="AB96" s="18">
        <v>8711.56</v>
      </c>
      <c r="AC96" s="19">
        <v>7898.64</v>
      </c>
      <c r="AD96" s="19">
        <v>812.93</v>
      </c>
      <c r="AE96" s="20">
        <v>0.10290000000000001</v>
      </c>
      <c r="AF96" s="2"/>
      <c r="AM96" s="4"/>
    </row>
    <row r="97" spans="1:39" x14ac:dyDescent="0.35">
      <c r="A97" s="16" t="s">
        <v>87</v>
      </c>
      <c r="B97" s="17" t="s">
        <v>74</v>
      </c>
      <c r="C97" s="17" t="s">
        <v>79</v>
      </c>
      <c r="D97" s="18">
        <v>12543154.289999999</v>
      </c>
      <c r="E97" s="19">
        <v>12067919.619999999</v>
      </c>
      <c r="F97" s="19">
        <v>475234.67</v>
      </c>
      <c r="G97" s="20">
        <v>3.9399999999999998E-2</v>
      </c>
      <c r="H97" s="18">
        <v>56444.19</v>
      </c>
      <c r="I97" s="19">
        <v>53890.84</v>
      </c>
      <c r="J97" s="19">
        <v>2553.35</v>
      </c>
      <c r="K97" s="20">
        <v>4.7399999999999998E-2</v>
      </c>
      <c r="L97" s="18">
        <v>12417.72</v>
      </c>
      <c r="M97" s="19">
        <v>11655.67</v>
      </c>
      <c r="N97" s="19">
        <v>762.05</v>
      </c>
      <c r="O97" s="20">
        <v>6.54E-2</v>
      </c>
      <c r="P97" s="18">
        <v>2257.77</v>
      </c>
      <c r="Q97" s="19">
        <v>2099.5100000000002</v>
      </c>
      <c r="R97" s="19">
        <v>158.26</v>
      </c>
      <c r="S97" s="20">
        <v>7.5399999999999995E-2</v>
      </c>
      <c r="T97" s="18">
        <v>41768.699999999997</v>
      </c>
      <c r="U97" s="19">
        <v>39464.75</v>
      </c>
      <c r="V97" s="19">
        <v>2303.9499999999998</v>
      </c>
      <c r="W97" s="20">
        <v>5.8400000000000001E-2</v>
      </c>
      <c r="X97" s="18">
        <v>22852.39</v>
      </c>
      <c r="Y97" s="19">
        <v>21369.75</v>
      </c>
      <c r="Z97" s="19">
        <v>1482.63</v>
      </c>
      <c r="AA97" s="20">
        <v>6.9400000000000003E-2</v>
      </c>
      <c r="AB97" s="18">
        <v>18916.310000000001</v>
      </c>
      <c r="AC97" s="19">
        <v>17316.599999999999</v>
      </c>
      <c r="AD97" s="19">
        <v>1599.71</v>
      </c>
      <c r="AE97" s="20">
        <v>9.2399999999999996E-2</v>
      </c>
      <c r="AF97" s="2"/>
      <c r="AM97" s="4"/>
    </row>
    <row r="98" spans="1:39" x14ac:dyDescent="0.35">
      <c r="A98" s="16" t="s">
        <v>87</v>
      </c>
      <c r="B98" s="17" t="s">
        <v>80</v>
      </c>
      <c r="C98" s="17" t="s">
        <v>75</v>
      </c>
      <c r="D98" s="18">
        <v>6394559.6100000003</v>
      </c>
      <c r="E98" s="19">
        <v>6466074.3899999997</v>
      </c>
      <c r="F98" s="19">
        <v>-71514.78</v>
      </c>
      <c r="G98" s="20">
        <v>-1.11E-2</v>
      </c>
      <c r="H98" s="18">
        <v>47959.199999999997</v>
      </c>
      <c r="I98" s="19">
        <v>48106.41</v>
      </c>
      <c r="J98" s="19">
        <v>-147.21</v>
      </c>
      <c r="K98" s="20">
        <v>-3.0999999999999999E-3</v>
      </c>
      <c r="L98" s="18">
        <v>16785.72</v>
      </c>
      <c r="M98" s="19">
        <v>16538.63</v>
      </c>
      <c r="N98" s="19">
        <v>247.09</v>
      </c>
      <c r="O98" s="20">
        <v>1.49E-2</v>
      </c>
      <c r="P98" s="18">
        <v>575.51</v>
      </c>
      <c r="Q98" s="19">
        <v>561.51</v>
      </c>
      <c r="R98" s="19">
        <v>14</v>
      </c>
      <c r="S98" s="20">
        <v>2.4899999999999999E-2</v>
      </c>
      <c r="T98" s="18">
        <v>30597.97</v>
      </c>
      <c r="U98" s="19">
        <v>30356.94</v>
      </c>
      <c r="V98" s="19">
        <v>241.03</v>
      </c>
      <c r="W98" s="20">
        <v>7.9000000000000008E-3</v>
      </c>
      <c r="X98" s="18">
        <v>19417.099999999999</v>
      </c>
      <c r="Y98" s="19">
        <v>19056.169999999998</v>
      </c>
      <c r="Z98" s="19">
        <v>360.92</v>
      </c>
      <c r="AA98" s="20">
        <v>1.89E-2</v>
      </c>
      <c r="AB98" s="18">
        <v>11180.87</v>
      </c>
      <c r="AC98" s="19">
        <v>10730.82</v>
      </c>
      <c r="AD98" s="19">
        <v>450.05</v>
      </c>
      <c r="AE98" s="20">
        <v>4.19E-2</v>
      </c>
      <c r="AF98" s="2"/>
      <c r="AM98" s="4"/>
    </row>
    <row r="99" spans="1:39" x14ac:dyDescent="0.35">
      <c r="A99" s="16" t="s">
        <v>87</v>
      </c>
      <c r="B99" s="17" t="s">
        <v>80</v>
      </c>
      <c r="C99" s="17" t="s">
        <v>76</v>
      </c>
      <c r="D99" s="18">
        <v>10199689.060000001</v>
      </c>
      <c r="E99" s="19">
        <v>9897998.0800000001</v>
      </c>
      <c r="F99" s="19">
        <v>301690.98</v>
      </c>
      <c r="G99" s="20">
        <v>3.0499999999999999E-2</v>
      </c>
      <c r="H99" s="18">
        <v>107096.74</v>
      </c>
      <c r="I99" s="19">
        <v>103128.36</v>
      </c>
      <c r="J99" s="19">
        <v>3968.38</v>
      </c>
      <c r="K99" s="20">
        <v>3.85E-2</v>
      </c>
      <c r="L99" s="18">
        <v>29987.09</v>
      </c>
      <c r="M99" s="19">
        <v>28383.96</v>
      </c>
      <c r="N99" s="19">
        <v>1603.13</v>
      </c>
      <c r="O99" s="20">
        <v>5.6500000000000002E-2</v>
      </c>
      <c r="P99" s="18">
        <v>917.97</v>
      </c>
      <c r="Q99" s="19">
        <v>860.75</v>
      </c>
      <c r="R99" s="19">
        <v>57.22</v>
      </c>
      <c r="S99" s="20">
        <v>6.6500000000000004E-2</v>
      </c>
      <c r="T99" s="18">
        <v>76191.679999999993</v>
      </c>
      <c r="U99" s="19">
        <v>72599.460000000006</v>
      </c>
      <c r="V99" s="19">
        <v>3592.22</v>
      </c>
      <c r="W99" s="20">
        <v>4.9500000000000002E-2</v>
      </c>
      <c r="X99" s="18">
        <v>43359.93</v>
      </c>
      <c r="Y99" s="19">
        <v>40887.08</v>
      </c>
      <c r="Z99" s="19">
        <v>2472.85</v>
      </c>
      <c r="AA99" s="20">
        <v>6.0499999999999998E-2</v>
      </c>
      <c r="AB99" s="18">
        <v>32831.75</v>
      </c>
      <c r="AC99" s="19">
        <v>30302.13</v>
      </c>
      <c r="AD99" s="19">
        <v>2529.62</v>
      </c>
      <c r="AE99" s="20">
        <v>8.3500000000000005E-2</v>
      </c>
      <c r="AF99" s="2"/>
      <c r="AM99" s="4"/>
    </row>
    <row r="100" spans="1:39" x14ac:dyDescent="0.35">
      <c r="A100" s="16" t="s">
        <v>87</v>
      </c>
      <c r="B100" s="17" t="s">
        <v>80</v>
      </c>
      <c r="C100" s="17" t="s">
        <v>77</v>
      </c>
      <c r="D100" s="18">
        <v>15328410.15</v>
      </c>
      <c r="E100" s="19">
        <v>15827286.210000001</v>
      </c>
      <c r="F100" s="19">
        <v>-498876.06</v>
      </c>
      <c r="G100" s="20">
        <v>-3.15E-2</v>
      </c>
      <c r="H100" s="18">
        <v>99634.67</v>
      </c>
      <c r="I100" s="19">
        <v>102034.52</v>
      </c>
      <c r="J100" s="19">
        <v>-2399.85</v>
      </c>
      <c r="K100" s="20">
        <v>-2.35E-2</v>
      </c>
      <c r="L100" s="18">
        <v>31883.09</v>
      </c>
      <c r="M100" s="19">
        <v>32060.06</v>
      </c>
      <c r="N100" s="19">
        <v>-176.97</v>
      </c>
      <c r="O100" s="20">
        <v>-5.4999999999999997E-3</v>
      </c>
      <c r="P100" s="18">
        <v>1379.56</v>
      </c>
      <c r="Q100" s="19">
        <v>1373.41</v>
      </c>
      <c r="R100" s="19">
        <v>6.15</v>
      </c>
      <c r="S100" s="20">
        <v>4.4999999999999997E-3</v>
      </c>
      <c r="T100" s="18">
        <v>66372.02</v>
      </c>
      <c r="U100" s="19">
        <v>67213.53</v>
      </c>
      <c r="V100" s="19">
        <v>-841.51</v>
      </c>
      <c r="W100" s="20">
        <v>-1.2500000000000001E-2</v>
      </c>
      <c r="X100" s="18">
        <v>40338.79</v>
      </c>
      <c r="Y100" s="19">
        <v>40400.19</v>
      </c>
      <c r="Z100" s="19">
        <v>-61.41</v>
      </c>
      <c r="AA100" s="20">
        <v>-1.5E-3</v>
      </c>
      <c r="AB100" s="18">
        <v>26033.23</v>
      </c>
      <c r="AC100" s="19">
        <v>25485.8</v>
      </c>
      <c r="AD100" s="19">
        <v>547.42999999999995</v>
      </c>
      <c r="AE100" s="20">
        <v>2.1499999999999998E-2</v>
      </c>
      <c r="AF100" s="2"/>
      <c r="AM100" s="4"/>
    </row>
    <row r="101" spans="1:39" x14ac:dyDescent="0.35">
      <c r="A101" s="16" t="s">
        <v>87</v>
      </c>
      <c r="B101" s="17" t="s">
        <v>80</v>
      </c>
      <c r="C101" s="17" t="s">
        <v>78</v>
      </c>
      <c r="D101" s="18">
        <v>4192293.65</v>
      </c>
      <c r="E101" s="19">
        <v>4056090.14</v>
      </c>
      <c r="F101" s="19">
        <v>136203.51</v>
      </c>
      <c r="G101" s="20">
        <v>3.3599999999999998E-2</v>
      </c>
      <c r="H101" s="18">
        <v>12576.88</v>
      </c>
      <c r="I101" s="19">
        <v>12074.81</v>
      </c>
      <c r="J101" s="19">
        <v>502.07</v>
      </c>
      <c r="K101" s="20">
        <v>4.1599999999999998E-2</v>
      </c>
      <c r="L101" s="18">
        <v>2263.84</v>
      </c>
      <c r="M101" s="19">
        <v>2136.54</v>
      </c>
      <c r="N101" s="19">
        <v>127.3</v>
      </c>
      <c r="O101" s="20">
        <v>5.96E-2</v>
      </c>
      <c r="P101" s="18">
        <v>377.31</v>
      </c>
      <c r="Q101" s="19">
        <v>352.76</v>
      </c>
      <c r="R101" s="19">
        <v>24.55</v>
      </c>
      <c r="S101" s="20">
        <v>6.9599999999999995E-2</v>
      </c>
      <c r="T101" s="18">
        <v>9935.74</v>
      </c>
      <c r="U101" s="19">
        <v>9439.42</v>
      </c>
      <c r="V101" s="19">
        <v>496.32</v>
      </c>
      <c r="W101" s="20">
        <v>5.2600000000000001E-2</v>
      </c>
      <c r="X101" s="18">
        <v>5091.96</v>
      </c>
      <c r="Y101" s="19">
        <v>4787.57</v>
      </c>
      <c r="Z101" s="19">
        <v>304.39</v>
      </c>
      <c r="AA101" s="20">
        <v>6.3600000000000004E-2</v>
      </c>
      <c r="AB101" s="18">
        <v>4843.78</v>
      </c>
      <c r="AC101" s="19">
        <v>4457.82</v>
      </c>
      <c r="AD101" s="19">
        <v>385.96</v>
      </c>
      <c r="AE101" s="20">
        <v>8.6599999999999996E-2</v>
      </c>
      <c r="AF101" s="2"/>
      <c r="AM101" s="4"/>
    </row>
    <row r="102" spans="1:39" x14ac:dyDescent="0.35">
      <c r="A102" s="16" t="s">
        <v>87</v>
      </c>
      <c r="B102" s="17" t="s">
        <v>80</v>
      </c>
      <c r="C102" s="17" t="s">
        <v>79</v>
      </c>
      <c r="D102" s="18">
        <v>6430944.2300000004</v>
      </c>
      <c r="E102" s="19">
        <v>6286112.2000000002</v>
      </c>
      <c r="F102" s="19">
        <v>144832.03</v>
      </c>
      <c r="G102" s="20">
        <v>2.3E-2</v>
      </c>
      <c r="H102" s="18">
        <v>28939.25</v>
      </c>
      <c r="I102" s="19">
        <v>28068.02</v>
      </c>
      <c r="J102" s="19">
        <v>871.23</v>
      </c>
      <c r="K102" s="20">
        <v>3.1E-2</v>
      </c>
      <c r="L102" s="18">
        <v>6366.63</v>
      </c>
      <c r="M102" s="19">
        <v>6069.01</v>
      </c>
      <c r="N102" s="19">
        <v>297.62</v>
      </c>
      <c r="O102" s="20">
        <v>4.9000000000000002E-2</v>
      </c>
      <c r="P102" s="18">
        <v>578.78</v>
      </c>
      <c r="Q102" s="19">
        <v>546.51</v>
      </c>
      <c r="R102" s="19">
        <v>32.270000000000003</v>
      </c>
      <c r="S102" s="20">
        <v>5.8999999999999997E-2</v>
      </c>
      <c r="T102" s="18">
        <v>21993.83</v>
      </c>
      <c r="U102" s="19">
        <v>21106.51</v>
      </c>
      <c r="V102" s="19">
        <v>887.32</v>
      </c>
      <c r="W102" s="20">
        <v>4.2000000000000003E-2</v>
      </c>
      <c r="X102" s="18">
        <v>11716.55</v>
      </c>
      <c r="Y102" s="19">
        <v>11126.4</v>
      </c>
      <c r="Z102" s="19">
        <v>590.14</v>
      </c>
      <c r="AA102" s="20">
        <v>5.2999999999999999E-2</v>
      </c>
      <c r="AB102" s="18">
        <v>10277.280000000001</v>
      </c>
      <c r="AC102" s="19">
        <v>9551.02</v>
      </c>
      <c r="AD102" s="19">
        <v>726.26</v>
      </c>
      <c r="AE102" s="20">
        <v>7.5999999999999998E-2</v>
      </c>
      <c r="AF102" s="2"/>
      <c r="AM102" s="4"/>
    </row>
    <row r="103" spans="1:39" x14ac:dyDescent="0.35">
      <c r="A103" s="16" t="s">
        <v>87</v>
      </c>
      <c r="B103" s="17" t="s">
        <v>81</v>
      </c>
      <c r="C103" s="17" t="s">
        <v>75</v>
      </c>
      <c r="D103" s="18">
        <v>8243584.2199999997</v>
      </c>
      <c r="E103" s="19">
        <v>8319793.5300000003</v>
      </c>
      <c r="F103" s="19">
        <v>-76209.31</v>
      </c>
      <c r="G103" s="20">
        <v>-9.1999999999999998E-3</v>
      </c>
      <c r="H103" s="18">
        <v>61826.879999999997</v>
      </c>
      <c r="I103" s="19">
        <v>61898.68</v>
      </c>
      <c r="J103" s="19">
        <v>-71.8</v>
      </c>
      <c r="K103" s="20">
        <v>-1.1999999999999999E-3</v>
      </c>
      <c r="L103" s="18">
        <v>21639.41</v>
      </c>
      <c r="M103" s="19">
        <v>21281.040000000001</v>
      </c>
      <c r="N103" s="19">
        <v>358.37</v>
      </c>
      <c r="O103" s="20">
        <v>1.6799999999999999E-2</v>
      </c>
      <c r="P103" s="18">
        <v>1648.72</v>
      </c>
      <c r="Q103" s="19">
        <v>1605.63</v>
      </c>
      <c r="R103" s="19">
        <v>43.09</v>
      </c>
      <c r="S103" s="20">
        <v>2.6800000000000001E-2</v>
      </c>
      <c r="T103" s="18">
        <v>38538.76</v>
      </c>
      <c r="U103" s="19">
        <v>38163.230000000003</v>
      </c>
      <c r="V103" s="19">
        <v>375.53</v>
      </c>
      <c r="W103" s="20">
        <v>9.7999999999999997E-3</v>
      </c>
      <c r="X103" s="18">
        <v>25031.66</v>
      </c>
      <c r="Y103" s="19">
        <v>24520.65</v>
      </c>
      <c r="Z103" s="19">
        <v>511.01</v>
      </c>
      <c r="AA103" s="20">
        <v>2.0799999999999999E-2</v>
      </c>
      <c r="AB103" s="18">
        <v>13507.1</v>
      </c>
      <c r="AC103" s="19">
        <v>12939.82</v>
      </c>
      <c r="AD103" s="19">
        <v>567.28</v>
      </c>
      <c r="AE103" s="20">
        <v>4.3799999999999999E-2</v>
      </c>
      <c r="AF103" s="2"/>
      <c r="AM103" s="4"/>
    </row>
    <row r="104" spans="1:39" x14ac:dyDescent="0.35">
      <c r="A104" s="16" t="s">
        <v>87</v>
      </c>
      <c r="B104" s="17" t="s">
        <v>81</v>
      </c>
      <c r="C104" s="17" t="s">
        <v>76</v>
      </c>
      <c r="D104" s="18">
        <v>13154282.51</v>
      </c>
      <c r="E104" s="19">
        <v>12741706.07</v>
      </c>
      <c r="F104" s="19">
        <v>412576.44</v>
      </c>
      <c r="G104" s="20">
        <v>3.2399999999999998E-2</v>
      </c>
      <c r="H104" s="18">
        <v>138119.97</v>
      </c>
      <c r="I104" s="19">
        <v>132759.16</v>
      </c>
      <c r="J104" s="19">
        <v>5360.81</v>
      </c>
      <c r="K104" s="20">
        <v>4.0399999999999998E-2</v>
      </c>
      <c r="L104" s="18">
        <v>38673.589999999997</v>
      </c>
      <c r="M104" s="19">
        <v>36540.36</v>
      </c>
      <c r="N104" s="19">
        <v>2133.23</v>
      </c>
      <c r="O104" s="20">
        <v>5.8400000000000001E-2</v>
      </c>
      <c r="P104" s="18">
        <v>2630.86</v>
      </c>
      <c r="Q104" s="19">
        <v>2462.48</v>
      </c>
      <c r="R104" s="19">
        <v>168.38</v>
      </c>
      <c r="S104" s="20">
        <v>6.8400000000000002E-2</v>
      </c>
      <c r="T104" s="18">
        <v>96815.52</v>
      </c>
      <c r="U104" s="19">
        <v>92084.23</v>
      </c>
      <c r="V104" s="19">
        <v>4731.29</v>
      </c>
      <c r="W104" s="20">
        <v>5.1400000000000001E-2</v>
      </c>
      <c r="X104" s="18">
        <v>55920.21</v>
      </c>
      <c r="Y104" s="19">
        <v>52636.73</v>
      </c>
      <c r="Z104" s="19">
        <v>3283.48</v>
      </c>
      <c r="AA104" s="20">
        <v>6.2399999999999997E-2</v>
      </c>
      <c r="AB104" s="18">
        <v>40895.31</v>
      </c>
      <c r="AC104" s="19">
        <v>37678.33</v>
      </c>
      <c r="AD104" s="19">
        <v>3216.98</v>
      </c>
      <c r="AE104" s="20">
        <v>8.5400000000000004E-2</v>
      </c>
      <c r="AF104" s="2"/>
      <c r="AM104" s="4"/>
    </row>
    <row r="105" spans="1:39" x14ac:dyDescent="0.35">
      <c r="A105" s="16" t="s">
        <v>87</v>
      </c>
      <c r="B105" s="17" t="s">
        <v>81</v>
      </c>
      <c r="C105" s="17" t="s">
        <v>77</v>
      </c>
      <c r="D105" s="18">
        <v>19760710.289999999</v>
      </c>
      <c r="E105" s="19">
        <v>20363888.670000002</v>
      </c>
      <c r="F105" s="19">
        <v>-603178.38</v>
      </c>
      <c r="G105" s="20">
        <v>-2.9600000000000001E-2</v>
      </c>
      <c r="H105" s="18">
        <v>128444.62</v>
      </c>
      <c r="I105" s="19">
        <v>131282.96</v>
      </c>
      <c r="J105" s="19">
        <v>-2838.34</v>
      </c>
      <c r="K105" s="20">
        <v>-2.1600000000000001E-2</v>
      </c>
      <c r="L105" s="18">
        <v>41102.28</v>
      </c>
      <c r="M105" s="19">
        <v>41251.61</v>
      </c>
      <c r="N105" s="19">
        <v>-149.33000000000001</v>
      </c>
      <c r="O105" s="20">
        <v>-3.5999999999999999E-3</v>
      </c>
      <c r="P105" s="18">
        <v>3952.14</v>
      </c>
      <c r="Q105" s="19">
        <v>3927.09</v>
      </c>
      <c r="R105" s="19">
        <v>25.05</v>
      </c>
      <c r="S105" s="20">
        <v>6.4000000000000003E-3</v>
      </c>
      <c r="T105" s="18">
        <v>83390.2</v>
      </c>
      <c r="U105" s="19">
        <v>84285.31</v>
      </c>
      <c r="V105" s="19">
        <v>-895.11</v>
      </c>
      <c r="W105" s="20">
        <v>-1.06E-2</v>
      </c>
      <c r="X105" s="18">
        <v>52002.98</v>
      </c>
      <c r="Y105" s="19">
        <v>51983.23</v>
      </c>
      <c r="Z105" s="19">
        <v>19.75</v>
      </c>
      <c r="AA105" s="20">
        <v>4.0000000000000002E-4</v>
      </c>
      <c r="AB105" s="18">
        <v>31387.22</v>
      </c>
      <c r="AC105" s="19">
        <v>30670.15</v>
      </c>
      <c r="AD105" s="19">
        <v>717.07</v>
      </c>
      <c r="AE105" s="20">
        <v>2.3400000000000001E-2</v>
      </c>
      <c r="AF105" s="2"/>
      <c r="AM105" s="4"/>
    </row>
    <row r="106" spans="1:39" x14ac:dyDescent="0.35">
      <c r="A106" s="16" t="s">
        <v>87</v>
      </c>
      <c r="B106" s="17" t="s">
        <v>81</v>
      </c>
      <c r="C106" s="17" t="s">
        <v>78</v>
      </c>
      <c r="D106" s="18">
        <v>5406695.71</v>
      </c>
      <c r="E106" s="19">
        <v>5221439.05</v>
      </c>
      <c r="F106" s="19">
        <v>185256.66</v>
      </c>
      <c r="G106" s="20">
        <v>3.5499999999999997E-2</v>
      </c>
      <c r="H106" s="18">
        <v>16220.09</v>
      </c>
      <c r="I106" s="19">
        <v>15544.23</v>
      </c>
      <c r="J106" s="19">
        <v>675.86</v>
      </c>
      <c r="K106" s="20">
        <v>4.3499999999999997E-2</v>
      </c>
      <c r="L106" s="18">
        <v>2919.62</v>
      </c>
      <c r="M106" s="19">
        <v>2750.52</v>
      </c>
      <c r="N106" s="19">
        <v>169.1</v>
      </c>
      <c r="O106" s="20">
        <v>6.1499999999999999E-2</v>
      </c>
      <c r="P106" s="18">
        <v>1081.3399999999999</v>
      </c>
      <c r="Q106" s="19">
        <v>1009.2</v>
      </c>
      <c r="R106" s="19">
        <v>72.14</v>
      </c>
      <c r="S106" s="20">
        <v>7.1499999999999994E-2</v>
      </c>
      <c r="T106" s="18">
        <v>12219.13</v>
      </c>
      <c r="U106" s="19">
        <v>11587.83</v>
      </c>
      <c r="V106" s="19">
        <v>631.29999999999995</v>
      </c>
      <c r="W106" s="20">
        <v>5.45E-2</v>
      </c>
      <c r="X106" s="18">
        <v>6566.98</v>
      </c>
      <c r="Y106" s="19">
        <v>6163.4</v>
      </c>
      <c r="Z106" s="19">
        <v>403.58</v>
      </c>
      <c r="AA106" s="20">
        <v>6.5500000000000003E-2</v>
      </c>
      <c r="AB106" s="18">
        <v>5652.15</v>
      </c>
      <c r="AC106" s="19">
        <v>5192.7</v>
      </c>
      <c r="AD106" s="19">
        <v>459.45</v>
      </c>
      <c r="AE106" s="20">
        <v>8.8499999999999995E-2</v>
      </c>
      <c r="AF106" s="2"/>
      <c r="AM106" s="4"/>
    </row>
    <row r="107" spans="1:39" x14ac:dyDescent="0.35">
      <c r="A107" s="16" t="s">
        <v>87</v>
      </c>
      <c r="B107" s="17" t="s">
        <v>81</v>
      </c>
      <c r="C107" s="17" t="s">
        <v>79</v>
      </c>
      <c r="D107" s="18">
        <v>8293827.0599999996</v>
      </c>
      <c r="E107" s="19">
        <v>8092012.2699999996</v>
      </c>
      <c r="F107" s="19">
        <v>201814.79</v>
      </c>
      <c r="G107" s="20">
        <v>2.4899999999999999E-2</v>
      </c>
      <c r="H107" s="18">
        <v>37322.22</v>
      </c>
      <c r="I107" s="19">
        <v>36132.03</v>
      </c>
      <c r="J107" s="19">
        <v>1190.19</v>
      </c>
      <c r="K107" s="20">
        <v>3.2899999999999999E-2</v>
      </c>
      <c r="L107" s="18">
        <v>8210.89</v>
      </c>
      <c r="M107" s="19">
        <v>7812.9</v>
      </c>
      <c r="N107" s="19">
        <v>397.99</v>
      </c>
      <c r="O107" s="20">
        <v>5.0900000000000001E-2</v>
      </c>
      <c r="P107" s="18">
        <v>1658.77</v>
      </c>
      <c r="Q107" s="19">
        <v>1563.49</v>
      </c>
      <c r="R107" s="19">
        <v>95.28</v>
      </c>
      <c r="S107" s="20">
        <v>6.0900000000000003E-2</v>
      </c>
      <c r="T107" s="18">
        <v>27452.57</v>
      </c>
      <c r="U107" s="19">
        <v>26297.08</v>
      </c>
      <c r="V107" s="19">
        <v>1155.49</v>
      </c>
      <c r="W107" s="20">
        <v>4.3900000000000002E-2</v>
      </c>
      <c r="X107" s="18">
        <v>15110.53</v>
      </c>
      <c r="Y107" s="19">
        <v>14323.6</v>
      </c>
      <c r="Z107" s="19">
        <v>786.94</v>
      </c>
      <c r="AA107" s="20">
        <v>5.4899999999999997E-2</v>
      </c>
      <c r="AB107" s="18">
        <v>12342.04</v>
      </c>
      <c r="AC107" s="19">
        <v>11449.65</v>
      </c>
      <c r="AD107" s="19">
        <v>892.39</v>
      </c>
      <c r="AE107" s="20">
        <v>7.7899999999999997E-2</v>
      </c>
      <c r="AF107" s="2"/>
      <c r="AM107" s="4"/>
    </row>
    <row r="108" spans="1:39" x14ac:dyDescent="0.35">
      <c r="A108" s="16" t="s">
        <v>87</v>
      </c>
      <c r="B108" s="17" t="s">
        <v>82</v>
      </c>
      <c r="C108" s="17" t="s">
        <v>75</v>
      </c>
      <c r="D108" s="18">
        <v>9935556.4499999993</v>
      </c>
      <c r="E108" s="19">
        <v>9992915.7899999991</v>
      </c>
      <c r="F108" s="19">
        <v>-57359.34</v>
      </c>
      <c r="G108" s="20">
        <v>-5.7000000000000002E-3</v>
      </c>
      <c r="H108" s="18">
        <v>74516.67</v>
      </c>
      <c r="I108" s="19">
        <v>74348.639999999999</v>
      </c>
      <c r="J108" s="19">
        <v>168.03</v>
      </c>
      <c r="K108" s="20">
        <v>2.3E-3</v>
      </c>
      <c r="L108" s="18">
        <v>26080.84</v>
      </c>
      <c r="M108" s="19">
        <v>25562.93</v>
      </c>
      <c r="N108" s="19">
        <v>517.91</v>
      </c>
      <c r="O108" s="20">
        <v>2.0299999999999999E-2</v>
      </c>
      <c r="P108" s="18">
        <v>1490.33</v>
      </c>
      <c r="Q108" s="19">
        <v>1446.56</v>
      </c>
      <c r="R108" s="19">
        <v>43.77</v>
      </c>
      <c r="S108" s="20">
        <v>3.0300000000000001E-2</v>
      </c>
      <c r="T108" s="18">
        <v>46945.5</v>
      </c>
      <c r="U108" s="19">
        <v>46331.15</v>
      </c>
      <c r="V108" s="19">
        <v>614.35</v>
      </c>
      <c r="W108" s="20">
        <v>1.3299999999999999E-2</v>
      </c>
      <c r="X108" s="18">
        <v>30169.34</v>
      </c>
      <c r="Y108" s="19">
        <v>29454.76</v>
      </c>
      <c r="Z108" s="19">
        <v>714.57</v>
      </c>
      <c r="AA108" s="20">
        <v>2.4299999999999999E-2</v>
      </c>
      <c r="AB108" s="18">
        <v>16776.16</v>
      </c>
      <c r="AC108" s="19">
        <v>16019.1</v>
      </c>
      <c r="AD108" s="19">
        <v>757.06</v>
      </c>
      <c r="AE108" s="20">
        <v>4.7300000000000002E-2</v>
      </c>
      <c r="AF108" s="2"/>
      <c r="AM108" s="4"/>
    </row>
    <row r="109" spans="1:39" x14ac:dyDescent="0.35">
      <c r="A109" s="16" t="s">
        <v>87</v>
      </c>
      <c r="B109" s="17" t="s">
        <v>82</v>
      </c>
      <c r="C109" s="17" t="s">
        <v>76</v>
      </c>
      <c r="D109" s="18">
        <v>15853123.060000001</v>
      </c>
      <c r="E109" s="19">
        <v>15305197.01</v>
      </c>
      <c r="F109" s="19">
        <v>547926.05000000005</v>
      </c>
      <c r="G109" s="20">
        <v>3.5799999999999998E-2</v>
      </c>
      <c r="H109" s="18">
        <v>166457.79</v>
      </c>
      <c r="I109" s="19">
        <v>159472.88</v>
      </c>
      <c r="J109" s="19">
        <v>6984.91</v>
      </c>
      <c r="K109" s="20">
        <v>4.3799999999999999E-2</v>
      </c>
      <c r="L109" s="18">
        <v>46608.18</v>
      </c>
      <c r="M109" s="19">
        <v>43895.44</v>
      </c>
      <c r="N109" s="19">
        <v>2712.74</v>
      </c>
      <c r="O109" s="20">
        <v>6.1800000000000001E-2</v>
      </c>
      <c r="P109" s="18">
        <v>2377.9699999999998</v>
      </c>
      <c r="Q109" s="19">
        <v>2218.67</v>
      </c>
      <c r="R109" s="19">
        <v>159.30000000000001</v>
      </c>
      <c r="S109" s="20">
        <v>7.1800000000000003E-2</v>
      </c>
      <c r="T109" s="18">
        <v>117471.64</v>
      </c>
      <c r="U109" s="19">
        <v>111368.64</v>
      </c>
      <c r="V109" s="19">
        <v>6103</v>
      </c>
      <c r="W109" s="20">
        <v>5.4800000000000001E-2</v>
      </c>
      <c r="X109" s="18">
        <v>67393.259999999995</v>
      </c>
      <c r="Y109" s="19">
        <v>63232.56</v>
      </c>
      <c r="Z109" s="19">
        <v>4160.7</v>
      </c>
      <c r="AA109" s="20">
        <v>6.5799999999999997E-2</v>
      </c>
      <c r="AB109" s="18">
        <v>50078.38</v>
      </c>
      <c r="AC109" s="19">
        <v>45994.1</v>
      </c>
      <c r="AD109" s="19">
        <v>4084.28</v>
      </c>
      <c r="AE109" s="20">
        <v>8.8800000000000004E-2</v>
      </c>
      <c r="AF109" s="2"/>
      <c r="AM109" s="4"/>
    </row>
    <row r="110" spans="1:39" x14ac:dyDescent="0.35">
      <c r="A110" s="16" t="s">
        <v>87</v>
      </c>
      <c r="B110" s="17" t="s">
        <v>82</v>
      </c>
      <c r="C110" s="17" t="s">
        <v>77</v>
      </c>
      <c r="D110" s="18">
        <v>23816539.920000002</v>
      </c>
      <c r="E110" s="19">
        <v>24457321.75</v>
      </c>
      <c r="F110" s="19">
        <v>-640781.82999999996</v>
      </c>
      <c r="G110" s="20">
        <v>-2.6200000000000001E-2</v>
      </c>
      <c r="H110" s="18">
        <v>154807.51</v>
      </c>
      <c r="I110" s="19">
        <v>157677.24</v>
      </c>
      <c r="J110" s="19">
        <v>-2869.73</v>
      </c>
      <c r="K110" s="20">
        <v>-1.8200000000000001E-2</v>
      </c>
      <c r="L110" s="18">
        <v>49538.400000000001</v>
      </c>
      <c r="M110" s="19">
        <v>49548.31</v>
      </c>
      <c r="N110" s="19">
        <v>-9.91</v>
      </c>
      <c r="O110" s="20">
        <v>-2.0000000000000001E-4</v>
      </c>
      <c r="P110" s="18">
        <v>3572.48</v>
      </c>
      <c r="Q110" s="19">
        <v>3537.81</v>
      </c>
      <c r="R110" s="19">
        <v>34.67</v>
      </c>
      <c r="S110" s="20">
        <v>9.7999999999999997E-3</v>
      </c>
      <c r="T110" s="18">
        <v>101696.63</v>
      </c>
      <c r="U110" s="19">
        <v>102434.16</v>
      </c>
      <c r="V110" s="19">
        <v>-737.53</v>
      </c>
      <c r="W110" s="20">
        <v>-7.1999999999999998E-3</v>
      </c>
      <c r="X110" s="18">
        <v>62676.45</v>
      </c>
      <c r="Y110" s="19">
        <v>62439.18</v>
      </c>
      <c r="Z110" s="19">
        <v>237.27</v>
      </c>
      <c r="AA110" s="20">
        <v>3.8E-3</v>
      </c>
      <c r="AB110" s="18">
        <v>39020.18</v>
      </c>
      <c r="AC110" s="19">
        <v>38001.74</v>
      </c>
      <c r="AD110" s="19">
        <v>1018.45</v>
      </c>
      <c r="AE110" s="20">
        <v>2.6800000000000001E-2</v>
      </c>
      <c r="AF110" s="2"/>
      <c r="AM110" s="4"/>
    </row>
    <row r="111" spans="1:39" x14ac:dyDescent="0.35">
      <c r="A111" s="16" t="s">
        <v>87</v>
      </c>
      <c r="B111" s="17" t="s">
        <v>82</v>
      </c>
      <c r="C111" s="17" t="s">
        <v>78</v>
      </c>
      <c r="D111" s="18">
        <v>6515977.7699999996</v>
      </c>
      <c r="E111" s="19">
        <v>6271997.0800000001</v>
      </c>
      <c r="F111" s="19">
        <v>243980.69</v>
      </c>
      <c r="G111" s="20">
        <v>3.8899999999999997E-2</v>
      </c>
      <c r="H111" s="18">
        <v>19547.93</v>
      </c>
      <c r="I111" s="19">
        <v>18672.2</v>
      </c>
      <c r="J111" s="19">
        <v>875.73</v>
      </c>
      <c r="K111" s="20">
        <v>4.6899999999999997E-2</v>
      </c>
      <c r="L111" s="18">
        <v>3518.63</v>
      </c>
      <c r="M111" s="19">
        <v>3304.19</v>
      </c>
      <c r="N111" s="19">
        <v>214.44</v>
      </c>
      <c r="O111" s="20">
        <v>6.4899999999999999E-2</v>
      </c>
      <c r="P111" s="18">
        <v>977.4</v>
      </c>
      <c r="Q111" s="19">
        <v>909.29</v>
      </c>
      <c r="R111" s="19">
        <v>68.11</v>
      </c>
      <c r="S111" s="20">
        <v>7.4899999999999994E-2</v>
      </c>
      <c r="T111" s="18">
        <v>15051.91</v>
      </c>
      <c r="U111" s="19">
        <v>14228.1</v>
      </c>
      <c r="V111" s="19">
        <v>823.81</v>
      </c>
      <c r="W111" s="20">
        <v>5.79E-2</v>
      </c>
      <c r="X111" s="18">
        <v>7914.31</v>
      </c>
      <c r="Y111" s="19">
        <v>7404.16</v>
      </c>
      <c r="Z111" s="19">
        <v>510.15</v>
      </c>
      <c r="AA111" s="20">
        <v>6.8900000000000003E-2</v>
      </c>
      <c r="AB111" s="18">
        <v>7137.6</v>
      </c>
      <c r="AC111" s="19">
        <v>6536.86</v>
      </c>
      <c r="AD111" s="19">
        <v>600.74</v>
      </c>
      <c r="AE111" s="20">
        <v>9.1899999999999996E-2</v>
      </c>
      <c r="AF111" s="2"/>
      <c r="AM111" s="4"/>
    </row>
    <row r="112" spans="1:39" x14ac:dyDescent="0.35">
      <c r="A112" s="16" t="s">
        <v>87</v>
      </c>
      <c r="B112" s="17" t="s">
        <v>82</v>
      </c>
      <c r="C112" s="17" t="s">
        <v>79</v>
      </c>
      <c r="D112" s="18">
        <v>9995456.6899999995</v>
      </c>
      <c r="E112" s="19">
        <v>9719803.0700000003</v>
      </c>
      <c r="F112" s="19">
        <v>275653.62</v>
      </c>
      <c r="G112" s="20">
        <v>2.8400000000000002E-2</v>
      </c>
      <c r="H112" s="18">
        <v>44979.56</v>
      </c>
      <c r="I112" s="19">
        <v>43401.48</v>
      </c>
      <c r="J112" s="19">
        <v>1578.08</v>
      </c>
      <c r="K112" s="20">
        <v>3.6400000000000002E-2</v>
      </c>
      <c r="L112" s="18">
        <v>9895.5</v>
      </c>
      <c r="M112" s="19">
        <v>9385.31</v>
      </c>
      <c r="N112" s="19">
        <v>510.19</v>
      </c>
      <c r="O112" s="20">
        <v>5.4399999999999997E-2</v>
      </c>
      <c r="P112" s="18">
        <v>1499.32</v>
      </c>
      <c r="Q112" s="19">
        <v>1408.66</v>
      </c>
      <c r="R112" s="19">
        <v>90.66</v>
      </c>
      <c r="S112" s="20">
        <v>6.4399999999999999E-2</v>
      </c>
      <c r="T112" s="18">
        <v>33584.730000000003</v>
      </c>
      <c r="U112" s="19">
        <v>32066.080000000002</v>
      </c>
      <c r="V112" s="19">
        <v>1518.65</v>
      </c>
      <c r="W112" s="20">
        <v>4.7399999999999998E-2</v>
      </c>
      <c r="X112" s="18">
        <v>18210.740000000002</v>
      </c>
      <c r="Y112" s="19">
        <v>17206.560000000001</v>
      </c>
      <c r="Z112" s="19">
        <v>1004.17</v>
      </c>
      <c r="AA112" s="20">
        <v>5.8400000000000001E-2</v>
      </c>
      <c r="AB112" s="18">
        <v>15373.99</v>
      </c>
      <c r="AC112" s="19">
        <v>14217.27</v>
      </c>
      <c r="AD112" s="19">
        <v>1156.72</v>
      </c>
      <c r="AE112" s="20">
        <v>8.14E-2</v>
      </c>
      <c r="AF112" s="2"/>
      <c r="AM112" s="4"/>
    </row>
    <row r="113" spans="1:39" x14ac:dyDescent="0.35">
      <c r="A113" s="16" t="s">
        <v>87</v>
      </c>
      <c r="B113" s="17" t="s">
        <v>83</v>
      </c>
      <c r="C113" s="17" t="s">
        <v>75</v>
      </c>
      <c r="D113" s="18">
        <v>8311449.8499999996</v>
      </c>
      <c r="E113" s="19">
        <v>8178146.0700000003</v>
      </c>
      <c r="F113" s="19">
        <v>133303.78</v>
      </c>
      <c r="G113" s="20">
        <v>1.6299999999999999E-2</v>
      </c>
      <c r="H113" s="18">
        <v>62335.87</v>
      </c>
      <c r="I113" s="19">
        <v>60857.04</v>
      </c>
      <c r="J113" s="19">
        <v>1478.83</v>
      </c>
      <c r="K113" s="20">
        <v>2.4299999999999999E-2</v>
      </c>
      <c r="L113" s="18">
        <v>21817.56</v>
      </c>
      <c r="M113" s="19">
        <v>20932.13</v>
      </c>
      <c r="N113" s="19">
        <v>885.43</v>
      </c>
      <c r="O113" s="20">
        <v>4.2299999999999997E-2</v>
      </c>
      <c r="P113" s="18">
        <v>664.92</v>
      </c>
      <c r="Q113" s="19">
        <v>631.87</v>
      </c>
      <c r="R113" s="19">
        <v>33.049999999999997</v>
      </c>
      <c r="S113" s="20">
        <v>5.2299999999999999E-2</v>
      </c>
      <c r="T113" s="18">
        <v>39853.4</v>
      </c>
      <c r="U113" s="19">
        <v>38494.54</v>
      </c>
      <c r="V113" s="19">
        <v>1358.86</v>
      </c>
      <c r="W113" s="20">
        <v>3.5299999999999998E-2</v>
      </c>
      <c r="X113" s="18">
        <v>25237.73</v>
      </c>
      <c r="Y113" s="19">
        <v>24120.93</v>
      </c>
      <c r="Z113" s="19">
        <v>1116.8</v>
      </c>
      <c r="AA113" s="20">
        <v>4.6300000000000001E-2</v>
      </c>
      <c r="AB113" s="18">
        <v>14615.67</v>
      </c>
      <c r="AC113" s="19">
        <v>13668.44</v>
      </c>
      <c r="AD113" s="19">
        <v>947.22</v>
      </c>
      <c r="AE113" s="20">
        <v>6.93E-2</v>
      </c>
      <c r="AF113" s="2"/>
      <c r="AM113" s="4"/>
    </row>
    <row r="114" spans="1:39" x14ac:dyDescent="0.35">
      <c r="A114" s="16" t="s">
        <v>87</v>
      </c>
      <c r="B114" s="17" t="s">
        <v>83</v>
      </c>
      <c r="C114" s="17" t="s">
        <v>76</v>
      </c>
      <c r="D114" s="18">
        <v>13259051.35</v>
      </c>
      <c r="E114" s="19">
        <v>12534080.15</v>
      </c>
      <c r="F114" s="19">
        <v>724971.2</v>
      </c>
      <c r="G114" s="20">
        <v>5.7799999999999997E-2</v>
      </c>
      <c r="H114" s="18">
        <v>139220.04</v>
      </c>
      <c r="I114" s="19">
        <v>130620.02</v>
      </c>
      <c r="J114" s="19">
        <v>8600.02</v>
      </c>
      <c r="K114" s="20">
        <v>6.5799999999999997E-2</v>
      </c>
      <c r="L114" s="18">
        <v>38981.61</v>
      </c>
      <c r="M114" s="19">
        <v>35966.199999999997</v>
      </c>
      <c r="N114" s="19">
        <v>3015.41</v>
      </c>
      <c r="O114" s="20">
        <v>8.3799999999999999E-2</v>
      </c>
      <c r="P114" s="18">
        <v>1060.72</v>
      </c>
      <c r="Q114" s="19">
        <v>969.72</v>
      </c>
      <c r="R114" s="19">
        <v>91</v>
      </c>
      <c r="S114" s="20">
        <v>9.3799999999999994E-2</v>
      </c>
      <c r="T114" s="18">
        <v>99177.7</v>
      </c>
      <c r="U114" s="19">
        <v>92100.68</v>
      </c>
      <c r="V114" s="19">
        <v>7077.02</v>
      </c>
      <c r="W114" s="20">
        <v>7.6799999999999993E-2</v>
      </c>
      <c r="X114" s="18">
        <v>56365.59</v>
      </c>
      <c r="Y114" s="19">
        <v>51814.23</v>
      </c>
      <c r="Z114" s="19">
        <v>4551.3599999999997</v>
      </c>
      <c r="AA114" s="20">
        <v>8.7800000000000003E-2</v>
      </c>
      <c r="AB114" s="18">
        <v>42812.11</v>
      </c>
      <c r="AC114" s="19">
        <v>38540.300000000003</v>
      </c>
      <c r="AD114" s="19">
        <v>4271.8100000000004</v>
      </c>
      <c r="AE114" s="20">
        <v>0.1108</v>
      </c>
      <c r="AF114" s="2"/>
      <c r="AM114" s="4"/>
    </row>
    <row r="115" spans="1:39" x14ac:dyDescent="0.35">
      <c r="A115" s="16" t="s">
        <v>87</v>
      </c>
      <c r="B115" s="17" t="s">
        <v>83</v>
      </c>
      <c r="C115" s="17" t="s">
        <v>77</v>
      </c>
      <c r="D115" s="18">
        <v>19923391.120000001</v>
      </c>
      <c r="E115" s="19">
        <v>20006618.649999999</v>
      </c>
      <c r="F115" s="19">
        <v>-83227.53</v>
      </c>
      <c r="G115" s="20">
        <v>-4.1999999999999997E-3</v>
      </c>
      <c r="H115" s="18">
        <v>129502.04</v>
      </c>
      <c r="I115" s="19">
        <v>129006.65</v>
      </c>
      <c r="J115" s="19">
        <v>495.39</v>
      </c>
      <c r="K115" s="20">
        <v>3.8E-3</v>
      </c>
      <c r="L115" s="18">
        <v>41440.65</v>
      </c>
      <c r="M115" s="19">
        <v>40554.93</v>
      </c>
      <c r="N115" s="19">
        <v>885.72</v>
      </c>
      <c r="O115" s="20">
        <v>2.18E-2</v>
      </c>
      <c r="P115" s="18">
        <v>1593.87</v>
      </c>
      <c r="Q115" s="19">
        <v>1544.69</v>
      </c>
      <c r="R115" s="19">
        <v>49.18</v>
      </c>
      <c r="S115" s="20">
        <v>3.1800000000000002E-2</v>
      </c>
      <c r="T115" s="18">
        <v>86467.520000000004</v>
      </c>
      <c r="U115" s="19">
        <v>85203.11</v>
      </c>
      <c r="V115" s="19">
        <v>1264.4100000000001</v>
      </c>
      <c r="W115" s="20">
        <v>1.4800000000000001E-2</v>
      </c>
      <c r="X115" s="18">
        <v>52431.1</v>
      </c>
      <c r="Y115" s="19">
        <v>51110.400000000001</v>
      </c>
      <c r="Z115" s="19">
        <v>1320.69</v>
      </c>
      <c r="AA115" s="20">
        <v>2.58E-2</v>
      </c>
      <c r="AB115" s="18">
        <v>34036.42</v>
      </c>
      <c r="AC115" s="19">
        <v>32451.49</v>
      </c>
      <c r="AD115" s="19">
        <v>1584.93</v>
      </c>
      <c r="AE115" s="20">
        <v>4.8800000000000003E-2</v>
      </c>
      <c r="AF115" s="2"/>
      <c r="AM115" s="4"/>
    </row>
    <row r="116" spans="1:39" x14ac:dyDescent="0.35">
      <c r="A116" s="16" t="s">
        <v>87</v>
      </c>
      <c r="B116" s="17" t="s">
        <v>83</v>
      </c>
      <c r="C116" s="17" t="s">
        <v>78</v>
      </c>
      <c r="D116" s="18">
        <v>5449757.9699999997</v>
      </c>
      <c r="E116" s="19">
        <v>5136725.8899999997</v>
      </c>
      <c r="F116" s="19">
        <v>313032.08</v>
      </c>
      <c r="G116" s="20">
        <v>6.0900000000000003E-2</v>
      </c>
      <c r="H116" s="18">
        <v>16349.27</v>
      </c>
      <c r="I116" s="19">
        <v>15294.84</v>
      </c>
      <c r="J116" s="19">
        <v>1054.43</v>
      </c>
      <c r="K116" s="20">
        <v>6.8900000000000003E-2</v>
      </c>
      <c r="L116" s="18">
        <v>2942.87</v>
      </c>
      <c r="M116" s="19">
        <v>2707.48</v>
      </c>
      <c r="N116" s="19">
        <v>235.39</v>
      </c>
      <c r="O116" s="20">
        <v>8.6900000000000005E-2</v>
      </c>
      <c r="P116" s="18">
        <v>435.98</v>
      </c>
      <c r="Q116" s="19">
        <v>397.45</v>
      </c>
      <c r="R116" s="19">
        <v>38.53</v>
      </c>
      <c r="S116" s="20">
        <v>9.69E-2</v>
      </c>
      <c r="T116" s="18">
        <v>12970.42</v>
      </c>
      <c r="U116" s="19">
        <v>12010.32</v>
      </c>
      <c r="V116" s="19">
        <v>960.1</v>
      </c>
      <c r="W116" s="20">
        <v>7.9899999999999999E-2</v>
      </c>
      <c r="X116" s="18">
        <v>6619.28</v>
      </c>
      <c r="Y116" s="19">
        <v>6067.5</v>
      </c>
      <c r="Z116" s="19">
        <v>551.78</v>
      </c>
      <c r="AA116" s="20">
        <v>9.0899999999999995E-2</v>
      </c>
      <c r="AB116" s="18">
        <v>6351.14</v>
      </c>
      <c r="AC116" s="19">
        <v>5701.51</v>
      </c>
      <c r="AD116" s="19">
        <v>649.63</v>
      </c>
      <c r="AE116" s="20">
        <v>0.1139</v>
      </c>
      <c r="AF116" s="2"/>
      <c r="AM116" s="4"/>
    </row>
    <row r="117" spans="1:39" x14ac:dyDescent="0.35">
      <c r="A117" s="16" t="s">
        <v>87</v>
      </c>
      <c r="B117" s="17" t="s">
        <v>83</v>
      </c>
      <c r="C117" s="17" t="s">
        <v>79</v>
      </c>
      <c r="D117" s="18">
        <v>8359884.2300000004</v>
      </c>
      <c r="E117" s="19">
        <v>7958762.5999999996</v>
      </c>
      <c r="F117" s="19">
        <v>401121.63</v>
      </c>
      <c r="G117" s="20">
        <v>5.04E-2</v>
      </c>
      <c r="H117" s="18">
        <v>37619.480000000003</v>
      </c>
      <c r="I117" s="19">
        <v>35543.730000000003</v>
      </c>
      <c r="J117" s="19">
        <v>2075.75</v>
      </c>
      <c r="K117" s="20">
        <v>5.8400000000000001E-2</v>
      </c>
      <c r="L117" s="18">
        <v>8276.2900000000009</v>
      </c>
      <c r="M117" s="19">
        <v>7688.86</v>
      </c>
      <c r="N117" s="19">
        <v>587.42999999999995</v>
      </c>
      <c r="O117" s="20">
        <v>7.6399999999999996E-2</v>
      </c>
      <c r="P117" s="18">
        <v>668.79</v>
      </c>
      <c r="Q117" s="19">
        <v>615.6</v>
      </c>
      <c r="R117" s="19">
        <v>53.19</v>
      </c>
      <c r="S117" s="20">
        <v>8.6400000000000005E-2</v>
      </c>
      <c r="T117" s="18">
        <v>28674.400000000001</v>
      </c>
      <c r="U117" s="19">
        <v>26813.54</v>
      </c>
      <c r="V117" s="19">
        <v>1860.86</v>
      </c>
      <c r="W117" s="20">
        <v>6.9400000000000003E-2</v>
      </c>
      <c r="X117" s="18">
        <v>15230.88</v>
      </c>
      <c r="Y117" s="19">
        <v>14097.45</v>
      </c>
      <c r="Z117" s="19">
        <v>1133.43</v>
      </c>
      <c r="AA117" s="20">
        <v>8.0399999999999999E-2</v>
      </c>
      <c r="AB117" s="18">
        <v>13443.52</v>
      </c>
      <c r="AC117" s="19">
        <v>12183.72</v>
      </c>
      <c r="AD117" s="19">
        <v>1259.8</v>
      </c>
      <c r="AE117" s="20">
        <v>0.10340000000000001</v>
      </c>
      <c r="AF117" s="2"/>
      <c r="AM117" s="4"/>
    </row>
    <row r="118" spans="1:39" x14ac:dyDescent="0.35">
      <c r="A118" s="16" t="s">
        <v>87</v>
      </c>
      <c r="B118" s="17" t="s">
        <v>84</v>
      </c>
      <c r="C118" s="17" t="s">
        <v>75</v>
      </c>
      <c r="D118" s="18">
        <v>20484591.879999999</v>
      </c>
      <c r="E118" s="19">
        <v>20346237.469999999</v>
      </c>
      <c r="F118" s="19">
        <v>138354.41</v>
      </c>
      <c r="G118" s="20">
        <v>6.7999999999999996E-3</v>
      </c>
      <c r="H118" s="18">
        <v>153634.44</v>
      </c>
      <c r="I118" s="19">
        <v>151393.81</v>
      </c>
      <c r="J118" s="19">
        <v>2240.63</v>
      </c>
      <c r="K118" s="20">
        <v>1.4800000000000001E-2</v>
      </c>
      <c r="L118" s="18">
        <v>53772.05</v>
      </c>
      <c r="M118" s="19">
        <v>52064.34</v>
      </c>
      <c r="N118" s="19">
        <v>1707.71</v>
      </c>
      <c r="O118" s="20">
        <v>3.2800000000000003E-2</v>
      </c>
      <c r="P118" s="18">
        <v>1433.92</v>
      </c>
      <c r="Q118" s="19">
        <v>1375.07</v>
      </c>
      <c r="R118" s="19">
        <v>58.85</v>
      </c>
      <c r="S118" s="20">
        <v>4.2799999999999998E-2</v>
      </c>
      <c r="T118" s="18">
        <v>98428.46</v>
      </c>
      <c r="U118" s="19">
        <v>95952.88</v>
      </c>
      <c r="V118" s="19">
        <v>2475.58</v>
      </c>
      <c r="W118" s="20">
        <v>2.58E-2</v>
      </c>
      <c r="X118" s="18">
        <v>62201.51</v>
      </c>
      <c r="Y118" s="19">
        <v>59993.74</v>
      </c>
      <c r="Z118" s="19">
        <v>2207.77</v>
      </c>
      <c r="AA118" s="20">
        <v>3.6799999999999999E-2</v>
      </c>
      <c r="AB118" s="18">
        <v>36226.949999999997</v>
      </c>
      <c r="AC118" s="19">
        <v>34182.82</v>
      </c>
      <c r="AD118" s="19">
        <v>2044.13</v>
      </c>
      <c r="AE118" s="20">
        <v>5.9799999999999999E-2</v>
      </c>
      <c r="AF118" s="2"/>
      <c r="AM118" s="4"/>
    </row>
    <row r="119" spans="1:39" x14ac:dyDescent="0.35">
      <c r="A119" s="16" t="s">
        <v>87</v>
      </c>
      <c r="B119" s="17" t="s">
        <v>84</v>
      </c>
      <c r="C119" s="17" t="s">
        <v>76</v>
      </c>
      <c r="D119" s="18">
        <v>32676342.18</v>
      </c>
      <c r="E119" s="19">
        <v>31169603.539999999</v>
      </c>
      <c r="F119" s="19">
        <v>1506738.64</v>
      </c>
      <c r="G119" s="20">
        <v>4.8300000000000003E-2</v>
      </c>
      <c r="H119" s="18">
        <v>343101.59</v>
      </c>
      <c r="I119" s="19">
        <v>324802.23</v>
      </c>
      <c r="J119" s="19">
        <v>18299.36</v>
      </c>
      <c r="K119" s="20">
        <v>5.6300000000000003E-2</v>
      </c>
      <c r="L119" s="18">
        <v>96068.45</v>
      </c>
      <c r="M119" s="19">
        <v>89420.9</v>
      </c>
      <c r="N119" s="19">
        <v>6647.55</v>
      </c>
      <c r="O119" s="20">
        <v>7.4300000000000005E-2</v>
      </c>
      <c r="P119" s="18">
        <v>2287.34</v>
      </c>
      <c r="Q119" s="19">
        <v>2109.4299999999998</v>
      </c>
      <c r="R119" s="19">
        <v>177.91</v>
      </c>
      <c r="S119" s="20">
        <v>8.43E-2</v>
      </c>
      <c r="T119" s="18">
        <v>244745.8</v>
      </c>
      <c r="U119" s="19">
        <v>229304.44</v>
      </c>
      <c r="V119" s="19">
        <v>15441.36</v>
      </c>
      <c r="W119" s="20">
        <v>6.7299999999999999E-2</v>
      </c>
      <c r="X119" s="18">
        <v>138910.5</v>
      </c>
      <c r="Y119" s="19">
        <v>128818.83</v>
      </c>
      <c r="Z119" s="19">
        <v>10091.67</v>
      </c>
      <c r="AA119" s="20">
        <v>7.8299999999999995E-2</v>
      </c>
      <c r="AB119" s="18">
        <v>105835.3</v>
      </c>
      <c r="AC119" s="19">
        <v>96096.85</v>
      </c>
      <c r="AD119" s="19">
        <v>9738.4500000000007</v>
      </c>
      <c r="AE119" s="20">
        <v>0.1013</v>
      </c>
      <c r="AF119" s="2"/>
      <c r="AM119" s="4"/>
    </row>
    <row r="120" spans="1:39" x14ac:dyDescent="0.35">
      <c r="A120" s="16" t="s">
        <v>87</v>
      </c>
      <c r="B120" s="17" t="s">
        <v>84</v>
      </c>
      <c r="C120" s="17" t="s">
        <v>77</v>
      </c>
      <c r="D120" s="18">
        <v>49103651.390000001</v>
      </c>
      <c r="E120" s="19">
        <v>49783696.689999998</v>
      </c>
      <c r="F120" s="19">
        <v>-680045.3</v>
      </c>
      <c r="G120" s="20">
        <v>-1.37E-2</v>
      </c>
      <c r="H120" s="18">
        <v>319173.73</v>
      </c>
      <c r="I120" s="19">
        <v>320990.53999999998</v>
      </c>
      <c r="J120" s="19">
        <v>-1816.81</v>
      </c>
      <c r="K120" s="20">
        <v>-5.7000000000000002E-3</v>
      </c>
      <c r="L120" s="18">
        <v>102135.59</v>
      </c>
      <c r="M120" s="19">
        <v>100890.6</v>
      </c>
      <c r="N120" s="19">
        <v>1244.99</v>
      </c>
      <c r="O120" s="20">
        <v>1.23E-2</v>
      </c>
      <c r="P120" s="18">
        <v>3437.26</v>
      </c>
      <c r="Q120" s="19">
        <v>3362.15</v>
      </c>
      <c r="R120" s="19">
        <v>75.11</v>
      </c>
      <c r="S120" s="20">
        <v>2.23E-2</v>
      </c>
      <c r="T120" s="18">
        <v>213600.88</v>
      </c>
      <c r="U120" s="19">
        <v>212466.31</v>
      </c>
      <c r="V120" s="19">
        <v>1134.57</v>
      </c>
      <c r="W120" s="20">
        <v>5.3E-3</v>
      </c>
      <c r="X120" s="18">
        <v>129222.9</v>
      </c>
      <c r="Y120" s="19">
        <v>127145.34</v>
      </c>
      <c r="Z120" s="19">
        <v>2077.5500000000002</v>
      </c>
      <c r="AA120" s="20">
        <v>1.6299999999999999E-2</v>
      </c>
      <c r="AB120" s="18">
        <v>84377.98</v>
      </c>
      <c r="AC120" s="19">
        <v>81184.2</v>
      </c>
      <c r="AD120" s="19">
        <v>3193.79</v>
      </c>
      <c r="AE120" s="20">
        <v>3.9300000000000002E-2</v>
      </c>
      <c r="AF120" s="2"/>
      <c r="AM120" s="4"/>
    </row>
    <row r="121" spans="1:39" x14ac:dyDescent="0.35">
      <c r="A121" s="16" t="s">
        <v>87</v>
      </c>
      <c r="B121" s="17" t="s">
        <v>84</v>
      </c>
      <c r="C121" s="17" t="s">
        <v>78</v>
      </c>
      <c r="D121" s="18">
        <v>13430686.08</v>
      </c>
      <c r="E121" s="19">
        <v>12773611.5</v>
      </c>
      <c r="F121" s="19">
        <v>657074.57999999996</v>
      </c>
      <c r="G121" s="20">
        <v>5.1400000000000001E-2</v>
      </c>
      <c r="H121" s="18">
        <v>40292.06</v>
      </c>
      <c r="I121" s="19">
        <v>38031.47</v>
      </c>
      <c r="J121" s="19">
        <v>2260.59</v>
      </c>
      <c r="K121" s="20">
        <v>5.9400000000000001E-2</v>
      </c>
      <c r="L121" s="18">
        <v>7252.57</v>
      </c>
      <c r="M121" s="19">
        <v>6731.3</v>
      </c>
      <c r="N121" s="19">
        <v>521.27</v>
      </c>
      <c r="O121" s="20">
        <v>7.7399999999999997E-2</v>
      </c>
      <c r="P121" s="18">
        <v>940.15</v>
      </c>
      <c r="Q121" s="19">
        <v>864.55</v>
      </c>
      <c r="R121" s="19">
        <v>75.599999999999994</v>
      </c>
      <c r="S121" s="20">
        <v>8.7400000000000005E-2</v>
      </c>
      <c r="T121" s="18">
        <v>32099.34</v>
      </c>
      <c r="U121" s="19">
        <v>29987.05</v>
      </c>
      <c r="V121" s="19">
        <v>2112.29</v>
      </c>
      <c r="W121" s="20">
        <v>7.0400000000000004E-2</v>
      </c>
      <c r="X121" s="18">
        <v>16312.92</v>
      </c>
      <c r="Y121" s="19">
        <v>15084.45</v>
      </c>
      <c r="Z121" s="19">
        <v>1228.48</v>
      </c>
      <c r="AA121" s="20">
        <v>8.14E-2</v>
      </c>
      <c r="AB121" s="18">
        <v>15786.42</v>
      </c>
      <c r="AC121" s="19">
        <v>14293.59</v>
      </c>
      <c r="AD121" s="19">
        <v>1492.82</v>
      </c>
      <c r="AE121" s="20">
        <v>0.10440000000000001</v>
      </c>
      <c r="AF121" s="2"/>
      <c r="AM121" s="4"/>
    </row>
    <row r="122" spans="1:39" x14ac:dyDescent="0.35">
      <c r="A122" s="16" t="s">
        <v>87</v>
      </c>
      <c r="B122" s="17" t="s">
        <v>84</v>
      </c>
      <c r="C122" s="17" t="s">
        <v>79</v>
      </c>
      <c r="D122" s="18">
        <v>20602562.780000001</v>
      </c>
      <c r="E122" s="19">
        <v>19793027.940000001</v>
      </c>
      <c r="F122" s="19">
        <v>809534.84</v>
      </c>
      <c r="G122" s="20">
        <v>4.0899999999999999E-2</v>
      </c>
      <c r="H122" s="18">
        <v>92711.53</v>
      </c>
      <c r="I122" s="19">
        <v>88389.29</v>
      </c>
      <c r="J122" s="19">
        <v>4322.24</v>
      </c>
      <c r="K122" s="20">
        <v>4.8899999999999999E-2</v>
      </c>
      <c r="L122" s="18">
        <v>20396.54</v>
      </c>
      <c r="M122" s="19">
        <v>19117.57</v>
      </c>
      <c r="N122" s="19">
        <v>1278.97</v>
      </c>
      <c r="O122" s="20">
        <v>6.6900000000000001E-2</v>
      </c>
      <c r="P122" s="18">
        <v>1442.18</v>
      </c>
      <c r="Q122" s="19">
        <v>1339.2</v>
      </c>
      <c r="R122" s="19">
        <v>102.98</v>
      </c>
      <c r="S122" s="20">
        <v>7.6899999999999996E-2</v>
      </c>
      <c r="T122" s="18">
        <v>70872.820000000007</v>
      </c>
      <c r="U122" s="19">
        <v>66867.460000000006</v>
      </c>
      <c r="V122" s="19">
        <v>4005.36</v>
      </c>
      <c r="W122" s="20">
        <v>5.9900000000000002E-2</v>
      </c>
      <c r="X122" s="18">
        <v>37535.839999999997</v>
      </c>
      <c r="Y122" s="19">
        <v>35050.74</v>
      </c>
      <c r="Z122" s="19">
        <v>2485.1</v>
      </c>
      <c r="AA122" s="20">
        <v>7.0900000000000005E-2</v>
      </c>
      <c r="AB122" s="18">
        <v>33336.980000000003</v>
      </c>
      <c r="AC122" s="19">
        <v>30475.35</v>
      </c>
      <c r="AD122" s="19">
        <v>2861.64</v>
      </c>
      <c r="AE122" s="20">
        <v>9.3899999999999997E-2</v>
      </c>
      <c r="AF122" s="2"/>
      <c r="AM122" s="4"/>
    </row>
    <row r="123" spans="1:39" x14ac:dyDescent="0.35">
      <c r="A123" s="11" t="s">
        <v>88</v>
      </c>
      <c r="B123" s="12" t="s">
        <v>74</v>
      </c>
      <c r="C123" s="12" t="s">
        <v>75</v>
      </c>
      <c r="D123" s="13">
        <v>13263247.5</v>
      </c>
      <c r="E123" s="14">
        <v>12159415.74</v>
      </c>
      <c r="F123" s="14">
        <v>1103831.76</v>
      </c>
      <c r="G123" s="15">
        <v>9.0800000000000006E-2</v>
      </c>
      <c r="H123" s="13">
        <v>99474.36</v>
      </c>
      <c r="I123" s="14">
        <v>90531.64</v>
      </c>
      <c r="J123" s="14">
        <v>8942.7199999999993</v>
      </c>
      <c r="K123" s="15">
        <v>9.8799999999999999E-2</v>
      </c>
      <c r="L123" s="13">
        <v>34816.019999999997</v>
      </c>
      <c r="M123" s="14">
        <v>31175.360000000001</v>
      </c>
      <c r="N123" s="14">
        <v>3640.66</v>
      </c>
      <c r="O123" s="15">
        <v>0.1168</v>
      </c>
      <c r="P123" s="13">
        <v>2387.38</v>
      </c>
      <c r="Q123" s="14">
        <v>2118.7600000000002</v>
      </c>
      <c r="R123" s="14">
        <v>268.62</v>
      </c>
      <c r="S123" s="15">
        <v>0.1268</v>
      </c>
      <c r="T123" s="13">
        <v>62270.95</v>
      </c>
      <c r="U123" s="14">
        <v>56111.08</v>
      </c>
      <c r="V123" s="14">
        <v>6159.87</v>
      </c>
      <c r="W123" s="15">
        <v>0.10979999999999999</v>
      </c>
      <c r="X123" s="13">
        <v>44646.89</v>
      </c>
      <c r="Y123" s="14">
        <v>39835.550000000003</v>
      </c>
      <c r="Z123" s="14">
        <v>4811.34</v>
      </c>
      <c r="AA123" s="15">
        <v>0.1208</v>
      </c>
      <c r="AB123" s="13">
        <v>17624.060000000001</v>
      </c>
      <c r="AC123" s="14">
        <v>15408.61</v>
      </c>
      <c r="AD123" s="14">
        <v>2215.4499999999998</v>
      </c>
      <c r="AE123" s="15">
        <v>0.14380000000000001</v>
      </c>
      <c r="AF123" s="2"/>
      <c r="AM123" s="4"/>
    </row>
    <row r="124" spans="1:39" x14ac:dyDescent="0.35">
      <c r="A124" s="11" t="s">
        <v>88</v>
      </c>
      <c r="B124" s="12" t="s">
        <v>74</v>
      </c>
      <c r="C124" s="12" t="s">
        <v>76</v>
      </c>
      <c r="D124" s="13">
        <v>20801795.550000001</v>
      </c>
      <c r="E124" s="14">
        <v>18656988.190000001</v>
      </c>
      <c r="F124" s="14">
        <v>2144807.36</v>
      </c>
      <c r="G124" s="15">
        <v>0.115</v>
      </c>
      <c r="H124" s="13">
        <v>218418.85</v>
      </c>
      <c r="I124" s="14">
        <v>194502.79</v>
      </c>
      <c r="J124" s="14">
        <v>23916.06</v>
      </c>
      <c r="K124" s="15">
        <v>0.123</v>
      </c>
      <c r="L124" s="13">
        <v>61157.279999999999</v>
      </c>
      <c r="M124" s="14">
        <v>53601.599999999999</v>
      </c>
      <c r="N124" s="14">
        <v>7555.68</v>
      </c>
      <c r="O124" s="15">
        <v>0.14099999999999999</v>
      </c>
      <c r="P124" s="13">
        <v>3744.32</v>
      </c>
      <c r="Q124" s="14">
        <v>3253.21</v>
      </c>
      <c r="R124" s="14">
        <v>491.11</v>
      </c>
      <c r="S124" s="15">
        <v>0.151</v>
      </c>
      <c r="T124" s="13">
        <v>153517.25</v>
      </c>
      <c r="U124" s="14">
        <v>135381.54</v>
      </c>
      <c r="V124" s="14">
        <v>18135.71</v>
      </c>
      <c r="W124" s="15">
        <v>0.13400000000000001</v>
      </c>
      <c r="X124" s="13">
        <v>98032.53</v>
      </c>
      <c r="Y124" s="14">
        <v>85620.92</v>
      </c>
      <c r="Z124" s="14">
        <v>12411.61</v>
      </c>
      <c r="AA124" s="15">
        <v>0.14499999999999999</v>
      </c>
      <c r="AB124" s="13">
        <v>55484.72</v>
      </c>
      <c r="AC124" s="14">
        <v>47505.67</v>
      </c>
      <c r="AD124" s="14">
        <v>7979.05</v>
      </c>
      <c r="AE124" s="15">
        <v>0.16800000000000001</v>
      </c>
      <c r="AF124" s="2"/>
      <c r="AM124" s="4"/>
    </row>
    <row r="125" spans="1:39" x14ac:dyDescent="0.35">
      <c r="A125" s="11" t="s">
        <v>88</v>
      </c>
      <c r="B125" s="12" t="s">
        <v>74</v>
      </c>
      <c r="C125" s="12" t="s">
        <v>77</v>
      </c>
      <c r="D125" s="13">
        <v>32333137.93</v>
      </c>
      <c r="E125" s="14">
        <v>29194179.73</v>
      </c>
      <c r="F125" s="14">
        <v>3138958.2</v>
      </c>
      <c r="G125" s="15">
        <v>0.1075</v>
      </c>
      <c r="H125" s="13">
        <v>210165.4</v>
      </c>
      <c r="I125" s="14">
        <v>188401.28</v>
      </c>
      <c r="J125" s="14">
        <v>21764.12</v>
      </c>
      <c r="K125" s="15">
        <v>0.11550000000000001</v>
      </c>
      <c r="L125" s="13">
        <v>67252.929999999993</v>
      </c>
      <c r="M125" s="14">
        <v>59331.05</v>
      </c>
      <c r="N125" s="14">
        <v>7921.88</v>
      </c>
      <c r="O125" s="15">
        <v>0.13350000000000001</v>
      </c>
      <c r="P125" s="13">
        <v>5819.96</v>
      </c>
      <c r="Q125" s="14">
        <v>5089.51</v>
      </c>
      <c r="R125" s="14">
        <v>730.45</v>
      </c>
      <c r="S125" s="15">
        <v>0.14349999999999999</v>
      </c>
      <c r="T125" s="13">
        <v>137092.5</v>
      </c>
      <c r="U125" s="14">
        <v>121695.58</v>
      </c>
      <c r="V125" s="14">
        <v>15396.92</v>
      </c>
      <c r="W125" s="15">
        <v>0.1265</v>
      </c>
      <c r="X125" s="13">
        <v>94328.15</v>
      </c>
      <c r="Y125" s="14">
        <v>82924.38</v>
      </c>
      <c r="Z125" s="14">
        <v>11403.76</v>
      </c>
      <c r="AA125" s="15">
        <v>0.13750000000000001</v>
      </c>
      <c r="AB125" s="13">
        <v>42764.35</v>
      </c>
      <c r="AC125" s="14">
        <v>36849.300000000003</v>
      </c>
      <c r="AD125" s="14">
        <v>5915.05</v>
      </c>
      <c r="AE125" s="15">
        <v>0.1605</v>
      </c>
      <c r="AF125" s="2"/>
      <c r="AM125" s="4"/>
    </row>
    <row r="126" spans="1:39" x14ac:dyDescent="0.35">
      <c r="A126" s="11" t="s">
        <v>88</v>
      </c>
      <c r="B126" s="12" t="s">
        <v>74</v>
      </c>
      <c r="C126" s="12" t="s">
        <v>78</v>
      </c>
      <c r="D126" s="13">
        <v>8704604.1500000004</v>
      </c>
      <c r="E126" s="14">
        <v>8622176.1500000004</v>
      </c>
      <c r="F126" s="14">
        <v>82428</v>
      </c>
      <c r="G126" s="15">
        <v>9.5999999999999992E-3</v>
      </c>
      <c r="H126" s="13">
        <v>26113.81</v>
      </c>
      <c r="I126" s="14">
        <v>25663.16</v>
      </c>
      <c r="J126" s="14">
        <v>450.65</v>
      </c>
      <c r="K126" s="15">
        <v>1.7600000000000001E-2</v>
      </c>
      <c r="L126" s="13">
        <v>4700.49</v>
      </c>
      <c r="M126" s="14">
        <v>4539.08</v>
      </c>
      <c r="N126" s="14">
        <v>161.41</v>
      </c>
      <c r="O126" s="15">
        <v>3.56E-2</v>
      </c>
      <c r="P126" s="13">
        <v>1566.83</v>
      </c>
      <c r="Q126" s="14">
        <v>1498.56</v>
      </c>
      <c r="R126" s="14">
        <v>68.27</v>
      </c>
      <c r="S126" s="15">
        <v>4.5600000000000002E-2</v>
      </c>
      <c r="T126" s="13">
        <v>19846.5</v>
      </c>
      <c r="U126" s="14">
        <v>19295.419999999998</v>
      </c>
      <c r="V126" s="14">
        <v>551.08000000000004</v>
      </c>
      <c r="W126" s="15">
        <v>2.86E-2</v>
      </c>
      <c r="X126" s="13">
        <v>11720.61</v>
      </c>
      <c r="Y126" s="14">
        <v>11274.59</v>
      </c>
      <c r="Z126" s="14">
        <v>446.02</v>
      </c>
      <c r="AA126" s="15">
        <v>3.9600000000000003E-2</v>
      </c>
      <c r="AB126" s="13">
        <v>8125.89</v>
      </c>
      <c r="AC126" s="14">
        <v>7647.46</v>
      </c>
      <c r="AD126" s="14">
        <v>478.43</v>
      </c>
      <c r="AE126" s="15">
        <v>6.2600000000000003E-2</v>
      </c>
      <c r="AF126" s="2"/>
      <c r="AM126" s="4"/>
    </row>
    <row r="127" spans="1:39" x14ac:dyDescent="0.35">
      <c r="A127" s="11" t="s">
        <v>88</v>
      </c>
      <c r="B127" s="12" t="s">
        <v>74</v>
      </c>
      <c r="C127" s="12" t="s">
        <v>79</v>
      </c>
      <c r="D127" s="13">
        <v>13498048.27</v>
      </c>
      <c r="E127" s="14">
        <v>13312997.6</v>
      </c>
      <c r="F127" s="14">
        <v>185050.67</v>
      </c>
      <c r="G127" s="15">
        <v>1.3899999999999999E-2</v>
      </c>
      <c r="H127" s="13">
        <v>60741.22</v>
      </c>
      <c r="I127" s="14">
        <v>59439.5</v>
      </c>
      <c r="J127" s="14">
        <v>1301.72</v>
      </c>
      <c r="K127" s="15">
        <v>2.1899999999999999E-2</v>
      </c>
      <c r="L127" s="13">
        <v>13363.07</v>
      </c>
      <c r="M127" s="14">
        <v>12850.34</v>
      </c>
      <c r="N127" s="14">
        <v>512.73</v>
      </c>
      <c r="O127" s="15">
        <v>3.9899999999999998E-2</v>
      </c>
      <c r="P127" s="13">
        <v>2429.65</v>
      </c>
      <c r="Q127" s="14">
        <v>2314.17</v>
      </c>
      <c r="R127" s="14">
        <v>115.48</v>
      </c>
      <c r="S127" s="15">
        <v>4.99E-2</v>
      </c>
      <c r="T127" s="13">
        <v>44948.5</v>
      </c>
      <c r="U127" s="14">
        <v>43516.800000000003</v>
      </c>
      <c r="V127" s="14">
        <v>1431.7</v>
      </c>
      <c r="W127" s="15">
        <v>3.2899999999999999E-2</v>
      </c>
      <c r="X127" s="13">
        <v>27262.37</v>
      </c>
      <c r="Y127" s="14">
        <v>26115.88</v>
      </c>
      <c r="Z127" s="14">
        <v>1146.49</v>
      </c>
      <c r="AA127" s="15">
        <v>4.3900000000000002E-2</v>
      </c>
      <c r="AB127" s="13">
        <v>17686.13</v>
      </c>
      <c r="AC127" s="14">
        <v>16577.12</v>
      </c>
      <c r="AD127" s="14">
        <v>1109.01</v>
      </c>
      <c r="AE127" s="15">
        <v>6.6900000000000001E-2</v>
      </c>
      <c r="AF127" s="2"/>
      <c r="AM127" s="4"/>
    </row>
    <row r="128" spans="1:39" x14ac:dyDescent="0.35">
      <c r="A128" s="11" t="s">
        <v>88</v>
      </c>
      <c r="B128" s="12" t="s">
        <v>80</v>
      </c>
      <c r="C128" s="12" t="s">
        <v>75</v>
      </c>
      <c r="D128" s="13">
        <v>6674245.25</v>
      </c>
      <c r="E128" s="14">
        <v>6282943.5300000003</v>
      </c>
      <c r="F128" s="14">
        <v>391301.72</v>
      </c>
      <c r="G128" s="15">
        <v>6.2300000000000001E-2</v>
      </c>
      <c r="H128" s="13">
        <v>50056.84</v>
      </c>
      <c r="I128" s="14">
        <v>46769.85</v>
      </c>
      <c r="J128" s="14">
        <v>3286.99</v>
      </c>
      <c r="K128" s="15">
        <v>7.0300000000000001E-2</v>
      </c>
      <c r="L128" s="13">
        <v>17519.89</v>
      </c>
      <c r="M128" s="14">
        <v>16098.7</v>
      </c>
      <c r="N128" s="14">
        <v>1421.19</v>
      </c>
      <c r="O128" s="15">
        <v>8.8300000000000003E-2</v>
      </c>
      <c r="P128" s="13">
        <v>600.67999999999995</v>
      </c>
      <c r="Q128" s="14">
        <v>546.92999999999995</v>
      </c>
      <c r="R128" s="14">
        <v>53.75</v>
      </c>
      <c r="S128" s="15">
        <v>9.8299999999999998E-2</v>
      </c>
      <c r="T128" s="13">
        <v>31936.26</v>
      </c>
      <c r="U128" s="14">
        <v>29535.61</v>
      </c>
      <c r="V128" s="14">
        <v>2400.65</v>
      </c>
      <c r="W128" s="15">
        <v>8.1299999999999997E-2</v>
      </c>
      <c r="X128" s="13">
        <v>22466.92</v>
      </c>
      <c r="Y128" s="14">
        <v>20568.830000000002</v>
      </c>
      <c r="Z128" s="14">
        <v>1898.09</v>
      </c>
      <c r="AA128" s="15">
        <v>9.2299999999999993E-2</v>
      </c>
      <c r="AB128" s="13">
        <v>9469.34</v>
      </c>
      <c r="AC128" s="14">
        <v>8490.5499999999993</v>
      </c>
      <c r="AD128" s="14">
        <v>978.79</v>
      </c>
      <c r="AE128" s="15">
        <v>0.1153</v>
      </c>
      <c r="AF128" s="2"/>
      <c r="AM128" s="4"/>
    </row>
    <row r="129" spans="1:39" x14ac:dyDescent="0.35">
      <c r="A129" s="11" t="s">
        <v>88</v>
      </c>
      <c r="B129" s="12" t="s">
        <v>80</v>
      </c>
      <c r="C129" s="12" t="s">
        <v>76</v>
      </c>
      <c r="D129" s="13">
        <v>10463964.949999999</v>
      </c>
      <c r="E129" s="14">
        <v>9631247.3100000005</v>
      </c>
      <c r="F129" s="14">
        <v>832717.64</v>
      </c>
      <c r="G129" s="15">
        <v>8.6499999999999994E-2</v>
      </c>
      <c r="H129" s="13">
        <v>109871.63</v>
      </c>
      <c r="I129" s="14">
        <v>100388.89</v>
      </c>
      <c r="J129" s="14">
        <v>9482.74</v>
      </c>
      <c r="K129" s="15">
        <v>9.4500000000000001E-2</v>
      </c>
      <c r="L129" s="13">
        <v>30764.06</v>
      </c>
      <c r="M129" s="14">
        <v>27654.080000000002</v>
      </c>
      <c r="N129" s="14">
        <v>3109.98</v>
      </c>
      <c r="O129" s="15">
        <v>0.1125</v>
      </c>
      <c r="P129" s="13">
        <v>941.76</v>
      </c>
      <c r="Q129" s="14">
        <v>839.01</v>
      </c>
      <c r="R129" s="14">
        <v>102.75</v>
      </c>
      <c r="S129" s="15">
        <v>0.1225</v>
      </c>
      <c r="T129" s="13">
        <v>78165.820000000007</v>
      </c>
      <c r="U129" s="14">
        <v>70708.86</v>
      </c>
      <c r="V129" s="14">
        <v>7456.96</v>
      </c>
      <c r="W129" s="15">
        <v>0.1055</v>
      </c>
      <c r="X129" s="13">
        <v>49313.48</v>
      </c>
      <c r="Y129" s="14">
        <v>44169.5</v>
      </c>
      <c r="Z129" s="14">
        <v>5143.9799999999996</v>
      </c>
      <c r="AA129" s="15">
        <v>0.11650000000000001</v>
      </c>
      <c r="AB129" s="13">
        <v>28852.34</v>
      </c>
      <c r="AC129" s="14">
        <v>25321.06</v>
      </c>
      <c r="AD129" s="14">
        <v>3531.28</v>
      </c>
      <c r="AE129" s="15">
        <v>0.13950000000000001</v>
      </c>
      <c r="AF129" s="2"/>
      <c r="AM129" s="4"/>
    </row>
    <row r="130" spans="1:39" x14ac:dyDescent="0.35">
      <c r="A130" s="11" t="s">
        <v>88</v>
      </c>
      <c r="B130" s="12" t="s">
        <v>80</v>
      </c>
      <c r="C130" s="12" t="s">
        <v>77</v>
      </c>
      <c r="D130" s="13">
        <v>16270471.640000001</v>
      </c>
      <c r="E130" s="14">
        <v>15078934.26</v>
      </c>
      <c r="F130" s="14">
        <v>1191537.3799999999</v>
      </c>
      <c r="G130" s="15">
        <v>7.9000000000000001E-2</v>
      </c>
      <c r="H130" s="13">
        <v>105758.07</v>
      </c>
      <c r="I130" s="14">
        <v>97291.74</v>
      </c>
      <c r="J130" s="14">
        <v>8466.33</v>
      </c>
      <c r="K130" s="15">
        <v>8.6999999999999994E-2</v>
      </c>
      <c r="L130" s="13">
        <v>33842.58</v>
      </c>
      <c r="M130" s="14">
        <v>30626.21</v>
      </c>
      <c r="N130" s="14">
        <v>3216.37</v>
      </c>
      <c r="O130" s="15">
        <v>0.105</v>
      </c>
      <c r="P130" s="13">
        <v>1464.34</v>
      </c>
      <c r="Q130" s="14">
        <v>1313.29</v>
      </c>
      <c r="R130" s="14">
        <v>151.05000000000001</v>
      </c>
      <c r="S130" s="15">
        <v>0.115</v>
      </c>
      <c r="T130" s="13">
        <v>70451.14</v>
      </c>
      <c r="U130" s="14">
        <v>64161.98</v>
      </c>
      <c r="V130" s="14">
        <v>6289.16</v>
      </c>
      <c r="W130" s="15">
        <v>9.8000000000000004E-2</v>
      </c>
      <c r="X130" s="13">
        <v>47467.199999999997</v>
      </c>
      <c r="Y130" s="14">
        <v>42801.03</v>
      </c>
      <c r="Z130" s="14">
        <v>4666.17</v>
      </c>
      <c r="AA130" s="15">
        <v>0.109</v>
      </c>
      <c r="AB130" s="13">
        <v>22983.94</v>
      </c>
      <c r="AC130" s="14">
        <v>20303.48</v>
      </c>
      <c r="AD130" s="14">
        <v>2680.46</v>
      </c>
      <c r="AE130" s="15">
        <v>0.13200000000000001</v>
      </c>
      <c r="AF130" s="2"/>
      <c r="AM130" s="4"/>
    </row>
    <row r="131" spans="1:39" x14ac:dyDescent="0.35">
      <c r="A131" s="11" t="s">
        <v>88</v>
      </c>
      <c r="B131" s="12" t="s">
        <v>80</v>
      </c>
      <c r="C131" s="12" t="s">
        <v>78</v>
      </c>
      <c r="D131" s="13">
        <v>4378692.8099999996</v>
      </c>
      <c r="E131" s="14">
        <v>4463226.32</v>
      </c>
      <c r="F131" s="14">
        <v>-84533.51</v>
      </c>
      <c r="G131" s="15">
        <v>-1.89E-2</v>
      </c>
      <c r="H131" s="13">
        <v>13136.08</v>
      </c>
      <c r="I131" s="14">
        <v>13281.38</v>
      </c>
      <c r="J131" s="14">
        <v>-145.30000000000001</v>
      </c>
      <c r="K131" s="15">
        <v>-1.09E-2</v>
      </c>
      <c r="L131" s="13">
        <v>2364.4899999999998</v>
      </c>
      <c r="M131" s="14">
        <v>2347.91</v>
      </c>
      <c r="N131" s="14">
        <v>16.579999999999998</v>
      </c>
      <c r="O131" s="15">
        <v>7.1000000000000004E-3</v>
      </c>
      <c r="P131" s="13">
        <v>394.08</v>
      </c>
      <c r="Q131" s="14">
        <v>387.47</v>
      </c>
      <c r="R131" s="14">
        <v>6.61</v>
      </c>
      <c r="S131" s="15">
        <v>1.7100000000000001E-2</v>
      </c>
      <c r="T131" s="13">
        <v>10377.5</v>
      </c>
      <c r="U131" s="14">
        <v>10376.879999999999</v>
      </c>
      <c r="V131" s="14">
        <v>0.62</v>
      </c>
      <c r="W131" s="15">
        <v>1E-4</v>
      </c>
      <c r="X131" s="13">
        <v>5895.84</v>
      </c>
      <c r="Y131" s="14">
        <v>5831.35</v>
      </c>
      <c r="Z131" s="14">
        <v>64.489999999999995</v>
      </c>
      <c r="AA131" s="15">
        <v>1.11E-2</v>
      </c>
      <c r="AB131" s="13">
        <v>4481.66</v>
      </c>
      <c r="AC131" s="14">
        <v>4334.04</v>
      </c>
      <c r="AD131" s="14">
        <v>147.62</v>
      </c>
      <c r="AE131" s="15">
        <v>3.4099999999999998E-2</v>
      </c>
      <c r="AF131" s="2"/>
      <c r="AM131" s="4"/>
    </row>
    <row r="132" spans="1:39" x14ac:dyDescent="0.35">
      <c r="A132" s="11" t="s">
        <v>88</v>
      </c>
      <c r="B132" s="12" t="s">
        <v>80</v>
      </c>
      <c r="C132" s="12" t="s">
        <v>79</v>
      </c>
      <c r="D132" s="13">
        <v>6789947.71</v>
      </c>
      <c r="E132" s="14">
        <v>6890549.7400000002</v>
      </c>
      <c r="F132" s="14">
        <v>-100602.03</v>
      </c>
      <c r="G132" s="15">
        <v>-1.46E-2</v>
      </c>
      <c r="H132" s="13">
        <v>30554.76</v>
      </c>
      <c r="I132" s="14">
        <v>30757.759999999998</v>
      </c>
      <c r="J132" s="14">
        <v>-203</v>
      </c>
      <c r="K132" s="15">
        <v>-6.6E-3</v>
      </c>
      <c r="L132" s="13">
        <v>6722.05</v>
      </c>
      <c r="M132" s="14">
        <v>6646.28</v>
      </c>
      <c r="N132" s="14">
        <v>75.77</v>
      </c>
      <c r="O132" s="15">
        <v>1.14E-2</v>
      </c>
      <c r="P132" s="13">
        <v>611.1</v>
      </c>
      <c r="Q132" s="14">
        <v>598.29999999999995</v>
      </c>
      <c r="R132" s="14">
        <v>12.8</v>
      </c>
      <c r="S132" s="15">
        <v>2.1399999999999999E-2</v>
      </c>
      <c r="T132" s="13">
        <v>23221.62</v>
      </c>
      <c r="U132" s="14">
        <v>23119.89</v>
      </c>
      <c r="V132" s="14">
        <v>101.73</v>
      </c>
      <c r="W132" s="15">
        <v>4.4000000000000003E-3</v>
      </c>
      <c r="X132" s="13">
        <v>13713.84</v>
      </c>
      <c r="Y132" s="14">
        <v>13505.85</v>
      </c>
      <c r="Z132" s="14">
        <v>207.99</v>
      </c>
      <c r="AA132" s="15">
        <v>1.54E-2</v>
      </c>
      <c r="AB132" s="13">
        <v>9507.7800000000007</v>
      </c>
      <c r="AC132" s="14">
        <v>9156.19</v>
      </c>
      <c r="AD132" s="14">
        <v>351.6</v>
      </c>
      <c r="AE132" s="15">
        <v>3.8399999999999997E-2</v>
      </c>
      <c r="AF132" s="2"/>
      <c r="AM132" s="4"/>
    </row>
    <row r="133" spans="1:39" x14ac:dyDescent="0.35">
      <c r="A133" s="11" t="s">
        <v>88</v>
      </c>
      <c r="B133" s="12" t="s">
        <v>81</v>
      </c>
      <c r="C133" s="12" t="s">
        <v>75</v>
      </c>
      <c r="D133" s="13">
        <v>8851151.4900000002</v>
      </c>
      <c r="E133" s="14">
        <v>8157141.8600000003</v>
      </c>
      <c r="F133" s="14">
        <v>694009.63</v>
      </c>
      <c r="G133" s="15">
        <v>8.5099999999999995E-2</v>
      </c>
      <c r="H133" s="13">
        <v>66383.64</v>
      </c>
      <c r="I133" s="14">
        <v>60730.82</v>
      </c>
      <c r="J133" s="14">
        <v>5652.82</v>
      </c>
      <c r="K133" s="15">
        <v>9.3100000000000002E-2</v>
      </c>
      <c r="L133" s="13">
        <v>23234.27</v>
      </c>
      <c r="M133" s="14">
        <v>20911.43</v>
      </c>
      <c r="N133" s="14">
        <v>2322.84</v>
      </c>
      <c r="O133" s="15">
        <v>0.1111</v>
      </c>
      <c r="P133" s="13">
        <v>1770.23</v>
      </c>
      <c r="Q133" s="14">
        <v>1579.04</v>
      </c>
      <c r="R133" s="14">
        <v>191.19</v>
      </c>
      <c r="S133" s="15">
        <v>0.1211</v>
      </c>
      <c r="T133" s="13">
        <v>41379.129999999997</v>
      </c>
      <c r="U133" s="14">
        <v>37478.379999999997</v>
      </c>
      <c r="V133" s="14">
        <v>3900.75</v>
      </c>
      <c r="W133" s="15">
        <v>0.1041</v>
      </c>
      <c r="X133" s="13">
        <v>29794.85</v>
      </c>
      <c r="Y133" s="14">
        <v>26719.919999999998</v>
      </c>
      <c r="Z133" s="14">
        <v>3074.93</v>
      </c>
      <c r="AA133" s="15">
        <v>0.11509999999999999</v>
      </c>
      <c r="AB133" s="13">
        <v>11584.28</v>
      </c>
      <c r="AC133" s="14">
        <v>10178.799999999999</v>
      </c>
      <c r="AD133" s="14">
        <v>1405.49</v>
      </c>
      <c r="AE133" s="15">
        <v>0.1381</v>
      </c>
      <c r="AF133" s="2"/>
      <c r="AM133" s="4"/>
    </row>
    <row r="134" spans="1:39" x14ac:dyDescent="0.35">
      <c r="A134" s="11" t="s">
        <v>88</v>
      </c>
      <c r="B134" s="12" t="s">
        <v>81</v>
      </c>
      <c r="C134" s="12" t="s">
        <v>76</v>
      </c>
      <c r="D134" s="13">
        <v>13884394.57</v>
      </c>
      <c r="E134" s="14">
        <v>12516808.119999999</v>
      </c>
      <c r="F134" s="14">
        <v>1367586.45</v>
      </c>
      <c r="G134" s="15">
        <v>0.10929999999999999</v>
      </c>
      <c r="H134" s="13">
        <v>145786.14000000001</v>
      </c>
      <c r="I134" s="14">
        <v>130485.42</v>
      </c>
      <c r="J134" s="14">
        <v>15300.72</v>
      </c>
      <c r="K134" s="15">
        <v>0.1173</v>
      </c>
      <c r="L134" s="13">
        <v>40820.120000000003</v>
      </c>
      <c r="M134" s="14">
        <v>35956.629999999997</v>
      </c>
      <c r="N134" s="14">
        <v>4863.49</v>
      </c>
      <c r="O134" s="15">
        <v>0.1353</v>
      </c>
      <c r="P134" s="13">
        <v>2776.88</v>
      </c>
      <c r="Q134" s="14">
        <v>2424.67</v>
      </c>
      <c r="R134" s="14">
        <v>352.21</v>
      </c>
      <c r="S134" s="15">
        <v>0.14530000000000001</v>
      </c>
      <c r="T134" s="13">
        <v>102189.14</v>
      </c>
      <c r="U134" s="14">
        <v>90572.33</v>
      </c>
      <c r="V134" s="14">
        <v>11616.81</v>
      </c>
      <c r="W134" s="15">
        <v>0.1283</v>
      </c>
      <c r="X134" s="13">
        <v>65432.92</v>
      </c>
      <c r="Y134" s="14">
        <v>57434.58</v>
      </c>
      <c r="Z134" s="14">
        <v>7998.34</v>
      </c>
      <c r="AA134" s="15">
        <v>0.13930000000000001</v>
      </c>
      <c r="AB134" s="13">
        <v>36756.22</v>
      </c>
      <c r="AC134" s="14">
        <v>31624.78</v>
      </c>
      <c r="AD134" s="14">
        <v>5131.4399999999996</v>
      </c>
      <c r="AE134" s="15">
        <v>0.1623</v>
      </c>
      <c r="AF134" s="2"/>
      <c r="AM134" s="4"/>
    </row>
    <row r="135" spans="1:39" x14ac:dyDescent="0.35">
      <c r="A135" s="11" t="s">
        <v>88</v>
      </c>
      <c r="B135" s="12" t="s">
        <v>81</v>
      </c>
      <c r="C135" s="12" t="s">
        <v>77</v>
      </c>
      <c r="D135" s="13">
        <v>21577332.530000001</v>
      </c>
      <c r="E135" s="14">
        <v>19583355.289999999</v>
      </c>
      <c r="F135" s="14">
        <v>1993977.24</v>
      </c>
      <c r="G135" s="15">
        <v>0.1018</v>
      </c>
      <c r="H135" s="13">
        <v>140252.66</v>
      </c>
      <c r="I135" s="14">
        <v>126374.24</v>
      </c>
      <c r="J135" s="14">
        <v>13878.42</v>
      </c>
      <c r="K135" s="15">
        <v>0.10979999999999999</v>
      </c>
      <c r="L135" s="13">
        <v>44880.85</v>
      </c>
      <c r="M135" s="14">
        <v>39794.339999999997</v>
      </c>
      <c r="N135" s="14">
        <v>5086.51</v>
      </c>
      <c r="O135" s="15">
        <v>0.1278</v>
      </c>
      <c r="P135" s="13">
        <v>4315.47</v>
      </c>
      <c r="Q135" s="14">
        <v>3792.75</v>
      </c>
      <c r="R135" s="14">
        <v>522.72</v>
      </c>
      <c r="S135" s="15">
        <v>0.13780000000000001</v>
      </c>
      <c r="T135" s="13">
        <v>91056.34</v>
      </c>
      <c r="U135" s="14">
        <v>81240.820000000007</v>
      </c>
      <c r="V135" s="14">
        <v>9815.52</v>
      </c>
      <c r="W135" s="15">
        <v>0.1208</v>
      </c>
      <c r="X135" s="13">
        <v>62949.34</v>
      </c>
      <c r="Y135" s="14">
        <v>55617.8</v>
      </c>
      <c r="Z135" s="14">
        <v>7331.54</v>
      </c>
      <c r="AA135" s="15">
        <v>0.1318</v>
      </c>
      <c r="AB135" s="13">
        <v>28107</v>
      </c>
      <c r="AC135" s="14">
        <v>24338.86</v>
      </c>
      <c r="AD135" s="14">
        <v>3768.14</v>
      </c>
      <c r="AE135" s="15">
        <v>0.15479999999999999</v>
      </c>
      <c r="AF135" s="2"/>
      <c r="AM135" s="4"/>
    </row>
    <row r="136" spans="1:39" x14ac:dyDescent="0.35">
      <c r="A136" s="11" t="s">
        <v>88</v>
      </c>
      <c r="B136" s="12" t="s">
        <v>81</v>
      </c>
      <c r="C136" s="12" t="s">
        <v>78</v>
      </c>
      <c r="D136" s="13">
        <v>5809986.8499999996</v>
      </c>
      <c r="E136" s="14">
        <v>5787646.5300000003</v>
      </c>
      <c r="F136" s="14">
        <v>22340.32</v>
      </c>
      <c r="G136" s="15">
        <v>3.8999999999999998E-3</v>
      </c>
      <c r="H136" s="13">
        <v>17429.96</v>
      </c>
      <c r="I136" s="14">
        <v>17225.66</v>
      </c>
      <c r="J136" s="14">
        <v>204.3</v>
      </c>
      <c r="K136" s="15">
        <v>1.1900000000000001E-2</v>
      </c>
      <c r="L136" s="13">
        <v>3137.39</v>
      </c>
      <c r="M136" s="14">
        <v>3046.42</v>
      </c>
      <c r="N136" s="14">
        <v>90.97</v>
      </c>
      <c r="O136" s="15">
        <v>2.9899999999999999E-2</v>
      </c>
      <c r="P136" s="13">
        <v>1162</v>
      </c>
      <c r="Q136" s="14">
        <v>1117.46</v>
      </c>
      <c r="R136" s="14">
        <v>44.54</v>
      </c>
      <c r="S136" s="15">
        <v>3.9899999999999998E-2</v>
      </c>
      <c r="T136" s="13">
        <v>13130.57</v>
      </c>
      <c r="U136" s="14">
        <v>12837.11</v>
      </c>
      <c r="V136" s="14">
        <v>293.45999999999998</v>
      </c>
      <c r="W136" s="15">
        <v>2.29E-2</v>
      </c>
      <c r="X136" s="13">
        <v>7823.06</v>
      </c>
      <c r="Y136" s="14">
        <v>7566.84</v>
      </c>
      <c r="Z136" s="14">
        <v>256.20999999999998</v>
      </c>
      <c r="AA136" s="15">
        <v>3.39E-2</v>
      </c>
      <c r="AB136" s="13">
        <v>5307.51</v>
      </c>
      <c r="AC136" s="14">
        <v>5021.96</v>
      </c>
      <c r="AD136" s="14">
        <v>285.55</v>
      </c>
      <c r="AE136" s="15">
        <v>5.6899999999999999E-2</v>
      </c>
      <c r="AF136" s="2"/>
      <c r="AM136" s="4"/>
    </row>
    <row r="137" spans="1:39" x14ac:dyDescent="0.35">
      <c r="A137" s="11" t="s">
        <v>88</v>
      </c>
      <c r="B137" s="12" t="s">
        <v>81</v>
      </c>
      <c r="C137" s="12" t="s">
        <v>79</v>
      </c>
      <c r="D137" s="13">
        <v>9009425.5399999991</v>
      </c>
      <c r="E137" s="14">
        <v>8936149.1199999992</v>
      </c>
      <c r="F137" s="14">
        <v>73276.42</v>
      </c>
      <c r="G137" s="15">
        <v>8.2000000000000007E-3</v>
      </c>
      <c r="H137" s="13">
        <v>40542.410000000003</v>
      </c>
      <c r="I137" s="14">
        <v>39896.089999999997</v>
      </c>
      <c r="J137" s="14">
        <v>646.32000000000005</v>
      </c>
      <c r="K137" s="15">
        <v>1.6199999999999999E-2</v>
      </c>
      <c r="L137" s="13">
        <v>8919.33</v>
      </c>
      <c r="M137" s="14">
        <v>8624.3799999999992</v>
      </c>
      <c r="N137" s="14">
        <v>294.95</v>
      </c>
      <c r="O137" s="15">
        <v>3.4200000000000001E-2</v>
      </c>
      <c r="P137" s="13">
        <v>1801.89</v>
      </c>
      <c r="Q137" s="14">
        <v>1725.62</v>
      </c>
      <c r="R137" s="14">
        <v>76.27</v>
      </c>
      <c r="S137" s="15">
        <v>4.4200000000000003E-2</v>
      </c>
      <c r="T137" s="13">
        <v>29821.200000000001</v>
      </c>
      <c r="U137" s="14">
        <v>29031.54</v>
      </c>
      <c r="V137" s="14">
        <v>789.66</v>
      </c>
      <c r="W137" s="15">
        <v>2.7199999999999998E-2</v>
      </c>
      <c r="X137" s="13">
        <v>18196.57</v>
      </c>
      <c r="Y137" s="14">
        <v>17527.04</v>
      </c>
      <c r="Z137" s="14">
        <v>669.53</v>
      </c>
      <c r="AA137" s="15">
        <v>3.8199999999999998E-2</v>
      </c>
      <c r="AB137" s="13">
        <v>11624.63</v>
      </c>
      <c r="AC137" s="14">
        <v>10954.23</v>
      </c>
      <c r="AD137" s="14">
        <v>670.4</v>
      </c>
      <c r="AE137" s="15">
        <v>6.1199999999999997E-2</v>
      </c>
      <c r="AF137" s="2"/>
      <c r="AM137" s="4"/>
    </row>
    <row r="138" spans="1:39" x14ac:dyDescent="0.35">
      <c r="A138" s="11" t="s">
        <v>88</v>
      </c>
      <c r="B138" s="12" t="s">
        <v>82</v>
      </c>
      <c r="C138" s="12" t="s">
        <v>75</v>
      </c>
      <c r="D138" s="13">
        <v>10618207.380000001</v>
      </c>
      <c r="E138" s="14">
        <v>9903566.0500000007</v>
      </c>
      <c r="F138" s="14">
        <v>714641.33</v>
      </c>
      <c r="G138" s="15">
        <v>7.22E-2</v>
      </c>
      <c r="H138" s="13">
        <v>79636.56</v>
      </c>
      <c r="I138" s="14">
        <v>73726.63</v>
      </c>
      <c r="J138" s="14">
        <v>5909.93</v>
      </c>
      <c r="K138" s="15">
        <v>8.0199999999999994E-2</v>
      </c>
      <c r="L138" s="13">
        <v>27872.79</v>
      </c>
      <c r="M138" s="14">
        <v>25381.360000000001</v>
      </c>
      <c r="N138" s="14">
        <v>2491.4299999999998</v>
      </c>
      <c r="O138" s="15">
        <v>9.8199999999999996E-2</v>
      </c>
      <c r="P138" s="13">
        <v>1592.73</v>
      </c>
      <c r="Q138" s="14">
        <v>1437.27</v>
      </c>
      <c r="R138" s="14">
        <v>155.46</v>
      </c>
      <c r="S138" s="15">
        <v>0.1082</v>
      </c>
      <c r="T138" s="13">
        <v>50171.03</v>
      </c>
      <c r="U138" s="14">
        <v>45979.54</v>
      </c>
      <c r="V138" s="14">
        <v>4191.49</v>
      </c>
      <c r="W138" s="15">
        <v>9.1200000000000003E-2</v>
      </c>
      <c r="X138" s="13">
        <v>35743.129999999997</v>
      </c>
      <c r="Y138" s="14">
        <v>32430.07</v>
      </c>
      <c r="Z138" s="14">
        <v>3313.06</v>
      </c>
      <c r="AA138" s="15">
        <v>0.1022</v>
      </c>
      <c r="AB138" s="13">
        <v>14427.9</v>
      </c>
      <c r="AC138" s="14">
        <v>12822.98</v>
      </c>
      <c r="AD138" s="14">
        <v>1604.92</v>
      </c>
      <c r="AE138" s="15">
        <v>0.12520000000000001</v>
      </c>
      <c r="AF138" s="2"/>
      <c r="AM138" s="4"/>
    </row>
    <row r="139" spans="1:39" x14ac:dyDescent="0.35">
      <c r="A139" s="11" t="s">
        <v>88</v>
      </c>
      <c r="B139" s="12" t="s">
        <v>82</v>
      </c>
      <c r="C139" s="12" t="s">
        <v>76</v>
      </c>
      <c r="D139" s="13">
        <v>16654839.17</v>
      </c>
      <c r="E139" s="14">
        <v>15191308.51</v>
      </c>
      <c r="F139" s="14">
        <v>1463530.66</v>
      </c>
      <c r="G139" s="15">
        <v>9.6299999999999997E-2</v>
      </c>
      <c r="H139" s="13">
        <v>174875.81</v>
      </c>
      <c r="I139" s="14">
        <v>158353.23000000001</v>
      </c>
      <c r="J139" s="14">
        <v>16522.580000000002</v>
      </c>
      <c r="K139" s="15">
        <v>0.1043</v>
      </c>
      <c r="L139" s="13">
        <v>48965.23</v>
      </c>
      <c r="M139" s="14">
        <v>43627.8</v>
      </c>
      <c r="N139" s="14">
        <v>5337.43</v>
      </c>
      <c r="O139" s="15">
        <v>0.12230000000000001</v>
      </c>
      <c r="P139" s="13">
        <v>2498.23</v>
      </c>
      <c r="Q139" s="14">
        <v>2206.25</v>
      </c>
      <c r="R139" s="14">
        <v>291.98</v>
      </c>
      <c r="S139" s="15">
        <v>0.1323</v>
      </c>
      <c r="T139" s="13">
        <v>123412.36</v>
      </c>
      <c r="U139" s="14">
        <v>110649.99</v>
      </c>
      <c r="V139" s="14">
        <v>12762.37</v>
      </c>
      <c r="W139" s="15">
        <v>0.1153</v>
      </c>
      <c r="X139" s="13">
        <v>78489.19</v>
      </c>
      <c r="Y139" s="14">
        <v>69685.16</v>
      </c>
      <c r="Z139" s="14">
        <v>8804.02</v>
      </c>
      <c r="AA139" s="15">
        <v>0.1263</v>
      </c>
      <c r="AB139" s="13">
        <v>44923.17</v>
      </c>
      <c r="AC139" s="14">
        <v>39086.06</v>
      </c>
      <c r="AD139" s="14">
        <v>5837.11</v>
      </c>
      <c r="AE139" s="15">
        <v>0.14929999999999999</v>
      </c>
      <c r="AF139" s="2"/>
      <c r="AM139" s="4"/>
    </row>
    <row r="140" spans="1:39" x14ac:dyDescent="0.35">
      <c r="A140" s="11" t="s">
        <v>88</v>
      </c>
      <c r="B140" s="12" t="s">
        <v>82</v>
      </c>
      <c r="C140" s="12" t="s">
        <v>77</v>
      </c>
      <c r="D140" s="13">
        <v>25885060.48</v>
      </c>
      <c r="E140" s="14">
        <v>23771751.75</v>
      </c>
      <c r="F140" s="14">
        <v>2113308.73</v>
      </c>
      <c r="G140" s="15">
        <v>8.8900000000000007E-2</v>
      </c>
      <c r="H140" s="13">
        <v>168252.89</v>
      </c>
      <c r="I140" s="14">
        <v>153389.45000000001</v>
      </c>
      <c r="J140" s="14">
        <v>14863.44</v>
      </c>
      <c r="K140" s="15">
        <v>9.69E-2</v>
      </c>
      <c r="L140" s="13">
        <v>53840.93</v>
      </c>
      <c r="M140" s="14">
        <v>48292.160000000003</v>
      </c>
      <c r="N140" s="14">
        <v>5548.77</v>
      </c>
      <c r="O140" s="15">
        <v>0.1149</v>
      </c>
      <c r="P140" s="13">
        <v>3882.76</v>
      </c>
      <c r="Q140" s="14">
        <v>3451.65</v>
      </c>
      <c r="R140" s="14">
        <v>431.11</v>
      </c>
      <c r="S140" s="15">
        <v>0.1249</v>
      </c>
      <c r="T140" s="13">
        <v>110529.21</v>
      </c>
      <c r="U140" s="14">
        <v>99764.61</v>
      </c>
      <c r="V140" s="14">
        <v>10764.6</v>
      </c>
      <c r="W140" s="15">
        <v>0.1079</v>
      </c>
      <c r="X140" s="13">
        <v>75516.63</v>
      </c>
      <c r="Y140" s="14">
        <v>67491.850000000006</v>
      </c>
      <c r="Z140" s="14">
        <v>8024.78</v>
      </c>
      <c r="AA140" s="15">
        <v>0.11890000000000001</v>
      </c>
      <c r="AB140" s="13">
        <v>35012.58</v>
      </c>
      <c r="AC140" s="14">
        <v>30661.68</v>
      </c>
      <c r="AD140" s="14">
        <v>4350.8900000000003</v>
      </c>
      <c r="AE140" s="15">
        <v>0.1419</v>
      </c>
      <c r="AF140" s="2"/>
      <c r="AM140" s="4"/>
    </row>
    <row r="141" spans="1:39" x14ac:dyDescent="0.35">
      <c r="A141" s="11" t="s">
        <v>88</v>
      </c>
      <c r="B141" s="12" t="s">
        <v>82</v>
      </c>
      <c r="C141" s="12" t="s">
        <v>78</v>
      </c>
      <c r="D141" s="13">
        <v>6969291.75</v>
      </c>
      <c r="E141" s="14">
        <v>7033010.8300000001</v>
      </c>
      <c r="F141" s="14">
        <v>-63719.08</v>
      </c>
      <c r="G141" s="15">
        <v>-9.1000000000000004E-3</v>
      </c>
      <c r="H141" s="13">
        <v>20907.88</v>
      </c>
      <c r="I141" s="14">
        <v>20930.07</v>
      </c>
      <c r="J141" s="14">
        <v>-22.19</v>
      </c>
      <c r="K141" s="15">
        <v>-1.1000000000000001E-3</v>
      </c>
      <c r="L141" s="13">
        <v>3763.42</v>
      </c>
      <c r="M141" s="14">
        <v>3700.73</v>
      </c>
      <c r="N141" s="14">
        <v>62.69</v>
      </c>
      <c r="O141" s="15">
        <v>1.6899999999999998E-2</v>
      </c>
      <c r="P141" s="13">
        <v>1045.3900000000001</v>
      </c>
      <c r="Q141" s="14">
        <v>1017.97</v>
      </c>
      <c r="R141" s="14">
        <v>27.42</v>
      </c>
      <c r="S141" s="15">
        <v>2.69E-2</v>
      </c>
      <c r="T141" s="13">
        <v>16099.06</v>
      </c>
      <c r="U141" s="14">
        <v>15940.61</v>
      </c>
      <c r="V141" s="14">
        <v>158.44999999999999</v>
      </c>
      <c r="W141" s="15">
        <v>9.9000000000000008E-3</v>
      </c>
      <c r="X141" s="13">
        <v>9384.0400000000009</v>
      </c>
      <c r="Y141" s="14">
        <v>9191.57</v>
      </c>
      <c r="Z141" s="14">
        <v>192.47</v>
      </c>
      <c r="AA141" s="15">
        <v>2.0899999999999998E-2</v>
      </c>
      <c r="AB141" s="13">
        <v>6715.02</v>
      </c>
      <c r="AC141" s="14">
        <v>6432.38</v>
      </c>
      <c r="AD141" s="14">
        <v>282.64</v>
      </c>
      <c r="AE141" s="15">
        <v>4.3900000000000002E-2</v>
      </c>
      <c r="AF141" s="2"/>
      <c r="AM141" s="4"/>
    </row>
    <row r="142" spans="1:39" x14ac:dyDescent="0.35">
      <c r="A142" s="11" t="s">
        <v>88</v>
      </c>
      <c r="B142" s="12" t="s">
        <v>82</v>
      </c>
      <c r="C142" s="12" t="s">
        <v>79</v>
      </c>
      <c r="D142" s="13">
        <v>10807135.49</v>
      </c>
      <c r="E142" s="14">
        <v>10858387.08</v>
      </c>
      <c r="F142" s="14">
        <v>-51251.59</v>
      </c>
      <c r="G142" s="15">
        <v>-4.7000000000000002E-3</v>
      </c>
      <c r="H142" s="13">
        <v>48632.11</v>
      </c>
      <c r="I142" s="14">
        <v>48473.120000000003</v>
      </c>
      <c r="J142" s="14">
        <v>158.99</v>
      </c>
      <c r="K142" s="15">
        <v>3.3E-3</v>
      </c>
      <c r="L142" s="13">
        <v>10699.06</v>
      </c>
      <c r="M142" s="14">
        <v>10476.129999999999</v>
      </c>
      <c r="N142" s="14">
        <v>222.93</v>
      </c>
      <c r="O142" s="15">
        <v>2.1299999999999999E-2</v>
      </c>
      <c r="P142" s="13">
        <v>1621.07</v>
      </c>
      <c r="Q142" s="14">
        <v>1571.9</v>
      </c>
      <c r="R142" s="14">
        <v>49.17</v>
      </c>
      <c r="S142" s="15">
        <v>3.1300000000000001E-2</v>
      </c>
      <c r="T142" s="13">
        <v>36311.980000000003</v>
      </c>
      <c r="U142" s="14">
        <v>35800.75</v>
      </c>
      <c r="V142" s="14">
        <v>511.23</v>
      </c>
      <c r="W142" s="15">
        <v>1.43E-2</v>
      </c>
      <c r="X142" s="13">
        <v>21827.46</v>
      </c>
      <c r="Y142" s="14">
        <v>21289.27</v>
      </c>
      <c r="Z142" s="14">
        <v>538.19000000000005</v>
      </c>
      <c r="AA142" s="15">
        <v>2.53E-2</v>
      </c>
      <c r="AB142" s="13">
        <v>14484.52</v>
      </c>
      <c r="AC142" s="14">
        <v>13817.42</v>
      </c>
      <c r="AD142" s="14">
        <v>667.1</v>
      </c>
      <c r="AE142" s="15">
        <v>4.8300000000000003E-2</v>
      </c>
      <c r="AF142" s="2"/>
      <c r="AM142" s="4"/>
    </row>
    <row r="143" spans="1:39" x14ac:dyDescent="0.35">
      <c r="A143" s="11" t="s">
        <v>88</v>
      </c>
      <c r="B143" s="12" t="s">
        <v>83</v>
      </c>
      <c r="C143" s="12" t="s">
        <v>75</v>
      </c>
      <c r="D143" s="13">
        <v>8757990.6799999997</v>
      </c>
      <c r="E143" s="14">
        <v>8200519.3700000001</v>
      </c>
      <c r="F143" s="14">
        <v>557471.31000000006</v>
      </c>
      <c r="G143" s="15">
        <v>6.8000000000000005E-2</v>
      </c>
      <c r="H143" s="13">
        <v>65684.929999999993</v>
      </c>
      <c r="I143" s="14">
        <v>61046.61</v>
      </c>
      <c r="J143" s="14">
        <v>4638.32</v>
      </c>
      <c r="K143" s="15">
        <v>7.5999999999999998E-2</v>
      </c>
      <c r="L143" s="13">
        <v>22989.73</v>
      </c>
      <c r="M143" s="14">
        <v>21014.76</v>
      </c>
      <c r="N143" s="14">
        <v>1974.97</v>
      </c>
      <c r="O143" s="15">
        <v>9.4E-2</v>
      </c>
      <c r="P143" s="13">
        <v>700.64</v>
      </c>
      <c r="Q143" s="14">
        <v>634.65</v>
      </c>
      <c r="R143" s="14">
        <v>65.989999999999995</v>
      </c>
      <c r="S143" s="15">
        <v>0.104</v>
      </c>
      <c r="T143" s="13">
        <v>41994.57</v>
      </c>
      <c r="U143" s="14">
        <v>38634.17</v>
      </c>
      <c r="V143" s="14">
        <v>3360.4</v>
      </c>
      <c r="W143" s="15">
        <v>8.6999999999999994E-2</v>
      </c>
      <c r="X143" s="13">
        <v>29481.25</v>
      </c>
      <c r="Y143" s="14">
        <v>26850.44</v>
      </c>
      <c r="Z143" s="14">
        <v>2630.81</v>
      </c>
      <c r="AA143" s="15">
        <v>9.8000000000000004E-2</v>
      </c>
      <c r="AB143" s="13">
        <v>12513.32</v>
      </c>
      <c r="AC143" s="14">
        <v>11162.84</v>
      </c>
      <c r="AD143" s="14">
        <v>1350.48</v>
      </c>
      <c r="AE143" s="15">
        <v>0.121</v>
      </c>
      <c r="AF143" s="2"/>
      <c r="AM143" s="4"/>
    </row>
    <row r="144" spans="1:39" x14ac:dyDescent="0.35">
      <c r="A144" s="11" t="s">
        <v>88</v>
      </c>
      <c r="B144" s="12" t="s">
        <v>83</v>
      </c>
      <c r="C144" s="12" t="s">
        <v>76</v>
      </c>
      <c r="D144" s="13">
        <v>13733390.09</v>
      </c>
      <c r="E144" s="14">
        <v>12574522.130000001</v>
      </c>
      <c r="F144" s="14">
        <v>1158867.96</v>
      </c>
      <c r="G144" s="15">
        <v>9.2200000000000004E-2</v>
      </c>
      <c r="H144" s="13">
        <v>144200.6</v>
      </c>
      <c r="I144" s="14">
        <v>131072.39000000001</v>
      </c>
      <c r="J144" s="14">
        <v>13128.21</v>
      </c>
      <c r="K144" s="15">
        <v>0.1002</v>
      </c>
      <c r="L144" s="13">
        <v>40376.17</v>
      </c>
      <c r="M144" s="14">
        <v>36109.47</v>
      </c>
      <c r="N144" s="14">
        <v>4266.7</v>
      </c>
      <c r="O144" s="15">
        <v>0.1182</v>
      </c>
      <c r="P144" s="13">
        <v>1098.67</v>
      </c>
      <c r="Q144" s="14">
        <v>973.86</v>
      </c>
      <c r="R144" s="14">
        <v>124.81</v>
      </c>
      <c r="S144" s="15">
        <v>0.12820000000000001</v>
      </c>
      <c r="T144" s="13">
        <v>102725.75999999999</v>
      </c>
      <c r="U144" s="14">
        <v>92449.12</v>
      </c>
      <c r="V144" s="14">
        <v>10276.64</v>
      </c>
      <c r="W144" s="15">
        <v>0.11119999999999999</v>
      </c>
      <c r="X144" s="13">
        <v>64721.29</v>
      </c>
      <c r="Y144" s="14">
        <v>57675.63</v>
      </c>
      <c r="Z144" s="14">
        <v>7045.66</v>
      </c>
      <c r="AA144" s="15">
        <v>0.1222</v>
      </c>
      <c r="AB144" s="13">
        <v>38004.47</v>
      </c>
      <c r="AC144" s="14">
        <v>33187.040000000001</v>
      </c>
      <c r="AD144" s="14">
        <v>4817.43</v>
      </c>
      <c r="AE144" s="15">
        <v>0.1452</v>
      </c>
      <c r="AF144" s="2"/>
      <c r="AM144" s="4"/>
    </row>
    <row r="145" spans="1:39" x14ac:dyDescent="0.35">
      <c r="A145" s="11" t="s">
        <v>88</v>
      </c>
      <c r="B145" s="12" t="s">
        <v>83</v>
      </c>
      <c r="C145" s="12" t="s">
        <v>77</v>
      </c>
      <c r="D145" s="13">
        <v>21350225.18</v>
      </c>
      <c r="E145" s="14">
        <v>19682706.300000001</v>
      </c>
      <c r="F145" s="14">
        <v>1667518.88</v>
      </c>
      <c r="G145" s="15">
        <v>8.4699999999999998E-2</v>
      </c>
      <c r="H145" s="13">
        <v>138776.46</v>
      </c>
      <c r="I145" s="14">
        <v>127000.93</v>
      </c>
      <c r="J145" s="14">
        <v>11775.53</v>
      </c>
      <c r="K145" s="15">
        <v>9.2700000000000005E-2</v>
      </c>
      <c r="L145" s="13">
        <v>44408.47</v>
      </c>
      <c r="M145" s="14">
        <v>39981.699999999997</v>
      </c>
      <c r="N145" s="14">
        <v>4426.7700000000004</v>
      </c>
      <c r="O145" s="15">
        <v>0.11070000000000001</v>
      </c>
      <c r="P145" s="13">
        <v>1708.02</v>
      </c>
      <c r="Q145" s="14">
        <v>1524.04</v>
      </c>
      <c r="R145" s="14">
        <v>183.98</v>
      </c>
      <c r="S145" s="15">
        <v>0.1207</v>
      </c>
      <c r="T145" s="13">
        <v>92659.98</v>
      </c>
      <c r="U145" s="14">
        <v>83952.43</v>
      </c>
      <c r="V145" s="14">
        <v>8707.5499999999993</v>
      </c>
      <c r="W145" s="15">
        <v>0.1037</v>
      </c>
      <c r="X145" s="13">
        <v>62286.78</v>
      </c>
      <c r="Y145" s="14">
        <v>55876.62</v>
      </c>
      <c r="Z145" s="14">
        <v>6410.17</v>
      </c>
      <c r="AA145" s="15">
        <v>0.1147</v>
      </c>
      <c r="AB145" s="13">
        <v>30373.200000000001</v>
      </c>
      <c r="AC145" s="14">
        <v>26696.55</v>
      </c>
      <c r="AD145" s="14">
        <v>3676.65</v>
      </c>
      <c r="AE145" s="15">
        <v>0.13769999999999999</v>
      </c>
      <c r="AF145" s="2"/>
      <c r="AM145" s="4"/>
    </row>
    <row r="146" spans="1:39" x14ac:dyDescent="0.35">
      <c r="A146" s="11" t="s">
        <v>88</v>
      </c>
      <c r="B146" s="12" t="s">
        <v>83</v>
      </c>
      <c r="C146" s="12" t="s">
        <v>78</v>
      </c>
      <c r="D146" s="13">
        <v>5746798.3499999996</v>
      </c>
      <c r="E146" s="14">
        <v>5823906.8799999999</v>
      </c>
      <c r="F146" s="14">
        <v>-77108.53</v>
      </c>
      <c r="G146" s="15">
        <v>-1.32E-2</v>
      </c>
      <c r="H146" s="13">
        <v>17240.400000000001</v>
      </c>
      <c r="I146" s="14">
        <v>17331.22</v>
      </c>
      <c r="J146" s="14">
        <v>-90.82</v>
      </c>
      <c r="K146" s="15">
        <v>-5.1999999999999998E-3</v>
      </c>
      <c r="L146" s="13">
        <v>3103.27</v>
      </c>
      <c r="M146" s="14">
        <v>3064.17</v>
      </c>
      <c r="N146" s="14">
        <v>39.1</v>
      </c>
      <c r="O146" s="15">
        <v>1.2800000000000001E-2</v>
      </c>
      <c r="P146" s="13">
        <v>459.74</v>
      </c>
      <c r="Q146" s="14">
        <v>449.51</v>
      </c>
      <c r="R146" s="14">
        <v>10.23</v>
      </c>
      <c r="S146" s="15">
        <v>2.2800000000000001E-2</v>
      </c>
      <c r="T146" s="13">
        <v>13677.38</v>
      </c>
      <c r="U146" s="14">
        <v>13599.05</v>
      </c>
      <c r="V146" s="14">
        <v>78.33</v>
      </c>
      <c r="W146" s="15">
        <v>5.7999999999999996E-3</v>
      </c>
      <c r="X146" s="13">
        <v>7737.98</v>
      </c>
      <c r="Y146" s="14">
        <v>7610.43</v>
      </c>
      <c r="Z146" s="14">
        <v>127.55</v>
      </c>
      <c r="AA146" s="15">
        <v>1.6799999999999999E-2</v>
      </c>
      <c r="AB146" s="13">
        <v>5939.4</v>
      </c>
      <c r="AC146" s="14">
        <v>5712.28</v>
      </c>
      <c r="AD146" s="14">
        <v>227.12</v>
      </c>
      <c r="AE146" s="15">
        <v>3.9800000000000002E-2</v>
      </c>
      <c r="AF146" s="2"/>
      <c r="AM146" s="4"/>
    </row>
    <row r="147" spans="1:39" x14ac:dyDescent="0.35">
      <c r="A147" s="11" t="s">
        <v>88</v>
      </c>
      <c r="B147" s="12" t="s">
        <v>83</v>
      </c>
      <c r="C147" s="12" t="s">
        <v>79</v>
      </c>
      <c r="D147" s="13">
        <v>8911440.4499999993</v>
      </c>
      <c r="E147" s="14">
        <v>8991464.4800000004</v>
      </c>
      <c r="F147" s="14">
        <v>-80024.03</v>
      </c>
      <c r="G147" s="15">
        <v>-8.8999999999999999E-3</v>
      </c>
      <c r="H147" s="13">
        <v>40101.480000000003</v>
      </c>
      <c r="I147" s="14">
        <v>40137.599999999999</v>
      </c>
      <c r="J147" s="14">
        <v>-36.119999999999997</v>
      </c>
      <c r="K147" s="15">
        <v>-8.9999999999999998E-4</v>
      </c>
      <c r="L147" s="13">
        <v>8822.33</v>
      </c>
      <c r="M147" s="14">
        <v>8674</v>
      </c>
      <c r="N147" s="14">
        <v>148.33000000000001</v>
      </c>
      <c r="O147" s="15">
        <v>1.7100000000000001E-2</v>
      </c>
      <c r="P147" s="13">
        <v>712.92</v>
      </c>
      <c r="Q147" s="14">
        <v>694.11</v>
      </c>
      <c r="R147" s="14">
        <v>18.809999999999999</v>
      </c>
      <c r="S147" s="15">
        <v>2.7099999999999999E-2</v>
      </c>
      <c r="T147" s="13">
        <v>30566.240000000002</v>
      </c>
      <c r="U147" s="14">
        <v>30260.61</v>
      </c>
      <c r="V147" s="14">
        <v>305.63</v>
      </c>
      <c r="W147" s="15">
        <v>1.01E-2</v>
      </c>
      <c r="X147" s="13">
        <v>17998.669999999998</v>
      </c>
      <c r="Y147" s="14">
        <v>17626.75</v>
      </c>
      <c r="Z147" s="14">
        <v>371.92</v>
      </c>
      <c r="AA147" s="15">
        <v>2.1100000000000001E-2</v>
      </c>
      <c r="AB147" s="13">
        <v>12567.57</v>
      </c>
      <c r="AC147" s="14">
        <v>12036.75</v>
      </c>
      <c r="AD147" s="14">
        <v>530.82000000000005</v>
      </c>
      <c r="AE147" s="15">
        <v>4.41E-2</v>
      </c>
      <c r="AF147" s="2"/>
      <c r="AM147" s="4"/>
    </row>
    <row r="148" spans="1:39" x14ac:dyDescent="0.35">
      <c r="A148" s="11" t="s">
        <v>88</v>
      </c>
      <c r="B148" s="12" t="s">
        <v>84</v>
      </c>
      <c r="C148" s="12" t="s">
        <v>75</v>
      </c>
      <c r="D148" s="13">
        <v>21482847.48</v>
      </c>
      <c r="E148" s="14">
        <v>19895946.77</v>
      </c>
      <c r="F148" s="14">
        <v>1586900.71</v>
      </c>
      <c r="G148" s="15">
        <v>7.9799999999999996E-2</v>
      </c>
      <c r="H148" s="13">
        <v>161121.35999999999</v>
      </c>
      <c r="I148" s="14">
        <v>148122.16</v>
      </c>
      <c r="J148" s="14">
        <v>12999.2</v>
      </c>
      <c r="K148" s="15">
        <v>8.7800000000000003E-2</v>
      </c>
      <c r="L148" s="13">
        <v>56392.47</v>
      </c>
      <c r="M148" s="14">
        <v>50998.83</v>
      </c>
      <c r="N148" s="14">
        <v>5393.64</v>
      </c>
      <c r="O148" s="15">
        <v>0.10580000000000001</v>
      </c>
      <c r="P148" s="13">
        <v>1503.8</v>
      </c>
      <c r="Q148" s="14">
        <v>1347.78</v>
      </c>
      <c r="R148" s="14">
        <v>156.02000000000001</v>
      </c>
      <c r="S148" s="15">
        <v>0.1158</v>
      </c>
      <c r="T148" s="13">
        <v>103225.08</v>
      </c>
      <c r="U148" s="14">
        <v>93946.89</v>
      </c>
      <c r="V148" s="14">
        <v>9278.19</v>
      </c>
      <c r="W148" s="15">
        <v>9.8799999999999999E-2</v>
      </c>
      <c r="X148" s="13">
        <v>72315.8</v>
      </c>
      <c r="Y148" s="14">
        <v>65163.46</v>
      </c>
      <c r="Z148" s="14">
        <v>7152.34</v>
      </c>
      <c r="AA148" s="15">
        <v>0.10979999999999999</v>
      </c>
      <c r="AB148" s="13">
        <v>30909.279999999999</v>
      </c>
      <c r="AC148" s="14">
        <v>27286.7</v>
      </c>
      <c r="AD148" s="14">
        <v>3622.58</v>
      </c>
      <c r="AE148" s="15">
        <v>0.1328</v>
      </c>
      <c r="AF148" s="2"/>
      <c r="AM148" s="4"/>
    </row>
    <row r="149" spans="1:39" x14ac:dyDescent="0.35">
      <c r="A149" s="11" t="s">
        <v>88</v>
      </c>
      <c r="B149" s="12" t="s">
        <v>84</v>
      </c>
      <c r="C149" s="12" t="s">
        <v>76</v>
      </c>
      <c r="D149" s="13">
        <v>33684160.689999998</v>
      </c>
      <c r="E149" s="14">
        <v>30512673.420000002</v>
      </c>
      <c r="F149" s="14">
        <v>3171487.27</v>
      </c>
      <c r="G149" s="15">
        <v>0.10390000000000001</v>
      </c>
      <c r="H149" s="13">
        <v>353683.69</v>
      </c>
      <c r="I149" s="14">
        <v>318078.03000000003</v>
      </c>
      <c r="J149" s="14">
        <v>35605.660000000003</v>
      </c>
      <c r="K149" s="15">
        <v>0.1119</v>
      </c>
      <c r="L149" s="13">
        <v>99031.43</v>
      </c>
      <c r="M149" s="14">
        <v>87643.09</v>
      </c>
      <c r="N149" s="14">
        <v>11388.34</v>
      </c>
      <c r="O149" s="15">
        <v>0.12989999999999999</v>
      </c>
      <c r="P149" s="13">
        <v>2357.89</v>
      </c>
      <c r="Q149" s="14">
        <v>2068.4299999999998</v>
      </c>
      <c r="R149" s="14">
        <v>289.45999999999998</v>
      </c>
      <c r="S149" s="15">
        <v>0.1399</v>
      </c>
      <c r="T149" s="13">
        <v>252294.36</v>
      </c>
      <c r="U149" s="14">
        <v>224673.05</v>
      </c>
      <c r="V149" s="14">
        <v>27621.31</v>
      </c>
      <c r="W149" s="15">
        <v>0.1229</v>
      </c>
      <c r="X149" s="13">
        <v>158743.19</v>
      </c>
      <c r="Y149" s="14">
        <v>139992.59</v>
      </c>
      <c r="Z149" s="14">
        <v>18750.61</v>
      </c>
      <c r="AA149" s="15">
        <v>0.13389999999999999</v>
      </c>
      <c r="AB149" s="13">
        <v>93551.17</v>
      </c>
      <c r="AC149" s="14">
        <v>80860.86</v>
      </c>
      <c r="AD149" s="14">
        <v>12690.3</v>
      </c>
      <c r="AE149" s="15">
        <v>0.15690000000000001</v>
      </c>
      <c r="AF149" s="2"/>
      <c r="AM149" s="4"/>
    </row>
    <row r="150" spans="1:39" x14ac:dyDescent="0.35">
      <c r="A150" s="11" t="s">
        <v>88</v>
      </c>
      <c r="B150" s="12" t="s">
        <v>84</v>
      </c>
      <c r="C150" s="12" t="s">
        <v>77</v>
      </c>
      <c r="D150" s="13">
        <v>52370874.539999999</v>
      </c>
      <c r="E150" s="14">
        <v>47761855.490000002</v>
      </c>
      <c r="F150" s="14">
        <v>4609019.05</v>
      </c>
      <c r="G150" s="15">
        <v>9.6500000000000002E-2</v>
      </c>
      <c r="H150" s="13">
        <v>340410.68</v>
      </c>
      <c r="I150" s="14">
        <v>308203.42</v>
      </c>
      <c r="J150" s="14">
        <v>32207.26</v>
      </c>
      <c r="K150" s="15">
        <v>0.1045</v>
      </c>
      <c r="L150" s="13">
        <v>108931.42</v>
      </c>
      <c r="M150" s="14">
        <v>97043.58</v>
      </c>
      <c r="N150" s="14">
        <v>11887.84</v>
      </c>
      <c r="O150" s="15">
        <v>0.1225</v>
      </c>
      <c r="P150" s="13">
        <v>3665.96</v>
      </c>
      <c r="Q150" s="14">
        <v>3237.05</v>
      </c>
      <c r="R150" s="14">
        <v>428.91</v>
      </c>
      <c r="S150" s="15">
        <v>0.13250000000000001</v>
      </c>
      <c r="T150" s="13">
        <v>227813.3</v>
      </c>
      <c r="U150" s="14">
        <v>204225.28</v>
      </c>
      <c r="V150" s="14">
        <v>23588.02</v>
      </c>
      <c r="W150" s="15">
        <v>0.11550000000000001</v>
      </c>
      <c r="X150" s="13">
        <v>152785.89000000001</v>
      </c>
      <c r="Y150" s="14">
        <v>135628.84</v>
      </c>
      <c r="Z150" s="14">
        <v>17157.05</v>
      </c>
      <c r="AA150" s="15">
        <v>0.1265</v>
      </c>
      <c r="AB150" s="13">
        <v>75027.41</v>
      </c>
      <c r="AC150" s="14">
        <v>65269.599999999999</v>
      </c>
      <c r="AD150" s="14">
        <v>9757.81</v>
      </c>
      <c r="AE150" s="15">
        <v>0.14949999999999999</v>
      </c>
      <c r="AF150" s="2"/>
      <c r="AM150" s="4"/>
    </row>
    <row r="151" spans="1:39" x14ac:dyDescent="0.35">
      <c r="A151" s="11" t="s">
        <v>88</v>
      </c>
      <c r="B151" s="12" t="s">
        <v>84</v>
      </c>
      <c r="C151" s="12" t="s">
        <v>78</v>
      </c>
      <c r="D151" s="13">
        <v>14095287.300000001</v>
      </c>
      <c r="E151" s="14">
        <v>14115896.51</v>
      </c>
      <c r="F151" s="14">
        <v>-20609.21</v>
      </c>
      <c r="G151" s="15">
        <v>-1.5E-3</v>
      </c>
      <c r="H151" s="13">
        <v>42285.86</v>
      </c>
      <c r="I151" s="14">
        <v>42011.11</v>
      </c>
      <c r="J151" s="14">
        <v>274.75</v>
      </c>
      <c r="K151" s="15">
        <v>6.4999999999999997E-3</v>
      </c>
      <c r="L151" s="13">
        <v>7611.46</v>
      </c>
      <c r="M151" s="14">
        <v>7429.15</v>
      </c>
      <c r="N151" s="14">
        <v>182.31</v>
      </c>
      <c r="O151" s="15">
        <v>2.4500000000000001E-2</v>
      </c>
      <c r="P151" s="13">
        <v>986.67</v>
      </c>
      <c r="Q151" s="14">
        <v>953.73</v>
      </c>
      <c r="R151" s="14">
        <v>32.94</v>
      </c>
      <c r="S151" s="15">
        <v>3.4500000000000003E-2</v>
      </c>
      <c r="T151" s="13">
        <v>33687.74</v>
      </c>
      <c r="U151" s="14">
        <v>33107.040000000001</v>
      </c>
      <c r="V151" s="14">
        <v>580.70000000000005</v>
      </c>
      <c r="W151" s="15">
        <v>1.7500000000000002E-2</v>
      </c>
      <c r="X151" s="13">
        <v>18979.080000000002</v>
      </c>
      <c r="Y151" s="14">
        <v>18452.45</v>
      </c>
      <c r="Z151" s="14">
        <v>526.63</v>
      </c>
      <c r="AA151" s="15">
        <v>2.8500000000000001E-2</v>
      </c>
      <c r="AB151" s="13">
        <v>14708.66</v>
      </c>
      <c r="AC151" s="14">
        <v>13987.73</v>
      </c>
      <c r="AD151" s="14">
        <v>720.93</v>
      </c>
      <c r="AE151" s="15">
        <v>5.1499999999999997E-2</v>
      </c>
      <c r="AF151" s="2"/>
      <c r="AM151" s="4"/>
    </row>
    <row r="152" spans="1:39" x14ac:dyDescent="0.35">
      <c r="A152" s="11" t="s">
        <v>88</v>
      </c>
      <c r="B152" s="12" t="s">
        <v>84</v>
      </c>
      <c r="C152" s="12" t="s">
        <v>79</v>
      </c>
      <c r="D152" s="13">
        <v>21857268.32</v>
      </c>
      <c r="E152" s="14">
        <v>21794500.16</v>
      </c>
      <c r="F152" s="14">
        <v>62768.160000000003</v>
      </c>
      <c r="G152" s="15">
        <v>2.8999999999999998E-3</v>
      </c>
      <c r="H152" s="13">
        <v>98357.71</v>
      </c>
      <c r="I152" s="14">
        <v>97299.1</v>
      </c>
      <c r="J152" s="14">
        <v>1058.6099999999999</v>
      </c>
      <c r="K152" s="15">
        <v>1.09E-2</v>
      </c>
      <c r="L152" s="13">
        <v>21638.7</v>
      </c>
      <c r="M152" s="14">
        <v>21031.32</v>
      </c>
      <c r="N152" s="14">
        <v>607.38</v>
      </c>
      <c r="O152" s="15">
        <v>2.8899999999999999E-2</v>
      </c>
      <c r="P152" s="13">
        <v>1530.01</v>
      </c>
      <c r="Q152" s="14">
        <v>1472.75</v>
      </c>
      <c r="R152" s="14">
        <v>57.26</v>
      </c>
      <c r="S152" s="15">
        <v>3.8899999999999997E-2</v>
      </c>
      <c r="T152" s="13">
        <v>75189</v>
      </c>
      <c r="U152" s="14">
        <v>73579.09</v>
      </c>
      <c r="V152" s="14">
        <v>1609.91</v>
      </c>
      <c r="W152" s="15">
        <v>2.1899999999999999E-2</v>
      </c>
      <c r="X152" s="13">
        <v>44145.71</v>
      </c>
      <c r="Y152" s="14">
        <v>42740.4</v>
      </c>
      <c r="Z152" s="14">
        <v>1405.3</v>
      </c>
      <c r="AA152" s="15">
        <v>3.2899999999999999E-2</v>
      </c>
      <c r="AB152" s="13">
        <v>31043.29</v>
      </c>
      <c r="AC152" s="14">
        <v>29400.400000000001</v>
      </c>
      <c r="AD152" s="14">
        <v>1642.89</v>
      </c>
      <c r="AE152" s="15">
        <v>5.5899999999999998E-2</v>
      </c>
      <c r="AF152" s="2"/>
      <c r="AM152" s="4"/>
    </row>
    <row r="153" spans="1:39" x14ac:dyDescent="0.35">
      <c r="A153" s="16" t="s">
        <v>89</v>
      </c>
      <c r="B153" s="17" t="s">
        <v>74</v>
      </c>
      <c r="C153" s="17" t="s">
        <v>75</v>
      </c>
      <c r="D153" s="18">
        <v>14347829.960000001</v>
      </c>
      <c r="E153" s="19">
        <v>14068430.92</v>
      </c>
      <c r="F153" s="19">
        <v>279399.03999999998</v>
      </c>
      <c r="G153" s="20">
        <v>1.9900000000000001E-2</v>
      </c>
      <c r="H153" s="18">
        <v>107608.72</v>
      </c>
      <c r="I153" s="19">
        <v>104692</v>
      </c>
      <c r="J153" s="19">
        <v>2916.72</v>
      </c>
      <c r="K153" s="20">
        <v>2.7900000000000001E-2</v>
      </c>
      <c r="L153" s="18">
        <v>37663.050000000003</v>
      </c>
      <c r="M153" s="19">
        <v>36011.56</v>
      </c>
      <c r="N153" s="19">
        <v>1651.49</v>
      </c>
      <c r="O153" s="20">
        <v>4.5900000000000003E-2</v>
      </c>
      <c r="P153" s="18">
        <v>2582.61</v>
      </c>
      <c r="Q153" s="19">
        <v>2445.98</v>
      </c>
      <c r="R153" s="19">
        <v>136.63</v>
      </c>
      <c r="S153" s="20">
        <v>5.5899999999999998E-2</v>
      </c>
      <c r="T153" s="18">
        <v>67363.06</v>
      </c>
      <c r="U153" s="19">
        <v>64843.25</v>
      </c>
      <c r="V153" s="19">
        <v>2519.81</v>
      </c>
      <c r="W153" s="20">
        <v>3.8899999999999997E-2</v>
      </c>
      <c r="X153" s="18">
        <v>44254.400000000001</v>
      </c>
      <c r="Y153" s="19">
        <v>42152.67</v>
      </c>
      <c r="Z153" s="19">
        <v>2101.73</v>
      </c>
      <c r="AA153" s="20">
        <v>4.99E-2</v>
      </c>
      <c r="AB153" s="18">
        <v>23108.66</v>
      </c>
      <c r="AC153" s="19">
        <v>21539.31</v>
      </c>
      <c r="AD153" s="19">
        <v>1569.35</v>
      </c>
      <c r="AE153" s="20">
        <v>7.2900000000000006E-2</v>
      </c>
      <c r="AF153" s="2"/>
      <c r="AM153" s="4"/>
    </row>
    <row r="154" spans="1:39" x14ac:dyDescent="0.35">
      <c r="A154" s="16" t="s">
        <v>89</v>
      </c>
      <c r="B154" s="17" t="s">
        <v>74</v>
      </c>
      <c r="C154" s="17" t="s">
        <v>76</v>
      </c>
      <c r="D154" s="18">
        <v>22144512.949999999</v>
      </c>
      <c r="E154" s="19">
        <v>22268324.84</v>
      </c>
      <c r="F154" s="19">
        <v>-123811.89</v>
      </c>
      <c r="G154" s="20">
        <v>-5.5999999999999999E-3</v>
      </c>
      <c r="H154" s="18">
        <v>232517.39</v>
      </c>
      <c r="I154" s="19">
        <v>231951.43</v>
      </c>
      <c r="J154" s="19">
        <v>565.96</v>
      </c>
      <c r="K154" s="20">
        <v>2.3999999999999998E-3</v>
      </c>
      <c r="L154" s="18">
        <v>65104.87</v>
      </c>
      <c r="M154" s="19">
        <v>63800.78</v>
      </c>
      <c r="N154" s="19">
        <v>1304.0899999999999</v>
      </c>
      <c r="O154" s="20">
        <v>2.0400000000000001E-2</v>
      </c>
      <c r="P154" s="18">
        <v>3986.01</v>
      </c>
      <c r="Q154" s="19">
        <v>3868.26</v>
      </c>
      <c r="R154" s="19">
        <v>117.75</v>
      </c>
      <c r="S154" s="20">
        <v>3.04E-2</v>
      </c>
      <c r="T154" s="18">
        <v>163426.51</v>
      </c>
      <c r="U154" s="19">
        <v>161259.19</v>
      </c>
      <c r="V154" s="19">
        <v>2167.3200000000002</v>
      </c>
      <c r="W154" s="20">
        <v>1.34E-2</v>
      </c>
      <c r="X154" s="18">
        <v>95623.46</v>
      </c>
      <c r="Y154" s="19">
        <v>93342.17</v>
      </c>
      <c r="Z154" s="19">
        <v>2281.2800000000002</v>
      </c>
      <c r="AA154" s="20">
        <v>2.4400000000000002E-2</v>
      </c>
      <c r="AB154" s="18">
        <v>67803.05</v>
      </c>
      <c r="AC154" s="19">
        <v>64732.160000000003</v>
      </c>
      <c r="AD154" s="19">
        <v>3070.89</v>
      </c>
      <c r="AE154" s="20">
        <v>4.7399999999999998E-2</v>
      </c>
      <c r="AF154" s="2"/>
      <c r="AM154" s="4"/>
    </row>
    <row r="155" spans="1:39" x14ac:dyDescent="0.35">
      <c r="A155" s="16" t="s">
        <v>89</v>
      </c>
      <c r="B155" s="17" t="s">
        <v>74</v>
      </c>
      <c r="C155" s="17" t="s">
        <v>77</v>
      </c>
      <c r="D155" s="18">
        <v>35052748.579999998</v>
      </c>
      <c r="E155" s="19">
        <v>34224515.310000002</v>
      </c>
      <c r="F155" s="19">
        <v>828233.27</v>
      </c>
      <c r="G155" s="20">
        <v>2.4199999999999999E-2</v>
      </c>
      <c r="H155" s="18">
        <v>227842.87</v>
      </c>
      <c r="I155" s="19">
        <v>220735.2</v>
      </c>
      <c r="J155" s="19">
        <v>7107.67</v>
      </c>
      <c r="K155" s="20">
        <v>3.2199999999999999E-2</v>
      </c>
      <c r="L155" s="18">
        <v>72909.72</v>
      </c>
      <c r="M155" s="19">
        <v>69424.600000000006</v>
      </c>
      <c r="N155" s="19">
        <v>3485.12</v>
      </c>
      <c r="O155" s="20">
        <v>5.0200000000000002E-2</v>
      </c>
      <c r="P155" s="18">
        <v>6309.49</v>
      </c>
      <c r="Q155" s="19">
        <v>5951.23</v>
      </c>
      <c r="R155" s="19">
        <v>358.26</v>
      </c>
      <c r="S155" s="20">
        <v>6.0199999999999997E-2</v>
      </c>
      <c r="T155" s="18">
        <v>148623.65</v>
      </c>
      <c r="U155" s="19">
        <v>142468.99</v>
      </c>
      <c r="V155" s="19">
        <v>6154.66</v>
      </c>
      <c r="W155" s="20">
        <v>4.3200000000000002E-2</v>
      </c>
      <c r="X155" s="18">
        <v>93701.05</v>
      </c>
      <c r="Y155" s="19">
        <v>88883.56</v>
      </c>
      <c r="Z155" s="19">
        <v>4817.49</v>
      </c>
      <c r="AA155" s="20">
        <v>5.4199999999999998E-2</v>
      </c>
      <c r="AB155" s="18">
        <v>54922.6</v>
      </c>
      <c r="AC155" s="19">
        <v>50986.45</v>
      </c>
      <c r="AD155" s="19">
        <v>3936.15</v>
      </c>
      <c r="AE155" s="20">
        <v>7.7200000000000005E-2</v>
      </c>
      <c r="AF155" s="2"/>
      <c r="AM155" s="4"/>
    </row>
    <row r="156" spans="1:39" x14ac:dyDescent="0.35">
      <c r="A156" s="16" t="s">
        <v>89</v>
      </c>
      <c r="B156" s="17" t="s">
        <v>74</v>
      </c>
      <c r="C156" s="17" t="s">
        <v>78</v>
      </c>
      <c r="D156" s="18">
        <v>9395658.7799999993</v>
      </c>
      <c r="E156" s="19">
        <v>8744865.8599999994</v>
      </c>
      <c r="F156" s="19">
        <v>650792.92000000004</v>
      </c>
      <c r="G156" s="20">
        <v>7.4399999999999994E-2</v>
      </c>
      <c r="H156" s="18">
        <v>28186.98</v>
      </c>
      <c r="I156" s="19">
        <v>26040.71</v>
      </c>
      <c r="J156" s="19">
        <v>2146.27</v>
      </c>
      <c r="K156" s="20">
        <v>8.2400000000000001E-2</v>
      </c>
      <c r="L156" s="18">
        <v>5073.66</v>
      </c>
      <c r="M156" s="19">
        <v>4610.66</v>
      </c>
      <c r="N156" s="19">
        <v>463</v>
      </c>
      <c r="O156" s="20">
        <v>0.1004</v>
      </c>
      <c r="P156" s="18">
        <v>1691.22</v>
      </c>
      <c r="Q156" s="19">
        <v>1523.05</v>
      </c>
      <c r="R156" s="19">
        <v>168.17</v>
      </c>
      <c r="S156" s="20">
        <v>0.1104</v>
      </c>
      <c r="T156" s="18">
        <v>21422.1</v>
      </c>
      <c r="U156" s="19">
        <v>19591.830000000002</v>
      </c>
      <c r="V156" s="19">
        <v>1830.27</v>
      </c>
      <c r="W156" s="20">
        <v>9.3399999999999997E-2</v>
      </c>
      <c r="X156" s="18">
        <v>11591.98</v>
      </c>
      <c r="Y156" s="19">
        <v>10495.99</v>
      </c>
      <c r="Z156" s="19">
        <v>1095.99</v>
      </c>
      <c r="AA156" s="20">
        <v>0.10440000000000001</v>
      </c>
      <c r="AB156" s="18">
        <v>9830.1200000000008</v>
      </c>
      <c r="AC156" s="19">
        <v>8719.1299999999992</v>
      </c>
      <c r="AD156" s="19">
        <v>1110.99</v>
      </c>
      <c r="AE156" s="20">
        <v>0.12740000000000001</v>
      </c>
      <c r="AF156" s="2"/>
      <c r="AM156" s="4"/>
    </row>
    <row r="157" spans="1:39" x14ac:dyDescent="0.35">
      <c r="A157" s="16" t="s">
        <v>89</v>
      </c>
      <c r="B157" s="17" t="s">
        <v>74</v>
      </c>
      <c r="C157" s="17" t="s">
        <v>79</v>
      </c>
      <c r="D157" s="18">
        <v>14286491.699999999</v>
      </c>
      <c r="E157" s="19">
        <v>14068153.949999999</v>
      </c>
      <c r="F157" s="19">
        <v>218337.75</v>
      </c>
      <c r="G157" s="20">
        <v>1.55E-2</v>
      </c>
      <c r="H157" s="18">
        <v>64289.21</v>
      </c>
      <c r="I157" s="19">
        <v>62811.87</v>
      </c>
      <c r="J157" s="19">
        <v>1477.34</v>
      </c>
      <c r="K157" s="20">
        <v>2.35E-2</v>
      </c>
      <c r="L157" s="18">
        <v>14143.63</v>
      </c>
      <c r="M157" s="19">
        <v>13579.8</v>
      </c>
      <c r="N157" s="19">
        <v>563.83000000000004</v>
      </c>
      <c r="O157" s="20">
        <v>4.1500000000000002E-2</v>
      </c>
      <c r="P157" s="18">
        <v>2571.5700000000002</v>
      </c>
      <c r="Q157" s="19">
        <v>2445.5700000000002</v>
      </c>
      <c r="R157" s="19">
        <v>126</v>
      </c>
      <c r="S157" s="20">
        <v>5.1499999999999997E-2</v>
      </c>
      <c r="T157" s="18">
        <v>47574.02</v>
      </c>
      <c r="U157" s="19">
        <v>45986.559999999998</v>
      </c>
      <c r="V157" s="19">
        <v>1587.46</v>
      </c>
      <c r="W157" s="20">
        <v>3.4500000000000003E-2</v>
      </c>
      <c r="X157" s="18">
        <v>26439.13</v>
      </c>
      <c r="Y157" s="19">
        <v>25288.02</v>
      </c>
      <c r="Z157" s="19">
        <v>1151.1099999999999</v>
      </c>
      <c r="AA157" s="20">
        <v>4.5499999999999999E-2</v>
      </c>
      <c r="AB157" s="18">
        <v>21134.89</v>
      </c>
      <c r="AC157" s="19">
        <v>19779.599999999999</v>
      </c>
      <c r="AD157" s="19">
        <v>1355.3</v>
      </c>
      <c r="AE157" s="20">
        <v>6.8500000000000005E-2</v>
      </c>
      <c r="AF157" s="2"/>
      <c r="AM157" s="4"/>
    </row>
    <row r="158" spans="1:39" x14ac:dyDescent="0.35">
      <c r="A158" s="16" t="s">
        <v>89</v>
      </c>
      <c r="B158" s="17" t="s">
        <v>80</v>
      </c>
      <c r="C158" s="17" t="s">
        <v>75</v>
      </c>
      <c r="D158" s="18">
        <v>7084434.5300000003</v>
      </c>
      <c r="E158" s="19">
        <v>6993380.71</v>
      </c>
      <c r="F158" s="19">
        <v>91053.82</v>
      </c>
      <c r="G158" s="20">
        <v>1.2999999999999999E-2</v>
      </c>
      <c r="H158" s="18">
        <v>53133.26</v>
      </c>
      <c r="I158" s="19">
        <v>52039.39</v>
      </c>
      <c r="J158" s="19">
        <v>1093.8699999999999</v>
      </c>
      <c r="K158" s="20">
        <v>2.1000000000000001E-2</v>
      </c>
      <c r="L158" s="18">
        <v>18596.64</v>
      </c>
      <c r="M158" s="19">
        <v>17898.25</v>
      </c>
      <c r="N158" s="19">
        <v>698.39</v>
      </c>
      <c r="O158" s="20">
        <v>3.9E-2</v>
      </c>
      <c r="P158" s="18">
        <v>637.6</v>
      </c>
      <c r="Q158" s="19">
        <v>607.80999999999995</v>
      </c>
      <c r="R158" s="19">
        <v>29.79</v>
      </c>
      <c r="S158" s="20">
        <v>4.9000000000000002E-2</v>
      </c>
      <c r="T158" s="18">
        <v>33899.019999999997</v>
      </c>
      <c r="U158" s="19">
        <v>32847.25</v>
      </c>
      <c r="V158" s="19">
        <v>1051.77</v>
      </c>
      <c r="W158" s="20">
        <v>3.2000000000000001E-2</v>
      </c>
      <c r="X158" s="18">
        <v>21851.21</v>
      </c>
      <c r="Y158" s="19">
        <v>20949.939999999999</v>
      </c>
      <c r="Z158" s="19">
        <v>901.27</v>
      </c>
      <c r="AA158" s="20">
        <v>4.2999999999999997E-2</v>
      </c>
      <c r="AB158" s="18">
        <v>12047.81</v>
      </c>
      <c r="AC158" s="19">
        <v>11301.67</v>
      </c>
      <c r="AD158" s="19">
        <v>746.14</v>
      </c>
      <c r="AE158" s="20">
        <v>6.6000000000000003E-2</v>
      </c>
      <c r="AF158" s="2"/>
      <c r="AM158" s="4"/>
    </row>
    <row r="159" spans="1:39" x14ac:dyDescent="0.35">
      <c r="A159" s="16" t="s">
        <v>89</v>
      </c>
      <c r="B159" s="17" t="s">
        <v>80</v>
      </c>
      <c r="C159" s="17" t="s">
        <v>76</v>
      </c>
      <c r="D159" s="18">
        <v>10929217.27</v>
      </c>
      <c r="E159" s="19">
        <v>11066441.140000001</v>
      </c>
      <c r="F159" s="19">
        <v>-137223.87</v>
      </c>
      <c r="G159" s="20">
        <v>-1.24E-2</v>
      </c>
      <c r="H159" s="18">
        <v>114756.78</v>
      </c>
      <c r="I159" s="19">
        <v>115263.94</v>
      </c>
      <c r="J159" s="19">
        <v>-507.16</v>
      </c>
      <c r="K159" s="20">
        <v>-4.4000000000000003E-3</v>
      </c>
      <c r="L159" s="18">
        <v>32131.9</v>
      </c>
      <c r="M159" s="19">
        <v>31700.77</v>
      </c>
      <c r="N159" s="19">
        <v>431.13</v>
      </c>
      <c r="O159" s="20">
        <v>1.3599999999999999E-2</v>
      </c>
      <c r="P159" s="18">
        <v>983.63</v>
      </c>
      <c r="Q159" s="19">
        <v>960.95</v>
      </c>
      <c r="R159" s="19">
        <v>22.68</v>
      </c>
      <c r="S159" s="20">
        <v>2.3599999999999999E-2</v>
      </c>
      <c r="T159" s="18">
        <v>81641.25</v>
      </c>
      <c r="U159" s="19">
        <v>81105.95</v>
      </c>
      <c r="V159" s="19">
        <v>535.29999999999995</v>
      </c>
      <c r="W159" s="20">
        <v>6.6E-3</v>
      </c>
      <c r="X159" s="18">
        <v>47194.06</v>
      </c>
      <c r="Y159" s="19">
        <v>46377.81</v>
      </c>
      <c r="Z159" s="19">
        <v>816.25</v>
      </c>
      <c r="AA159" s="20">
        <v>1.7600000000000001E-2</v>
      </c>
      <c r="AB159" s="18">
        <v>34447.19</v>
      </c>
      <c r="AC159" s="19">
        <v>33103.199999999997</v>
      </c>
      <c r="AD159" s="19">
        <v>1343.99</v>
      </c>
      <c r="AE159" s="20">
        <v>4.0599999999999997E-2</v>
      </c>
      <c r="AF159" s="2"/>
      <c r="AM159" s="4"/>
    </row>
    <row r="160" spans="1:39" x14ac:dyDescent="0.35">
      <c r="A160" s="16" t="s">
        <v>89</v>
      </c>
      <c r="B160" s="17" t="s">
        <v>80</v>
      </c>
      <c r="C160" s="17" t="s">
        <v>77</v>
      </c>
      <c r="D160" s="18">
        <v>17307767.309999999</v>
      </c>
      <c r="E160" s="19">
        <v>17012431.5</v>
      </c>
      <c r="F160" s="19">
        <v>295335.81</v>
      </c>
      <c r="G160" s="20">
        <v>1.7399999999999999E-2</v>
      </c>
      <c r="H160" s="18">
        <v>112500.49</v>
      </c>
      <c r="I160" s="19">
        <v>109718.04</v>
      </c>
      <c r="J160" s="19">
        <v>2782.45</v>
      </c>
      <c r="K160" s="20">
        <v>2.5399999999999999E-2</v>
      </c>
      <c r="L160" s="18">
        <v>36000.160000000003</v>
      </c>
      <c r="M160" s="19">
        <v>34504.06</v>
      </c>
      <c r="N160" s="19">
        <v>1496.1</v>
      </c>
      <c r="O160" s="20">
        <v>4.3400000000000001E-2</v>
      </c>
      <c r="P160" s="18">
        <v>1557.7</v>
      </c>
      <c r="Q160" s="19">
        <v>1478.79</v>
      </c>
      <c r="R160" s="19">
        <v>78.91</v>
      </c>
      <c r="S160" s="20">
        <v>5.3400000000000003E-2</v>
      </c>
      <c r="T160" s="18">
        <v>74942.63</v>
      </c>
      <c r="U160" s="19">
        <v>72313.320000000007</v>
      </c>
      <c r="V160" s="19">
        <v>2629.31</v>
      </c>
      <c r="W160" s="20">
        <v>3.6400000000000002E-2</v>
      </c>
      <c r="X160" s="18">
        <v>46266.16</v>
      </c>
      <c r="Y160" s="19">
        <v>44174.07</v>
      </c>
      <c r="Z160" s="19">
        <v>2092.08</v>
      </c>
      <c r="AA160" s="20">
        <v>4.7399999999999998E-2</v>
      </c>
      <c r="AB160" s="18">
        <v>28676.47</v>
      </c>
      <c r="AC160" s="19">
        <v>26791.43</v>
      </c>
      <c r="AD160" s="19">
        <v>1885.04</v>
      </c>
      <c r="AE160" s="20">
        <v>7.0400000000000004E-2</v>
      </c>
      <c r="AF160" s="2"/>
      <c r="AM160" s="4"/>
    </row>
    <row r="161" spans="1:39" x14ac:dyDescent="0.35">
      <c r="A161" s="16" t="s">
        <v>89</v>
      </c>
      <c r="B161" s="17" t="s">
        <v>80</v>
      </c>
      <c r="C161" s="17" t="s">
        <v>78</v>
      </c>
      <c r="D161" s="18">
        <v>4637139.5199999996</v>
      </c>
      <c r="E161" s="19">
        <v>4343599.09</v>
      </c>
      <c r="F161" s="19">
        <v>293540.43</v>
      </c>
      <c r="G161" s="20">
        <v>6.7599999999999993E-2</v>
      </c>
      <c r="H161" s="18">
        <v>13911.42</v>
      </c>
      <c r="I161" s="19">
        <v>12933.88</v>
      </c>
      <c r="J161" s="19">
        <v>977.54</v>
      </c>
      <c r="K161" s="20">
        <v>7.5600000000000001E-2</v>
      </c>
      <c r="L161" s="18">
        <v>2504.06</v>
      </c>
      <c r="M161" s="19">
        <v>2289.7800000000002</v>
      </c>
      <c r="N161" s="19">
        <v>214.28</v>
      </c>
      <c r="O161" s="20">
        <v>9.3600000000000003E-2</v>
      </c>
      <c r="P161" s="18">
        <v>417.34</v>
      </c>
      <c r="Q161" s="19">
        <v>378.17</v>
      </c>
      <c r="R161" s="19">
        <v>39.17</v>
      </c>
      <c r="S161" s="20">
        <v>0.1036</v>
      </c>
      <c r="T161" s="18">
        <v>10990.02</v>
      </c>
      <c r="U161" s="19">
        <v>10114.32</v>
      </c>
      <c r="V161" s="19">
        <v>875.7</v>
      </c>
      <c r="W161" s="20">
        <v>8.6599999999999996E-2</v>
      </c>
      <c r="X161" s="18">
        <v>5721.11</v>
      </c>
      <c r="Y161" s="19">
        <v>5212.4799999999996</v>
      </c>
      <c r="Z161" s="19">
        <v>508.63</v>
      </c>
      <c r="AA161" s="20">
        <v>9.7600000000000006E-2</v>
      </c>
      <c r="AB161" s="18">
        <v>5268.91</v>
      </c>
      <c r="AC161" s="19">
        <v>4701.95</v>
      </c>
      <c r="AD161" s="19">
        <v>566.96</v>
      </c>
      <c r="AE161" s="20">
        <v>0.1206</v>
      </c>
      <c r="AF161" s="2"/>
      <c r="AM161" s="4"/>
    </row>
    <row r="162" spans="1:39" x14ac:dyDescent="0.35">
      <c r="A162" s="16" t="s">
        <v>89</v>
      </c>
      <c r="B162" s="17" t="s">
        <v>80</v>
      </c>
      <c r="C162" s="17" t="s">
        <v>79</v>
      </c>
      <c r="D162" s="18">
        <v>7050964.3700000001</v>
      </c>
      <c r="E162" s="19">
        <v>6990288.6600000001</v>
      </c>
      <c r="F162" s="19">
        <v>60675.71</v>
      </c>
      <c r="G162" s="20">
        <v>8.6999999999999994E-3</v>
      </c>
      <c r="H162" s="18">
        <v>31729.34</v>
      </c>
      <c r="I162" s="19">
        <v>31208.78</v>
      </c>
      <c r="J162" s="19">
        <v>520.55999999999995</v>
      </c>
      <c r="K162" s="20">
        <v>1.67E-2</v>
      </c>
      <c r="L162" s="18">
        <v>6980.45</v>
      </c>
      <c r="M162" s="19">
        <v>6746.48</v>
      </c>
      <c r="N162" s="19">
        <v>233.97</v>
      </c>
      <c r="O162" s="20">
        <v>3.4700000000000002E-2</v>
      </c>
      <c r="P162" s="18">
        <v>634.59</v>
      </c>
      <c r="Q162" s="19">
        <v>607.45000000000005</v>
      </c>
      <c r="R162" s="19">
        <v>27.14</v>
      </c>
      <c r="S162" s="20">
        <v>4.4699999999999997E-2</v>
      </c>
      <c r="T162" s="18">
        <v>24114.3</v>
      </c>
      <c r="U162" s="19">
        <v>23464.79</v>
      </c>
      <c r="V162" s="19">
        <v>649.51</v>
      </c>
      <c r="W162" s="20">
        <v>2.7699999999999999E-2</v>
      </c>
      <c r="X162" s="18">
        <v>13048.78</v>
      </c>
      <c r="Y162" s="19">
        <v>12562.85</v>
      </c>
      <c r="Z162" s="19">
        <v>485.93</v>
      </c>
      <c r="AA162" s="20">
        <v>3.8699999999999998E-2</v>
      </c>
      <c r="AB162" s="18">
        <v>11065.52</v>
      </c>
      <c r="AC162" s="19">
        <v>10422.65</v>
      </c>
      <c r="AD162" s="19">
        <v>642.87</v>
      </c>
      <c r="AE162" s="20">
        <v>6.1699999999999998E-2</v>
      </c>
      <c r="AF162" s="2"/>
      <c r="AM162" s="4"/>
    </row>
    <row r="163" spans="1:39" x14ac:dyDescent="0.35">
      <c r="A163" s="16" t="s">
        <v>89</v>
      </c>
      <c r="B163" s="17" t="s">
        <v>81</v>
      </c>
      <c r="C163" s="17" t="s">
        <v>75</v>
      </c>
      <c r="D163" s="18">
        <v>9664846.8599999994</v>
      </c>
      <c r="E163" s="19">
        <v>9430959.0700000003</v>
      </c>
      <c r="F163" s="19">
        <v>233887.79</v>
      </c>
      <c r="G163" s="20">
        <v>2.4799999999999999E-2</v>
      </c>
      <c r="H163" s="18">
        <v>72486.350000000006</v>
      </c>
      <c r="I163" s="19">
        <v>70184.3</v>
      </c>
      <c r="J163" s="19">
        <v>2302.0500000000002</v>
      </c>
      <c r="K163" s="20">
        <v>3.2800000000000003E-2</v>
      </c>
      <c r="L163" s="18">
        <v>25370.22</v>
      </c>
      <c r="M163" s="19">
        <v>24143.72</v>
      </c>
      <c r="N163" s="19">
        <v>1226.5</v>
      </c>
      <c r="O163" s="20">
        <v>5.0799999999999998E-2</v>
      </c>
      <c r="P163" s="18">
        <v>1932.97</v>
      </c>
      <c r="Q163" s="19">
        <v>1822.18</v>
      </c>
      <c r="R163" s="19">
        <v>110.79</v>
      </c>
      <c r="S163" s="20">
        <v>6.08E-2</v>
      </c>
      <c r="T163" s="18">
        <v>45183.16</v>
      </c>
      <c r="U163" s="19">
        <v>43287.18</v>
      </c>
      <c r="V163" s="19">
        <v>1895.98</v>
      </c>
      <c r="W163" s="20">
        <v>4.3799999999999999E-2</v>
      </c>
      <c r="X163" s="18">
        <v>29810.22</v>
      </c>
      <c r="Y163" s="19">
        <v>28261.49</v>
      </c>
      <c r="Z163" s="19">
        <v>1548.73</v>
      </c>
      <c r="AA163" s="20">
        <v>5.4800000000000001E-2</v>
      </c>
      <c r="AB163" s="18">
        <v>15372.94</v>
      </c>
      <c r="AC163" s="19">
        <v>14263.26</v>
      </c>
      <c r="AD163" s="19">
        <v>1109.68</v>
      </c>
      <c r="AE163" s="20">
        <v>7.7799999999999994E-2</v>
      </c>
      <c r="AF163" s="2"/>
      <c r="AM163" s="4"/>
    </row>
    <row r="164" spans="1:39" x14ac:dyDescent="0.35">
      <c r="A164" s="16" t="s">
        <v>89</v>
      </c>
      <c r="B164" s="17" t="s">
        <v>81</v>
      </c>
      <c r="C164" s="17" t="s">
        <v>76</v>
      </c>
      <c r="D164" s="18">
        <v>14920046.220000001</v>
      </c>
      <c r="E164" s="19">
        <v>14929302.390000001</v>
      </c>
      <c r="F164" s="19">
        <v>-9256.17</v>
      </c>
      <c r="G164" s="20">
        <v>-5.9999999999999995E-4</v>
      </c>
      <c r="H164" s="18">
        <v>156660.49</v>
      </c>
      <c r="I164" s="19">
        <v>155512.81</v>
      </c>
      <c r="J164" s="19">
        <v>1147.68</v>
      </c>
      <c r="K164" s="20">
        <v>7.4000000000000003E-3</v>
      </c>
      <c r="L164" s="18">
        <v>43864.94</v>
      </c>
      <c r="M164" s="19">
        <v>42779.199999999997</v>
      </c>
      <c r="N164" s="19">
        <v>1085.74</v>
      </c>
      <c r="O164" s="20">
        <v>2.5399999999999999E-2</v>
      </c>
      <c r="P164" s="18">
        <v>2984.01</v>
      </c>
      <c r="Q164" s="19">
        <v>2882.04</v>
      </c>
      <c r="R164" s="19">
        <v>101.97</v>
      </c>
      <c r="S164" s="20">
        <v>3.5400000000000001E-2</v>
      </c>
      <c r="T164" s="18">
        <v>109811.54</v>
      </c>
      <c r="U164" s="19">
        <v>107829.63</v>
      </c>
      <c r="V164" s="19">
        <v>1981.91</v>
      </c>
      <c r="W164" s="20">
        <v>1.84E-2</v>
      </c>
      <c r="X164" s="18">
        <v>64427.09</v>
      </c>
      <c r="Y164" s="19">
        <v>62588.24</v>
      </c>
      <c r="Z164" s="19">
        <v>1838.84</v>
      </c>
      <c r="AA164" s="20">
        <v>2.9399999999999999E-2</v>
      </c>
      <c r="AB164" s="18">
        <v>45384.45</v>
      </c>
      <c r="AC164" s="19">
        <v>43125.54</v>
      </c>
      <c r="AD164" s="19">
        <v>2258.92</v>
      </c>
      <c r="AE164" s="20">
        <v>5.2400000000000002E-2</v>
      </c>
      <c r="AF164" s="2"/>
      <c r="AM164" s="4"/>
    </row>
    <row r="165" spans="1:39" x14ac:dyDescent="0.35">
      <c r="A165" s="16" t="s">
        <v>89</v>
      </c>
      <c r="B165" s="17" t="s">
        <v>81</v>
      </c>
      <c r="C165" s="17" t="s">
        <v>77</v>
      </c>
      <c r="D165" s="18">
        <v>23611894.5</v>
      </c>
      <c r="E165" s="19">
        <v>22943325.98</v>
      </c>
      <c r="F165" s="19">
        <v>668568.52</v>
      </c>
      <c r="G165" s="20">
        <v>2.9100000000000001E-2</v>
      </c>
      <c r="H165" s="18">
        <v>153477.31</v>
      </c>
      <c r="I165" s="19">
        <v>147981.29</v>
      </c>
      <c r="J165" s="19">
        <v>5496.02</v>
      </c>
      <c r="K165" s="20">
        <v>3.7100000000000001E-2</v>
      </c>
      <c r="L165" s="18">
        <v>49112.74</v>
      </c>
      <c r="M165" s="19">
        <v>46546.18</v>
      </c>
      <c r="N165" s="19">
        <v>2566.56</v>
      </c>
      <c r="O165" s="20">
        <v>5.5100000000000003E-2</v>
      </c>
      <c r="P165" s="18">
        <v>4722.38</v>
      </c>
      <c r="Q165" s="19">
        <v>4433.58</v>
      </c>
      <c r="R165" s="19">
        <v>288.8</v>
      </c>
      <c r="S165" s="20">
        <v>6.5100000000000005E-2</v>
      </c>
      <c r="T165" s="18">
        <v>99642.19</v>
      </c>
      <c r="U165" s="19">
        <v>95065.73</v>
      </c>
      <c r="V165" s="19">
        <v>4576.46</v>
      </c>
      <c r="W165" s="20">
        <v>4.8099999999999997E-2</v>
      </c>
      <c r="X165" s="18">
        <v>63117.99</v>
      </c>
      <c r="Y165" s="19">
        <v>59593.63</v>
      </c>
      <c r="Z165" s="19">
        <v>3524.37</v>
      </c>
      <c r="AA165" s="20">
        <v>5.91E-2</v>
      </c>
      <c r="AB165" s="18">
        <v>36524.199999999997</v>
      </c>
      <c r="AC165" s="19">
        <v>33751.82</v>
      </c>
      <c r="AD165" s="19">
        <v>2772.37</v>
      </c>
      <c r="AE165" s="20">
        <v>8.2100000000000006E-2</v>
      </c>
      <c r="AF165" s="2"/>
      <c r="AM165" s="4"/>
    </row>
    <row r="166" spans="1:39" x14ac:dyDescent="0.35">
      <c r="A166" s="16" t="s">
        <v>89</v>
      </c>
      <c r="B166" s="17" t="s">
        <v>81</v>
      </c>
      <c r="C166" s="17" t="s">
        <v>78</v>
      </c>
      <c r="D166" s="18">
        <v>6330401.7400000002</v>
      </c>
      <c r="E166" s="19">
        <v>5864958.6200000001</v>
      </c>
      <c r="F166" s="19">
        <v>465443.12</v>
      </c>
      <c r="G166" s="20">
        <v>7.9399999999999998E-2</v>
      </c>
      <c r="H166" s="18">
        <v>18991.21</v>
      </c>
      <c r="I166" s="19">
        <v>17465.43</v>
      </c>
      <c r="J166" s="19">
        <v>1525.78</v>
      </c>
      <c r="K166" s="20">
        <v>8.7400000000000005E-2</v>
      </c>
      <c r="L166" s="18">
        <v>3418.42</v>
      </c>
      <c r="M166" s="19">
        <v>3092.59</v>
      </c>
      <c r="N166" s="19">
        <v>325.83</v>
      </c>
      <c r="O166" s="20">
        <v>0.10539999999999999</v>
      </c>
      <c r="P166" s="18">
        <v>1266.08</v>
      </c>
      <c r="Q166" s="19">
        <v>1135.1300000000001</v>
      </c>
      <c r="R166" s="19">
        <v>130.94999999999999</v>
      </c>
      <c r="S166" s="20">
        <v>0.1154</v>
      </c>
      <c r="T166" s="18">
        <v>14306.71</v>
      </c>
      <c r="U166" s="19">
        <v>13025.52</v>
      </c>
      <c r="V166" s="19">
        <v>1281.19</v>
      </c>
      <c r="W166" s="20">
        <v>9.8400000000000001E-2</v>
      </c>
      <c r="X166" s="18">
        <v>7810.19</v>
      </c>
      <c r="Y166" s="19">
        <v>7040.27</v>
      </c>
      <c r="Z166" s="19">
        <v>769.92</v>
      </c>
      <c r="AA166" s="20">
        <v>0.1094</v>
      </c>
      <c r="AB166" s="18">
        <v>6496.52</v>
      </c>
      <c r="AC166" s="19">
        <v>5737.15</v>
      </c>
      <c r="AD166" s="19">
        <v>759.37</v>
      </c>
      <c r="AE166" s="20">
        <v>0.13239999999999999</v>
      </c>
      <c r="AF166" s="2"/>
      <c r="AM166" s="4"/>
    </row>
    <row r="167" spans="1:39" x14ac:dyDescent="0.35">
      <c r="A167" s="16" t="s">
        <v>89</v>
      </c>
      <c r="B167" s="17" t="s">
        <v>81</v>
      </c>
      <c r="C167" s="17" t="s">
        <v>79</v>
      </c>
      <c r="D167" s="18">
        <v>9625640.3100000005</v>
      </c>
      <c r="E167" s="19">
        <v>9432648.3300000001</v>
      </c>
      <c r="F167" s="19">
        <v>192991.98</v>
      </c>
      <c r="G167" s="20">
        <v>2.0500000000000001E-2</v>
      </c>
      <c r="H167" s="18">
        <v>43315.38</v>
      </c>
      <c r="I167" s="19">
        <v>42116.74</v>
      </c>
      <c r="J167" s="19">
        <v>1198.6400000000001</v>
      </c>
      <c r="K167" s="20">
        <v>2.8500000000000001E-2</v>
      </c>
      <c r="L167" s="18">
        <v>9529.3799999999992</v>
      </c>
      <c r="M167" s="19">
        <v>9106.2999999999993</v>
      </c>
      <c r="N167" s="19">
        <v>423.08</v>
      </c>
      <c r="O167" s="20">
        <v>4.65E-2</v>
      </c>
      <c r="P167" s="18">
        <v>1925.13</v>
      </c>
      <c r="Q167" s="19">
        <v>1822.25</v>
      </c>
      <c r="R167" s="19">
        <v>102.88</v>
      </c>
      <c r="S167" s="20">
        <v>5.6500000000000002E-2</v>
      </c>
      <c r="T167" s="18">
        <v>31860.87</v>
      </c>
      <c r="U167" s="19">
        <v>30651.37</v>
      </c>
      <c r="V167" s="19">
        <v>1209.5</v>
      </c>
      <c r="W167" s="20">
        <v>3.95E-2</v>
      </c>
      <c r="X167" s="18">
        <v>17813.580000000002</v>
      </c>
      <c r="Y167" s="19">
        <v>16957.88</v>
      </c>
      <c r="Z167" s="19">
        <v>855.69</v>
      </c>
      <c r="AA167" s="20">
        <v>5.0500000000000003E-2</v>
      </c>
      <c r="AB167" s="18">
        <v>14047.29</v>
      </c>
      <c r="AC167" s="19">
        <v>13086</v>
      </c>
      <c r="AD167" s="19">
        <v>961.3</v>
      </c>
      <c r="AE167" s="20">
        <v>7.3499999999999996E-2</v>
      </c>
      <c r="AF167" s="2"/>
      <c r="AM167" s="4"/>
    </row>
    <row r="168" spans="1:39" x14ac:dyDescent="0.35">
      <c r="A168" s="16" t="s">
        <v>89</v>
      </c>
      <c r="B168" s="17" t="s">
        <v>82</v>
      </c>
      <c r="C168" s="17" t="s">
        <v>75</v>
      </c>
      <c r="D168" s="18">
        <v>11540422.800000001</v>
      </c>
      <c r="E168" s="19">
        <v>11358013.109999999</v>
      </c>
      <c r="F168" s="19">
        <v>182409.69</v>
      </c>
      <c r="G168" s="20">
        <v>1.61E-2</v>
      </c>
      <c r="H168" s="18">
        <v>86553.17</v>
      </c>
      <c r="I168" s="19">
        <v>84519.63</v>
      </c>
      <c r="J168" s="19">
        <v>2033.54</v>
      </c>
      <c r="K168" s="20">
        <v>2.41E-2</v>
      </c>
      <c r="L168" s="18">
        <v>30293.61</v>
      </c>
      <c r="M168" s="19">
        <v>29070.89</v>
      </c>
      <c r="N168" s="19">
        <v>1222.72</v>
      </c>
      <c r="O168" s="20">
        <v>4.2099999999999999E-2</v>
      </c>
      <c r="P168" s="18">
        <v>1731.06</v>
      </c>
      <c r="Q168" s="19">
        <v>1645.4</v>
      </c>
      <c r="R168" s="19">
        <v>85.66</v>
      </c>
      <c r="S168" s="20">
        <v>5.21E-2</v>
      </c>
      <c r="T168" s="18">
        <v>54528.5</v>
      </c>
      <c r="U168" s="19">
        <v>52681.49</v>
      </c>
      <c r="V168" s="19">
        <v>1847.01</v>
      </c>
      <c r="W168" s="20">
        <v>3.5099999999999999E-2</v>
      </c>
      <c r="X168" s="18">
        <v>35595.24</v>
      </c>
      <c r="Y168" s="19">
        <v>34027.919999999998</v>
      </c>
      <c r="Z168" s="19">
        <v>1567.33</v>
      </c>
      <c r="AA168" s="20">
        <v>4.6100000000000002E-2</v>
      </c>
      <c r="AB168" s="18">
        <v>18933.259999999998</v>
      </c>
      <c r="AC168" s="19">
        <v>17710.189999999999</v>
      </c>
      <c r="AD168" s="19">
        <v>1223.07</v>
      </c>
      <c r="AE168" s="20">
        <v>6.9099999999999995E-2</v>
      </c>
      <c r="AF168" s="2"/>
      <c r="AM168" s="4"/>
    </row>
    <row r="169" spans="1:39" x14ac:dyDescent="0.35">
      <c r="A169" s="16" t="s">
        <v>89</v>
      </c>
      <c r="B169" s="17" t="s">
        <v>82</v>
      </c>
      <c r="C169" s="17" t="s">
        <v>76</v>
      </c>
      <c r="D169" s="18">
        <v>17813509.710000001</v>
      </c>
      <c r="E169" s="19">
        <v>17981819.539999999</v>
      </c>
      <c r="F169" s="19">
        <v>-168309.83</v>
      </c>
      <c r="G169" s="20">
        <v>-9.4000000000000004E-3</v>
      </c>
      <c r="H169" s="18">
        <v>187041.85</v>
      </c>
      <c r="I169" s="19">
        <v>187296.57</v>
      </c>
      <c r="J169" s="19">
        <v>-254.72</v>
      </c>
      <c r="K169" s="20">
        <v>-1.4E-3</v>
      </c>
      <c r="L169" s="18">
        <v>52371.72</v>
      </c>
      <c r="M169" s="19">
        <v>51514.52</v>
      </c>
      <c r="N169" s="19">
        <v>857.2</v>
      </c>
      <c r="O169" s="20">
        <v>1.66E-2</v>
      </c>
      <c r="P169" s="18">
        <v>2672.03</v>
      </c>
      <c r="Q169" s="19">
        <v>2602.69</v>
      </c>
      <c r="R169" s="19">
        <v>69.34</v>
      </c>
      <c r="S169" s="20">
        <v>2.6599999999999999E-2</v>
      </c>
      <c r="T169" s="18">
        <v>131998.10999999999</v>
      </c>
      <c r="U169" s="19">
        <v>130737.8</v>
      </c>
      <c r="V169" s="19">
        <v>1260.31</v>
      </c>
      <c r="W169" s="20">
        <v>9.5999999999999992E-3</v>
      </c>
      <c r="X169" s="18">
        <v>76921.509999999995</v>
      </c>
      <c r="Y169" s="19">
        <v>75365.95</v>
      </c>
      <c r="Z169" s="19">
        <v>1555.55</v>
      </c>
      <c r="AA169" s="20">
        <v>2.06E-2</v>
      </c>
      <c r="AB169" s="18">
        <v>55076.6</v>
      </c>
      <c r="AC169" s="19">
        <v>52773.56</v>
      </c>
      <c r="AD169" s="19">
        <v>2303.04</v>
      </c>
      <c r="AE169" s="20">
        <v>4.36E-2</v>
      </c>
      <c r="AF169" s="2"/>
      <c r="AM169" s="4"/>
    </row>
    <row r="170" spans="1:39" x14ac:dyDescent="0.35">
      <c r="A170" s="16" t="s">
        <v>89</v>
      </c>
      <c r="B170" s="17" t="s">
        <v>82</v>
      </c>
      <c r="C170" s="17" t="s">
        <v>77</v>
      </c>
      <c r="D170" s="18">
        <v>28194057.23</v>
      </c>
      <c r="E170" s="19">
        <v>27630397.129999999</v>
      </c>
      <c r="F170" s="19">
        <v>563660.1</v>
      </c>
      <c r="G170" s="20">
        <v>2.0400000000000001E-2</v>
      </c>
      <c r="H170" s="18">
        <v>183261.37</v>
      </c>
      <c r="I170" s="19">
        <v>178200.48</v>
      </c>
      <c r="J170" s="19">
        <v>5060.8900000000003</v>
      </c>
      <c r="K170" s="20">
        <v>2.8400000000000002E-2</v>
      </c>
      <c r="L170" s="18">
        <v>58643.64</v>
      </c>
      <c r="M170" s="19">
        <v>56043.23</v>
      </c>
      <c r="N170" s="19">
        <v>2600.41</v>
      </c>
      <c r="O170" s="20">
        <v>4.6399999999999997E-2</v>
      </c>
      <c r="P170" s="18">
        <v>4229.1099999999997</v>
      </c>
      <c r="Q170" s="19">
        <v>4003.32</v>
      </c>
      <c r="R170" s="19">
        <v>225.79</v>
      </c>
      <c r="S170" s="20">
        <v>5.6399999999999999E-2</v>
      </c>
      <c r="T170" s="18">
        <v>120388.62</v>
      </c>
      <c r="U170" s="19">
        <v>115825.11</v>
      </c>
      <c r="V170" s="19">
        <v>4563.51</v>
      </c>
      <c r="W170" s="20">
        <v>3.9399999999999998E-2</v>
      </c>
      <c r="X170" s="18">
        <v>75366.77</v>
      </c>
      <c r="Y170" s="19">
        <v>71750.55</v>
      </c>
      <c r="Z170" s="19">
        <v>3616.23</v>
      </c>
      <c r="AA170" s="20">
        <v>5.04E-2</v>
      </c>
      <c r="AB170" s="18">
        <v>45021.85</v>
      </c>
      <c r="AC170" s="19">
        <v>41943.21</v>
      </c>
      <c r="AD170" s="19">
        <v>3078.63</v>
      </c>
      <c r="AE170" s="20">
        <v>7.3400000000000007E-2</v>
      </c>
      <c r="AF170" s="2"/>
      <c r="AM170" s="4"/>
    </row>
    <row r="171" spans="1:39" x14ac:dyDescent="0.35">
      <c r="A171" s="16" t="s">
        <v>89</v>
      </c>
      <c r="B171" s="17" t="s">
        <v>82</v>
      </c>
      <c r="C171" s="17" t="s">
        <v>78</v>
      </c>
      <c r="D171" s="18">
        <v>7558064.5700000003</v>
      </c>
      <c r="E171" s="19">
        <v>7059521.1799999997</v>
      </c>
      <c r="F171" s="19">
        <v>498543.39</v>
      </c>
      <c r="G171" s="20">
        <v>7.0599999999999996E-2</v>
      </c>
      <c r="H171" s="18">
        <v>22674.19</v>
      </c>
      <c r="I171" s="19">
        <v>21021.48</v>
      </c>
      <c r="J171" s="19">
        <v>1652.71</v>
      </c>
      <c r="K171" s="20">
        <v>7.8600000000000003E-2</v>
      </c>
      <c r="L171" s="18">
        <v>4081.35</v>
      </c>
      <c r="M171" s="19">
        <v>3721.75</v>
      </c>
      <c r="N171" s="19">
        <v>359.6</v>
      </c>
      <c r="O171" s="20">
        <v>9.6600000000000005E-2</v>
      </c>
      <c r="P171" s="18">
        <v>1133.71</v>
      </c>
      <c r="Q171" s="19">
        <v>1024.48</v>
      </c>
      <c r="R171" s="19">
        <v>109.23</v>
      </c>
      <c r="S171" s="20">
        <v>0.1066</v>
      </c>
      <c r="T171" s="18">
        <v>17459.13</v>
      </c>
      <c r="U171" s="19">
        <v>16023.14</v>
      </c>
      <c r="V171" s="19">
        <v>1435.99</v>
      </c>
      <c r="W171" s="20">
        <v>8.9599999999999999E-2</v>
      </c>
      <c r="X171" s="18">
        <v>9324.83</v>
      </c>
      <c r="Y171" s="19">
        <v>8472.34</v>
      </c>
      <c r="Z171" s="19">
        <v>852.49</v>
      </c>
      <c r="AA171" s="20">
        <v>0.10059999999999999</v>
      </c>
      <c r="AB171" s="18">
        <v>8134.3</v>
      </c>
      <c r="AC171" s="19">
        <v>7239.37</v>
      </c>
      <c r="AD171" s="19">
        <v>894.93</v>
      </c>
      <c r="AE171" s="20">
        <v>0.1236</v>
      </c>
      <c r="AF171" s="2"/>
      <c r="AM171" s="4"/>
    </row>
    <row r="172" spans="1:39" x14ac:dyDescent="0.35">
      <c r="A172" s="16" t="s">
        <v>89</v>
      </c>
      <c r="B172" s="17" t="s">
        <v>82</v>
      </c>
      <c r="C172" s="17" t="s">
        <v>79</v>
      </c>
      <c r="D172" s="18">
        <v>11492352.939999999</v>
      </c>
      <c r="E172" s="19">
        <v>11359222.85</v>
      </c>
      <c r="F172" s="19">
        <v>133130.09</v>
      </c>
      <c r="G172" s="20">
        <v>1.17E-2</v>
      </c>
      <c r="H172" s="18">
        <v>51715.59</v>
      </c>
      <c r="I172" s="19">
        <v>50715.48</v>
      </c>
      <c r="J172" s="19">
        <v>1000.11</v>
      </c>
      <c r="K172" s="20">
        <v>1.9699999999999999E-2</v>
      </c>
      <c r="L172" s="18">
        <v>11377.43</v>
      </c>
      <c r="M172" s="19">
        <v>10963.87</v>
      </c>
      <c r="N172" s="19">
        <v>413.56</v>
      </c>
      <c r="O172" s="20">
        <v>3.7699999999999997E-2</v>
      </c>
      <c r="P172" s="18">
        <v>1723.85</v>
      </c>
      <c r="Q172" s="19">
        <v>1645.33</v>
      </c>
      <c r="R172" s="19">
        <v>78.52</v>
      </c>
      <c r="S172" s="20">
        <v>4.7699999999999999E-2</v>
      </c>
      <c r="T172" s="18">
        <v>38614.31</v>
      </c>
      <c r="U172" s="19">
        <v>37463.43</v>
      </c>
      <c r="V172" s="19">
        <v>1150.8800000000001</v>
      </c>
      <c r="W172" s="20">
        <v>3.0700000000000002E-2</v>
      </c>
      <c r="X172" s="18">
        <v>21268.19</v>
      </c>
      <c r="Y172" s="19">
        <v>20416.41</v>
      </c>
      <c r="Z172" s="19">
        <v>851.77</v>
      </c>
      <c r="AA172" s="20">
        <v>4.1700000000000001E-2</v>
      </c>
      <c r="AB172" s="18">
        <v>17346.12</v>
      </c>
      <c r="AC172" s="19">
        <v>16291.72</v>
      </c>
      <c r="AD172" s="19">
        <v>1054.4000000000001</v>
      </c>
      <c r="AE172" s="20">
        <v>6.4699999999999994E-2</v>
      </c>
      <c r="AF172" s="2"/>
      <c r="AM172" s="4"/>
    </row>
    <row r="173" spans="1:39" x14ac:dyDescent="0.35">
      <c r="A173" s="16" t="s">
        <v>89</v>
      </c>
      <c r="B173" s="17" t="s">
        <v>83</v>
      </c>
      <c r="C173" s="17" t="s">
        <v>75</v>
      </c>
      <c r="D173" s="18">
        <v>9385203.1500000004</v>
      </c>
      <c r="E173" s="19">
        <v>9334609.5700000003</v>
      </c>
      <c r="F173" s="19">
        <v>50593.58</v>
      </c>
      <c r="G173" s="20">
        <v>5.4000000000000003E-3</v>
      </c>
      <c r="H173" s="18">
        <v>70389.02</v>
      </c>
      <c r="I173" s="19">
        <v>69456.91</v>
      </c>
      <c r="J173" s="19">
        <v>932.11</v>
      </c>
      <c r="K173" s="20">
        <v>1.34E-2</v>
      </c>
      <c r="L173" s="18">
        <v>24636.16</v>
      </c>
      <c r="M173" s="19">
        <v>23885.67</v>
      </c>
      <c r="N173" s="19">
        <v>750.49</v>
      </c>
      <c r="O173" s="20">
        <v>3.1399999999999997E-2</v>
      </c>
      <c r="P173" s="18">
        <v>750.82</v>
      </c>
      <c r="Q173" s="19">
        <v>720.96</v>
      </c>
      <c r="R173" s="19">
        <v>29.86</v>
      </c>
      <c r="S173" s="20">
        <v>4.1399999999999999E-2</v>
      </c>
      <c r="T173" s="18">
        <v>45002.05</v>
      </c>
      <c r="U173" s="19">
        <v>43929.3</v>
      </c>
      <c r="V173" s="19">
        <v>1072.75</v>
      </c>
      <c r="W173" s="20">
        <v>2.4400000000000002E-2</v>
      </c>
      <c r="X173" s="18">
        <v>28947.69</v>
      </c>
      <c r="Y173" s="19">
        <v>27957.439999999999</v>
      </c>
      <c r="Z173" s="19">
        <v>990.25</v>
      </c>
      <c r="AA173" s="20">
        <v>3.5400000000000001E-2</v>
      </c>
      <c r="AB173" s="18">
        <v>16054.36</v>
      </c>
      <c r="AC173" s="19">
        <v>15168.23</v>
      </c>
      <c r="AD173" s="19">
        <v>886.13</v>
      </c>
      <c r="AE173" s="20">
        <v>5.8400000000000001E-2</v>
      </c>
      <c r="AF173" s="2"/>
      <c r="AM173" s="4"/>
    </row>
    <row r="174" spans="1:39" x14ac:dyDescent="0.35">
      <c r="A174" s="16" t="s">
        <v>89</v>
      </c>
      <c r="B174" s="17" t="s">
        <v>83</v>
      </c>
      <c r="C174" s="17" t="s">
        <v>76</v>
      </c>
      <c r="D174" s="18">
        <v>14481931.84</v>
      </c>
      <c r="E174" s="19">
        <v>14777481.470000001</v>
      </c>
      <c r="F174" s="19">
        <v>-295549.63</v>
      </c>
      <c r="G174" s="20">
        <v>-0.02</v>
      </c>
      <c r="H174" s="18">
        <v>152060.28</v>
      </c>
      <c r="I174" s="19">
        <v>153907.17000000001</v>
      </c>
      <c r="J174" s="19">
        <v>-1846.89</v>
      </c>
      <c r="K174" s="20">
        <v>-1.2E-2</v>
      </c>
      <c r="L174" s="18">
        <v>42576.88</v>
      </c>
      <c r="M174" s="19">
        <v>42322.94</v>
      </c>
      <c r="N174" s="19">
        <v>253.94</v>
      </c>
      <c r="O174" s="20">
        <v>6.0000000000000001E-3</v>
      </c>
      <c r="P174" s="18">
        <v>1158.55</v>
      </c>
      <c r="Q174" s="19">
        <v>1140.31</v>
      </c>
      <c r="R174" s="19">
        <v>18.239999999999998</v>
      </c>
      <c r="S174" s="20">
        <v>1.6E-2</v>
      </c>
      <c r="T174" s="18">
        <v>108324.85</v>
      </c>
      <c r="U174" s="19">
        <v>108433.28</v>
      </c>
      <c r="V174" s="19">
        <v>-108.43</v>
      </c>
      <c r="W174" s="20">
        <v>-1E-3</v>
      </c>
      <c r="X174" s="18">
        <v>62535.24</v>
      </c>
      <c r="Y174" s="19">
        <v>61916.07</v>
      </c>
      <c r="Z174" s="19">
        <v>619.16</v>
      </c>
      <c r="AA174" s="20">
        <v>0.01</v>
      </c>
      <c r="AB174" s="18">
        <v>45789.61</v>
      </c>
      <c r="AC174" s="19">
        <v>44326.83</v>
      </c>
      <c r="AD174" s="19">
        <v>1462.79</v>
      </c>
      <c r="AE174" s="20">
        <v>3.3000000000000002E-2</v>
      </c>
      <c r="AF174" s="2"/>
      <c r="AM174" s="4"/>
    </row>
    <row r="175" spans="1:39" x14ac:dyDescent="0.35">
      <c r="A175" s="16" t="s">
        <v>89</v>
      </c>
      <c r="B175" s="17" t="s">
        <v>83</v>
      </c>
      <c r="C175" s="17" t="s">
        <v>77</v>
      </c>
      <c r="D175" s="18">
        <v>22928705.41</v>
      </c>
      <c r="E175" s="19">
        <v>22707084.27</v>
      </c>
      <c r="F175" s="19">
        <v>221621.14</v>
      </c>
      <c r="G175" s="20">
        <v>9.7999999999999997E-3</v>
      </c>
      <c r="H175" s="18">
        <v>149036.59</v>
      </c>
      <c r="I175" s="19">
        <v>146435.89000000001</v>
      </c>
      <c r="J175" s="19">
        <v>2600.6999999999998</v>
      </c>
      <c r="K175" s="20">
        <v>1.78E-2</v>
      </c>
      <c r="L175" s="18">
        <v>47691.71</v>
      </c>
      <c r="M175" s="19">
        <v>46045.14</v>
      </c>
      <c r="N175" s="19">
        <v>1646.57</v>
      </c>
      <c r="O175" s="20">
        <v>3.5799999999999998E-2</v>
      </c>
      <c r="P175" s="18">
        <v>1834.3</v>
      </c>
      <c r="Q175" s="19">
        <v>1754.04</v>
      </c>
      <c r="R175" s="19">
        <v>80.260000000000005</v>
      </c>
      <c r="S175" s="20">
        <v>4.58E-2</v>
      </c>
      <c r="T175" s="18">
        <v>99510.58</v>
      </c>
      <c r="U175" s="19">
        <v>96728.66</v>
      </c>
      <c r="V175" s="19">
        <v>2781.92</v>
      </c>
      <c r="W175" s="20">
        <v>2.8799999999999999E-2</v>
      </c>
      <c r="X175" s="18">
        <v>61291.73</v>
      </c>
      <c r="Y175" s="19">
        <v>58947.96</v>
      </c>
      <c r="Z175" s="19">
        <v>2343.77</v>
      </c>
      <c r="AA175" s="20">
        <v>3.9800000000000002E-2</v>
      </c>
      <c r="AB175" s="18">
        <v>38218.85</v>
      </c>
      <c r="AC175" s="19">
        <v>35961.879999999997</v>
      </c>
      <c r="AD175" s="19">
        <v>2256.9699999999998</v>
      </c>
      <c r="AE175" s="20">
        <v>6.2799999999999995E-2</v>
      </c>
      <c r="AF175" s="2"/>
      <c r="AM175" s="4"/>
    </row>
    <row r="176" spans="1:39" x14ac:dyDescent="0.35">
      <c r="A176" s="16" t="s">
        <v>89</v>
      </c>
      <c r="B176" s="17" t="s">
        <v>83</v>
      </c>
      <c r="C176" s="17" t="s">
        <v>78</v>
      </c>
      <c r="D176" s="18">
        <v>6144514.9100000001</v>
      </c>
      <c r="E176" s="19">
        <v>5796821.5499999998</v>
      </c>
      <c r="F176" s="19">
        <v>347693.36</v>
      </c>
      <c r="G176" s="20">
        <v>0.06</v>
      </c>
      <c r="H176" s="18">
        <v>18433.54</v>
      </c>
      <c r="I176" s="19">
        <v>17260.189999999999</v>
      </c>
      <c r="J176" s="19">
        <v>1173.3499999999999</v>
      </c>
      <c r="K176" s="20">
        <v>6.8000000000000005E-2</v>
      </c>
      <c r="L176" s="18">
        <v>3318.04</v>
      </c>
      <c r="M176" s="19">
        <v>3055.34</v>
      </c>
      <c r="N176" s="19">
        <v>262.7</v>
      </c>
      <c r="O176" s="20">
        <v>8.5999999999999993E-2</v>
      </c>
      <c r="P176" s="18">
        <v>491.56</v>
      </c>
      <c r="Q176" s="19">
        <v>448.51</v>
      </c>
      <c r="R176" s="19">
        <v>43.05</v>
      </c>
      <c r="S176" s="20">
        <v>9.6000000000000002E-2</v>
      </c>
      <c r="T176" s="18">
        <v>14623.95</v>
      </c>
      <c r="U176" s="19">
        <v>13553.49</v>
      </c>
      <c r="V176" s="19">
        <v>1070.46</v>
      </c>
      <c r="W176" s="20">
        <v>7.9000000000000001E-2</v>
      </c>
      <c r="X176" s="18">
        <v>7580.85</v>
      </c>
      <c r="Y176" s="19">
        <v>6955.03</v>
      </c>
      <c r="Z176" s="19">
        <v>625.80999999999995</v>
      </c>
      <c r="AA176" s="20">
        <v>0.09</v>
      </c>
      <c r="AB176" s="18">
        <v>7043.1</v>
      </c>
      <c r="AC176" s="19">
        <v>6328.15</v>
      </c>
      <c r="AD176" s="19">
        <v>714.95</v>
      </c>
      <c r="AE176" s="20">
        <v>0.113</v>
      </c>
      <c r="AF176" s="2"/>
      <c r="AM176" s="4"/>
    </row>
    <row r="177" spans="1:39" x14ac:dyDescent="0.35">
      <c r="A177" s="16" t="s">
        <v>89</v>
      </c>
      <c r="B177" s="17" t="s">
        <v>83</v>
      </c>
      <c r="C177" s="17" t="s">
        <v>79</v>
      </c>
      <c r="D177" s="18">
        <v>9342991.6300000008</v>
      </c>
      <c r="E177" s="19">
        <v>9332912.0800000001</v>
      </c>
      <c r="F177" s="19">
        <v>10079.549999999999</v>
      </c>
      <c r="G177" s="20">
        <v>1.1000000000000001E-3</v>
      </c>
      <c r="H177" s="18">
        <v>42043.46</v>
      </c>
      <c r="I177" s="19">
        <v>41665.14</v>
      </c>
      <c r="J177" s="19">
        <v>378.32</v>
      </c>
      <c r="K177" s="20">
        <v>9.1000000000000004E-3</v>
      </c>
      <c r="L177" s="18">
        <v>9249.56</v>
      </c>
      <c r="M177" s="19">
        <v>9005.69</v>
      </c>
      <c r="N177" s="19">
        <v>243.87</v>
      </c>
      <c r="O177" s="20">
        <v>2.7099999999999999E-2</v>
      </c>
      <c r="P177" s="18">
        <v>747.44</v>
      </c>
      <c r="Q177" s="19">
        <v>720.72</v>
      </c>
      <c r="R177" s="19">
        <v>26.72</v>
      </c>
      <c r="S177" s="20">
        <v>3.7100000000000001E-2</v>
      </c>
      <c r="T177" s="18">
        <v>32046.46</v>
      </c>
      <c r="U177" s="19">
        <v>31415.63</v>
      </c>
      <c r="V177" s="19">
        <v>630.83000000000004</v>
      </c>
      <c r="W177" s="20">
        <v>2.01E-2</v>
      </c>
      <c r="X177" s="18">
        <v>17290.5</v>
      </c>
      <c r="Y177" s="19">
        <v>16769.310000000001</v>
      </c>
      <c r="Z177" s="19">
        <v>521.19000000000005</v>
      </c>
      <c r="AA177" s="20">
        <v>3.1099999999999999E-2</v>
      </c>
      <c r="AB177" s="18">
        <v>14755.96</v>
      </c>
      <c r="AC177" s="19">
        <v>13998.9</v>
      </c>
      <c r="AD177" s="19">
        <v>757.06</v>
      </c>
      <c r="AE177" s="20">
        <v>5.4100000000000002E-2</v>
      </c>
      <c r="AF177" s="2"/>
      <c r="AM177" s="4"/>
    </row>
    <row r="178" spans="1:39" x14ac:dyDescent="0.35">
      <c r="A178" s="16" t="s">
        <v>89</v>
      </c>
      <c r="B178" s="17" t="s">
        <v>84</v>
      </c>
      <c r="C178" s="17" t="s">
        <v>75</v>
      </c>
      <c r="D178" s="18">
        <v>22912257.609999999</v>
      </c>
      <c r="E178" s="19">
        <v>22399313.329999998</v>
      </c>
      <c r="F178" s="19">
        <v>512944.28</v>
      </c>
      <c r="G178" s="20">
        <v>2.29E-2</v>
      </c>
      <c r="H178" s="18">
        <v>171841.93</v>
      </c>
      <c r="I178" s="19">
        <v>166691.17000000001</v>
      </c>
      <c r="J178" s="19">
        <v>5150.76</v>
      </c>
      <c r="K178" s="20">
        <v>3.09E-2</v>
      </c>
      <c r="L178" s="18">
        <v>60144.68</v>
      </c>
      <c r="M178" s="19">
        <v>57340.72</v>
      </c>
      <c r="N178" s="19">
        <v>2803.96</v>
      </c>
      <c r="O178" s="20">
        <v>4.8899999999999999E-2</v>
      </c>
      <c r="P178" s="18">
        <v>1603.86</v>
      </c>
      <c r="Q178" s="19">
        <v>1514.65</v>
      </c>
      <c r="R178" s="19">
        <v>89.21</v>
      </c>
      <c r="S178" s="20">
        <v>5.8900000000000001E-2</v>
      </c>
      <c r="T178" s="18">
        <v>110093.4</v>
      </c>
      <c r="U178" s="19">
        <v>105665.99</v>
      </c>
      <c r="V178" s="19">
        <v>4427.41</v>
      </c>
      <c r="W178" s="20">
        <v>4.19E-2</v>
      </c>
      <c r="X178" s="18">
        <v>70670.5</v>
      </c>
      <c r="Y178" s="19">
        <v>67119.86</v>
      </c>
      <c r="Z178" s="19">
        <v>3550.64</v>
      </c>
      <c r="AA178" s="20">
        <v>5.2900000000000003E-2</v>
      </c>
      <c r="AB178" s="18">
        <v>39422.9</v>
      </c>
      <c r="AC178" s="19">
        <v>36641.79</v>
      </c>
      <c r="AD178" s="19">
        <v>2781.11</v>
      </c>
      <c r="AE178" s="20">
        <v>7.5899999999999995E-2</v>
      </c>
      <c r="AF178" s="2"/>
      <c r="AM178" s="4"/>
    </row>
    <row r="179" spans="1:39" x14ac:dyDescent="0.35">
      <c r="A179" s="16" t="s">
        <v>89</v>
      </c>
      <c r="B179" s="17" t="s">
        <v>84</v>
      </c>
      <c r="C179" s="17" t="s">
        <v>76</v>
      </c>
      <c r="D179" s="18">
        <v>35350980.560000002</v>
      </c>
      <c r="E179" s="19">
        <v>35440290.090000004</v>
      </c>
      <c r="F179" s="19">
        <v>-89309.53</v>
      </c>
      <c r="G179" s="20">
        <v>-2.5000000000000001E-3</v>
      </c>
      <c r="H179" s="18">
        <v>371185.3</v>
      </c>
      <c r="I179" s="19">
        <v>369162.29</v>
      </c>
      <c r="J179" s="19">
        <v>2023.01</v>
      </c>
      <c r="K179" s="20">
        <v>5.4999999999999997E-3</v>
      </c>
      <c r="L179" s="18">
        <v>103931.88</v>
      </c>
      <c r="M179" s="19">
        <v>101547.54</v>
      </c>
      <c r="N179" s="19">
        <v>2384.34</v>
      </c>
      <c r="O179" s="20">
        <v>2.35E-2</v>
      </c>
      <c r="P179" s="18">
        <v>2474.5700000000002</v>
      </c>
      <c r="Q179" s="19">
        <v>2394.41</v>
      </c>
      <c r="R179" s="19">
        <v>80.16</v>
      </c>
      <c r="S179" s="20">
        <v>3.3500000000000002E-2</v>
      </c>
      <c r="T179" s="18">
        <v>264778.84000000003</v>
      </c>
      <c r="U179" s="19">
        <v>260486.03</v>
      </c>
      <c r="V179" s="19">
        <v>4292.8100000000004</v>
      </c>
      <c r="W179" s="20">
        <v>1.6500000000000001E-2</v>
      </c>
      <c r="X179" s="18">
        <v>152651.04</v>
      </c>
      <c r="Y179" s="19">
        <v>148568.38</v>
      </c>
      <c r="Z179" s="19">
        <v>4082.66</v>
      </c>
      <c r="AA179" s="20">
        <v>2.75E-2</v>
      </c>
      <c r="AB179" s="18">
        <v>112127.8</v>
      </c>
      <c r="AC179" s="19">
        <v>106739.58</v>
      </c>
      <c r="AD179" s="19">
        <v>5388.21</v>
      </c>
      <c r="AE179" s="20">
        <v>5.0500000000000003E-2</v>
      </c>
      <c r="AF179" s="2"/>
      <c r="AM179" s="4"/>
    </row>
    <row r="180" spans="1:39" x14ac:dyDescent="0.35">
      <c r="A180" s="16" t="s">
        <v>89</v>
      </c>
      <c r="B180" s="17" t="s">
        <v>84</v>
      </c>
      <c r="C180" s="17" t="s">
        <v>77</v>
      </c>
      <c r="D180" s="18">
        <v>55976242.25</v>
      </c>
      <c r="E180" s="19">
        <v>54491883.350000001</v>
      </c>
      <c r="F180" s="19">
        <v>1484358.9</v>
      </c>
      <c r="G180" s="20">
        <v>2.7199999999999998E-2</v>
      </c>
      <c r="H180" s="18">
        <v>363845.57</v>
      </c>
      <c r="I180" s="19">
        <v>351460.12</v>
      </c>
      <c r="J180" s="19">
        <v>12385.45</v>
      </c>
      <c r="K180" s="20">
        <v>3.5200000000000002E-2</v>
      </c>
      <c r="L180" s="18">
        <v>116430.58</v>
      </c>
      <c r="M180" s="19">
        <v>110545.16</v>
      </c>
      <c r="N180" s="19">
        <v>5885.42</v>
      </c>
      <c r="O180" s="20">
        <v>5.3199999999999997E-2</v>
      </c>
      <c r="P180" s="18">
        <v>3918.34</v>
      </c>
      <c r="Q180" s="19">
        <v>3685.28</v>
      </c>
      <c r="R180" s="19">
        <v>233.06</v>
      </c>
      <c r="S180" s="20">
        <v>6.3200000000000006E-2</v>
      </c>
      <c r="T180" s="18">
        <v>243496.65</v>
      </c>
      <c r="U180" s="19">
        <v>232734.98</v>
      </c>
      <c r="V180" s="19">
        <v>10761.67</v>
      </c>
      <c r="W180" s="20">
        <v>4.6199999999999998E-2</v>
      </c>
      <c r="X180" s="18">
        <v>149632.56</v>
      </c>
      <c r="Y180" s="19">
        <v>141531.29999999999</v>
      </c>
      <c r="Z180" s="19">
        <v>8101.25</v>
      </c>
      <c r="AA180" s="20">
        <v>5.7200000000000001E-2</v>
      </c>
      <c r="AB180" s="18">
        <v>93864.09</v>
      </c>
      <c r="AC180" s="19">
        <v>86891.89</v>
      </c>
      <c r="AD180" s="19">
        <v>6972.21</v>
      </c>
      <c r="AE180" s="20">
        <v>8.0199999999999994E-2</v>
      </c>
      <c r="AF180" s="2"/>
      <c r="AM180" s="4"/>
    </row>
    <row r="181" spans="1:39" x14ac:dyDescent="0.35">
      <c r="A181" s="16" t="s">
        <v>89</v>
      </c>
      <c r="B181" s="17" t="s">
        <v>84</v>
      </c>
      <c r="C181" s="17" t="s">
        <v>78</v>
      </c>
      <c r="D181" s="18">
        <v>14999009.08</v>
      </c>
      <c r="E181" s="19">
        <v>13920710.82</v>
      </c>
      <c r="F181" s="19">
        <v>1078298.26</v>
      </c>
      <c r="G181" s="20">
        <v>7.7499999999999999E-2</v>
      </c>
      <c r="H181" s="18">
        <v>44997.03</v>
      </c>
      <c r="I181" s="19">
        <v>41454.339999999997</v>
      </c>
      <c r="J181" s="19">
        <v>3542.69</v>
      </c>
      <c r="K181" s="20">
        <v>8.5500000000000007E-2</v>
      </c>
      <c r="L181" s="18">
        <v>8099.46</v>
      </c>
      <c r="M181" s="19">
        <v>7340.06</v>
      </c>
      <c r="N181" s="19">
        <v>759.4</v>
      </c>
      <c r="O181" s="20">
        <v>0.10349999999999999</v>
      </c>
      <c r="P181" s="18">
        <v>1049.93</v>
      </c>
      <c r="Q181" s="19">
        <v>942.94</v>
      </c>
      <c r="R181" s="19">
        <v>106.99</v>
      </c>
      <c r="S181" s="20">
        <v>0.1135</v>
      </c>
      <c r="T181" s="18">
        <v>35847.629999999997</v>
      </c>
      <c r="U181" s="19">
        <v>32693.97</v>
      </c>
      <c r="V181" s="19">
        <v>3153.66</v>
      </c>
      <c r="W181" s="20">
        <v>9.6500000000000002E-2</v>
      </c>
      <c r="X181" s="18">
        <v>18505.16</v>
      </c>
      <c r="Y181" s="19">
        <v>16709.55</v>
      </c>
      <c r="Z181" s="19">
        <v>1795.61</v>
      </c>
      <c r="AA181" s="20">
        <v>0.1075</v>
      </c>
      <c r="AB181" s="18">
        <v>17342.47</v>
      </c>
      <c r="AC181" s="19">
        <v>15341.07</v>
      </c>
      <c r="AD181" s="19">
        <v>2001.4</v>
      </c>
      <c r="AE181" s="20">
        <v>0.1305</v>
      </c>
      <c r="AF181" s="2"/>
      <c r="AM181" s="4"/>
    </row>
    <row r="182" spans="1:39" x14ac:dyDescent="0.35">
      <c r="A182" s="16" t="s">
        <v>89</v>
      </c>
      <c r="B182" s="17" t="s">
        <v>84</v>
      </c>
      <c r="C182" s="17" t="s">
        <v>79</v>
      </c>
      <c r="D182" s="18">
        <v>22806619.93</v>
      </c>
      <c r="E182" s="19">
        <v>22391042.190000001</v>
      </c>
      <c r="F182" s="19">
        <v>415577.74</v>
      </c>
      <c r="G182" s="20">
        <v>1.8599999999999998E-2</v>
      </c>
      <c r="H182" s="18">
        <v>102629.79</v>
      </c>
      <c r="I182" s="19">
        <v>99974.47</v>
      </c>
      <c r="J182" s="19">
        <v>2655.32</v>
      </c>
      <c r="K182" s="20">
        <v>2.6599999999999999E-2</v>
      </c>
      <c r="L182" s="18">
        <v>22578.55</v>
      </c>
      <c r="M182" s="19">
        <v>21615.37</v>
      </c>
      <c r="N182" s="19">
        <v>963.18</v>
      </c>
      <c r="O182" s="20">
        <v>4.4600000000000001E-2</v>
      </c>
      <c r="P182" s="18">
        <v>1596.46</v>
      </c>
      <c r="Q182" s="19">
        <v>1513.86</v>
      </c>
      <c r="R182" s="19">
        <v>82.6</v>
      </c>
      <c r="S182" s="20">
        <v>5.4600000000000003E-2</v>
      </c>
      <c r="T182" s="18">
        <v>78454.77</v>
      </c>
      <c r="U182" s="19">
        <v>75614.679999999993</v>
      </c>
      <c r="V182" s="19">
        <v>2840.09</v>
      </c>
      <c r="W182" s="20">
        <v>3.7600000000000001E-2</v>
      </c>
      <c r="X182" s="18">
        <v>42206.8</v>
      </c>
      <c r="Y182" s="19">
        <v>40252.160000000003</v>
      </c>
      <c r="Z182" s="19">
        <v>1954.64</v>
      </c>
      <c r="AA182" s="20">
        <v>4.8599999999999997E-2</v>
      </c>
      <c r="AB182" s="18">
        <v>36247.97</v>
      </c>
      <c r="AC182" s="19">
        <v>33827.29</v>
      </c>
      <c r="AD182" s="19">
        <v>2420.6799999999998</v>
      </c>
      <c r="AE182" s="20">
        <v>7.1599999999999997E-2</v>
      </c>
      <c r="AF182" s="2"/>
      <c r="AM182" s="4"/>
    </row>
    <row r="183" spans="1:39" x14ac:dyDescent="0.35">
      <c r="A183" s="11" t="s">
        <v>90</v>
      </c>
      <c r="B183" s="12" t="s">
        <v>74</v>
      </c>
      <c r="C183" s="12" t="s">
        <v>75</v>
      </c>
      <c r="D183" s="13">
        <v>15554657.18</v>
      </c>
      <c r="E183" s="14">
        <v>16322808.550000001</v>
      </c>
      <c r="F183" s="14">
        <v>-768151.37</v>
      </c>
      <c r="G183" s="15">
        <v>-4.7100000000000003E-2</v>
      </c>
      <c r="H183" s="13">
        <v>116659.93</v>
      </c>
      <c r="I183" s="14">
        <v>121401.89</v>
      </c>
      <c r="J183" s="14">
        <v>-4741.96</v>
      </c>
      <c r="K183" s="15">
        <v>-3.9100000000000003E-2</v>
      </c>
      <c r="L183" s="13">
        <v>40830.980000000003</v>
      </c>
      <c r="M183" s="14">
        <v>41709.379999999997</v>
      </c>
      <c r="N183" s="14">
        <v>-878.4</v>
      </c>
      <c r="O183" s="15">
        <v>-2.1100000000000001E-2</v>
      </c>
      <c r="P183" s="13">
        <v>2799.84</v>
      </c>
      <c r="Q183" s="14">
        <v>2831.15</v>
      </c>
      <c r="R183" s="14">
        <v>-31.31</v>
      </c>
      <c r="S183" s="15">
        <v>-1.11E-2</v>
      </c>
      <c r="T183" s="13">
        <v>73029.119999999995</v>
      </c>
      <c r="U183" s="14">
        <v>75137.48</v>
      </c>
      <c r="V183" s="14">
        <v>-2108.36</v>
      </c>
      <c r="W183" s="15">
        <v>-2.81E-2</v>
      </c>
      <c r="X183" s="13">
        <v>49027.08</v>
      </c>
      <c r="Y183" s="14">
        <v>49878</v>
      </c>
      <c r="Z183" s="14">
        <v>-850.92</v>
      </c>
      <c r="AA183" s="15">
        <v>-1.7100000000000001E-2</v>
      </c>
      <c r="AB183" s="13">
        <v>24002.04</v>
      </c>
      <c r="AC183" s="14">
        <v>23860.31</v>
      </c>
      <c r="AD183" s="14">
        <v>141.72999999999999</v>
      </c>
      <c r="AE183" s="15">
        <v>5.8999999999999999E-3</v>
      </c>
      <c r="AF183" s="2"/>
      <c r="AM183" s="4"/>
    </row>
    <row r="184" spans="1:39" x14ac:dyDescent="0.35">
      <c r="A184" s="11" t="s">
        <v>90</v>
      </c>
      <c r="B184" s="12" t="s">
        <v>74</v>
      </c>
      <c r="C184" s="12" t="s">
        <v>76</v>
      </c>
      <c r="D184" s="13">
        <v>23902555.920000002</v>
      </c>
      <c r="E184" s="14">
        <v>23695457.620000001</v>
      </c>
      <c r="F184" s="14">
        <v>207098.3</v>
      </c>
      <c r="G184" s="15">
        <v>8.6999999999999994E-3</v>
      </c>
      <c r="H184" s="13">
        <v>250976.84</v>
      </c>
      <c r="I184" s="14">
        <v>246844.66</v>
      </c>
      <c r="J184" s="14">
        <v>4132.18</v>
      </c>
      <c r="K184" s="15">
        <v>1.67E-2</v>
      </c>
      <c r="L184" s="13">
        <v>70273.509999999995</v>
      </c>
      <c r="M184" s="14">
        <v>67914.17</v>
      </c>
      <c r="N184" s="14">
        <v>2359.34</v>
      </c>
      <c r="O184" s="15">
        <v>3.4700000000000002E-2</v>
      </c>
      <c r="P184" s="13">
        <v>4302.46</v>
      </c>
      <c r="Q184" s="14">
        <v>4118.21</v>
      </c>
      <c r="R184" s="14">
        <v>184.25</v>
      </c>
      <c r="S184" s="15">
        <v>4.4699999999999997E-2</v>
      </c>
      <c r="T184" s="13">
        <v>176400.86</v>
      </c>
      <c r="U184" s="14">
        <v>171639.58</v>
      </c>
      <c r="V184" s="14">
        <v>4761.28</v>
      </c>
      <c r="W184" s="15">
        <v>2.7699999999999999E-2</v>
      </c>
      <c r="X184" s="13">
        <v>105474.63</v>
      </c>
      <c r="Y184" s="14">
        <v>101540.93</v>
      </c>
      <c r="Z184" s="14">
        <v>3933.7</v>
      </c>
      <c r="AA184" s="15">
        <v>3.8699999999999998E-2</v>
      </c>
      <c r="AB184" s="13">
        <v>70926.23</v>
      </c>
      <c r="AC184" s="14">
        <v>66801.88</v>
      </c>
      <c r="AD184" s="14">
        <v>4124.3500000000004</v>
      </c>
      <c r="AE184" s="15">
        <v>6.1699999999999998E-2</v>
      </c>
      <c r="AF184" s="2"/>
      <c r="AM184" s="4"/>
    </row>
    <row r="185" spans="1:39" x14ac:dyDescent="0.35">
      <c r="A185" s="11" t="s">
        <v>90</v>
      </c>
      <c r="B185" s="12" t="s">
        <v>74</v>
      </c>
      <c r="C185" s="12" t="s">
        <v>77</v>
      </c>
      <c r="D185" s="13">
        <v>37473712.109999999</v>
      </c>
      <c r="E185" s="14">
        <v>40027464.329999998</v>
      </c>
      <c r="F185" s="14">
        <v>-2553752.2200000002</v>
      </c>
      <c r="G185" s="15">
        <v>-6.3799999999999996E-2</v>
      </c>
      <c r="H185" s="13">
        <v>243579.13</v>
      </c>
      <c r="I185" s="14">
        <v>257974.08</v>
      </c>
      <c r="J185" s="14">
        <v>-14394.95</v>
      </c>
      <c r="K185" s="15">
        <v>-5.5800000000000002E-2</v>
      </c>
      <c r="L185" s="13">
        <v>77945.320000000007</v>
      </c>
      <c r="M185" s="14">
        <v>81007.399999999994</v>
      </c>
      <c r="N185" s="14">
        <v>-3062.08</v>
      </c>
      <c r="O185" s="15">
        <v>-3.78E-2</v>
      </c>
      <c r="P185" s="13">
        <v>6745.27</v>
      </c>
      <c r="Q185" s="14">
        <v>6938.15</v>
      </c>
      <c r="R185" s="14">
        <v>-192.88</v>
      </c>
      <c r="S185" s="15">
        <v>-2.7799999999999998E-2</v>
      </c>
      <c r="T185" s="13">
        <v>158888.54</v>
      </c>
      <c r="U185" s="14">
        <v>166340.6</v>
      </c>
      <c r="V185" s="14">
        <v>-7452.06</v>
      </c>
      <c r="W185" s="15">
        <v>-4.48E-2</v>
      </c>
      <c r="X185" s="13">
        <v>102365.69</v>
      </c>
      <c r="Y185" s="14">
        <v>105946.69</v>
      </c>
      <c r="Z185" s="14">
        <v>-3581</v>
      </c>
      <c r="AA185" s="15">
        <v>-3.3799999999999997E-2</v>
      </c>
      <c r="AB185" s="13">
        <v>56522.85</v>
      </c>
      <c r="AC185" s="14">
        <v>57139.96</v>
      </c>
      <c r="AD185" s="14">
        <v>-617.11</v>
      </c>
      <c r="AE185" s="15">
        <v>-1.0800000000000001E-2</v>
      </c>
      <c r="AF185" s="2"/>
      <c r="AM185" s="4"/>
    </row>
    <row r="186" spans="1:39" x14ac:dyDescent="0.35">
      <c r="A186" s="11" t="s">
        <v>90</v>
      </c>
      <c r="B186" s="12" t="s">
        <v>74</v>
      </c>
      <c r="C186" s="12" t="s">
        <v>78</v>
      </c>
      <c r="D186" s="13">
        <v>10110938.029999999</v>
      </c>
      <c r="E186" s="14">
        <v>9448415.1600000001</v>
      </c>
      <c r="F186" s="14">
        <v>662522.87</v>
      </c>
      <c r="G186" s="15">
        <v>7.0099999999999996E-2</v>
      </c>
      <c r="H186" s="13">
        <v>30332.81</v>
      </c>
      <c r="I186" s="14">
        <v>28134.91</v>
      </c>
      <c r="J186" s="14">
        <v>2197.9</v>
      </c>
      <c r="K186" s="15">
        <v>7.8100000000000003E-2</v>
      </c>
      <c r="L186" s="13">
        <v>5459.91</v>
      </c>
      <c r="M186" s="14">
        <v>4981.12</v>
      </c>
      <c r="N186" s="14">
        <v>478.79</v>
      </c>
      <c r="O186" s="15">
        <v>9.6100000000000005E-2</v>
      </c>
      <c r="P186" s="13">
        <v>1819.97</v>
      </c>
      <c r="Q186" s="14">
        <v>1645.36</v>
      </c>
      <c r="R186" s="14">
        <v>174.61</v>
      </c>
      <c r="S186" s="15">
        <v>0.1061</v>
      </c>
      <c r="T186" s="13">
        <v>23052.94</v>
      </c>
      <c r="U186" s="14">
        <v>21166.57</v>
      </c>
      <c r="V186" s="14">
        <v>1886.37</v>
      </c>
      <c r="W186" s="15">
        <v>8.9099999999999999E-2</v>
      </c>
      <c r="X186" s="13">
        <v>12747.56</v>
      </c>
      <c r="Y186" s="14">
        <v>11587.43</v>
      </c>
      <c r="Z186" s="14">
        <v>1160.1300000000001</v>
      </c>
      <c r="AA186" s="15">
        <v>0.10009999999999999</v>
      </c>
      <c r="AB186" s="13">
        <v>10305.379999999999</v>
      </c>
      <c r="AC186" s="14">
        <v>9175.67</v>
      </c>
      <c r="AD186" s="14">
        <v>1129.71</v>
      </c>
      <c r="AE186" s="15">
        <v>0.1231</v>
      </c>
      <c r="AF186" s="2"/>
      <c r="AM186" s="4"/>
    </row>
    <row r="187" spans="1:39" x14ac:dyDescent="0.35">
      <c r="A187" s="11" t="s">
        <v>90</v>
      </c>
      <c r="B187" s="12" t="s">
        <v>74</v>
      </c>
      <c r="C187" s="12" t="s">
        <v>79</v>
      </c>
      <c r="D187" s="13">
        <v>14891813.970000001</v>
      </c>
      <c r="E187" s="14">
        <v>14513024.039999999</v>
      </c>
      <c r="F187" s="14">
        <v>378789.93</v>
      </c>
      <c r="G187" s="15">
        <v>2.6100000000000002E-2</v>
      </c>
      <c r="H187" s="13">
        <v>67013.16</v>
      </c>
      <c r="I187" s="14">
        <v>64803.37</v>
      </c>
      <c r="J187" s="14">
        <v>2209.79</v>
      </c>
      <c r="K187" s="15">
        <v>3.4099999999999998E-2</v>
      </c>
      <c r="L187" s="13">
        <v>14742.9</v>
      </c>
      <c r="M187" s="14">
        <v>14012.83</v>
      </c>
      <c r="N187" s="14">
        <v>730.07</v>
      </c>
      <c r="O187" s="15">
        <v>5.21E-2</v>
      </c>
      <c r="P187" s="13">
        <v>2680.53</v>
      </c>
      <c r="Q187" s="14">
        <v>2523.8000000000002</v>
      </c>
      <c r="R187" s="14">
        <v>156.72999999999999</v>
      </c>
      <c r="S187" s="15">
        <v>6.2100000000000002E-2</v>
      </c>
      <c r="T187" s="13">
        <v>49589.74</v>
      </c>
      <c r="U187" s="14">
        <v>47449.760000000002</v>
      </c>
      <c r="V187" s="14">
        <v>2139.98</v>
      </c>
      <c r="W187" s="15">
        <v>4.5100000000000001E-2</v>
      </c>
      <c r="X187" s="13">
        <v>28162.71</v>
      </c>
      <c r="Y187" s="14">
        <v>26666.71</v>
      </c>
      <c r="Z187" s="14">
        <v>1496</v>
      </c>
      <c r="AA187" s="15">
        <v>5.6099999999999997E-2</v>
      </c>
      <c r="AB187" s="13">
        <v>21427.03</v>
      </c>
      <c r="AC187" s="14">
        <v>19856.39</v>
      </c>
      <c r="AD187" s="14">
        <v>1570.64</v>
      </c>
      <c r="AE187" s="15">
        <v>7.9100000000000004E-2</v>
      </c>
      <c r="AF187" s="2"/>
      <c r="AM187" s="4"/>
    </row>
    <row r="188" spans="1:39" x14ac:dyDescent="0.35">
      <c r="A188" s="11" t="s">
        <v>90</v>
      </c>
      <c r="B188" s="12" t="s">
        <v>80</v>
      </c>
      <c r="C188" s="12" t="s">
        <v>75</v>
      </c>
      <c r="D188" s="13">
        <v>7536090.3499999996</v>
      </c>
      <c r="E188" s="14">
        <v>7933561.7999999998</v>
      </c>
      <c r="F188" s="14">
        <v>-397471.45</v>
      </c>
      <c r="G188" s="15">
        <v>-5.0099999999999999E-2</v>
      </c>
      <c r="H188" s="13">
        <v>56520.68</v>
      </c>
      <c r="I188" s="14">
        <v>59004.78</v>
      </c>
      <c r="J188" s="14">
        <v>-2484.1</v>
      </c>
      <c r="K188" s="15">
        <v>-4.2099999999999999E-2</v>
      </c>
      <c r="L188" s="13">
        <v>19782.240000000002</v>
      </c>
      <c r="M188" s="14">
        <v>20270.77</v>
      </c>
      <c r="N188" s="14">
        <v>-488.53</v>
      </c>
      <c r="O188" s="15">
        <v>-2.41E-2</v>
      </c>
      <c r="P188" s="13">
        <v>678.25</v>
      </c>
      <c r="Q188" s="14">
        <v>687.95</v>
      </c>
      <c r="R188" s="14">
        <v>-9.6999999999999993</v>
      </c>
      <c r="S188" s="15">
        <v>-1.41E-2</v>
      </c>
      <c r="T188" s="13">
        <v>36060.19</v>
      </c>
      <c r="U188" s="14">
        <v>37217.660000000003</v>
      </c>
      <c r="V188" s="14">
        <v>-1157.47</v>
      </c>
      <c r="W188" s="15">
        <v>-3.1099999999999999E-2</v>
      </c>
      <c r="X188" s="13">
        <v>23753.18</v>
      </c>
      <c r="Y188" s="14">
        <v>24240.41</v>
      </c>
      <c r="Z188" s="14">
        <v>-487.23</v>
      </c>
      <c r="AA188" s="15">
        <v>-2.01E-2</v>
      </c>
      <c r="AB188" s="13">
        <v>12307.01</v>
      </c>
      <c r="AC188" s="14">
        <v>12271.42</v>
      </c>
      <c r="AD188" s="14">
        <v>35.590000000000003</v>
      </c>
      <c r="AE188" s="15">
        <v>2.8999999999999998E-3</v>
      </c>
      <c r="AF188" s="2"/>
      <c r="AM188" s="4"/>
    </row>
    <row r="189" spans="1:39" x14ac:dyDescent="0.35">
      <c r="A189" s="11" t="s">
        <v>90</v>
      </c>
      <c r="B189" s="12" t="s">
        <v>80</v>
      </c>
      <c r="C189" s="12" t="s">
        <v>76</v>
      </c>
      <c r="D189" s="13">
        <v>11574300.24</v>
      </c>
      <c r="E189" s="14">
        <v>11508700.65</v>
      </c>
      <c r="F189" s="14">
        <v>65599.59</v>
      </c>
      <c r="G189" s="15">
        <v>5.7000000000000002E-3</v>
      </c>
      <c r="H189" s="13">
        <v>121530.15</v>
      </c>
      <c r="I189" s="14">
        <v>119887.69</v>
      </c>
      <c r="J189" s="14">
        <v>1642.46</v>
      </c>
      <c r="K189" s="15">
        <v>1.37E-2</v>
      </c>
      <c r="L189" s="13">
        <v>34028.44</v>
      </c>
      <c r="M189" s="14">
        <v>32982.879999999997</v>
      </c>
      <c r="N189" s="14">
        <v>1045.56</v>
      </c>
      <c r="O189" s="15">
        <v>3.1699999999999999E-2</v>
      </c>
      <c r="P189" s="13">
        <v>1041.69</v>
      </c>
      <c r="Q189" s="14">
        <v>999.99</v>
      </c>
      <c r="R189" s="14">
        <v>41.7</v>
      </c>
      <c r="S189" s="15">
        <v>4.1700000000000001E-2</v>
      </c>
      <c r="T189" s="13">
        <v>86460.02</v>
      </c>
      <c r="U189" s="14">
        <v>84375.93</v>
      </c>
      <c r="V189" s="14">
        <v>2084.09</v>
      </c>
      <c r="W189" s="15">
        <v>2.47E-2</v>
      </c>
      <c r="X189" s="13">
        <v>51073.83</v>
      </c>
      <c r="Y189" s="14">
        <v>49313.34</v>
      </c>
      <c r="Z189" s="14">
        <v>1760.49</v>
      </c>
      <c r="AA189" s="15">
        <v>3.5700000000000003E-2</v>
      </c>
      <c r="AB189" s="13">
        <v>35386.19</v>
      </c>
      <c r="AC189" s="14">
        <v>33424.19</v>
      </c>
      <c r="AD189" s="14">
        <v>1962</v>
      </c>
      <c r="AE189" s="15">
        <v>5.8700000000000002E-2</v>
      </c>
      <c r="AF189" s="2"/>
      <c r="AM189" s="4"/>
    </row>
    <row r="190" spans="1:39" x14ac:dyDescent="0.35">
      <c r="A190" s="11" t="s">
        <v>90</v>
      </c>
      <c r="B190" s="12" t="s">
        <v>80</v>
      </c>
      <c r="C190" s="12" t="s">
        <v>77</v>
      </c>
      <c r="D190" s="13">
        <v>18155673.690000001</v>
      </c>
      <c r="E190" s="14">
        <v>19456120.800000001</v>
      </c>
      <c r="F190" s="14">
        <v>-1300447.1100000001</v>
      </c>
      <c r="G190" s="15">
        <v>-6.6799999999999998E-2</v>
      </c>
      <c r="H190" s="13">
        <v>118011.88</v>
      </c>
      <c r="I190" s="14">
        <v>125389.82</v>
      </c>
      <c r="J190" s="14">
        <v>-7377.94</v>
      </c>
      <c r="K190" s="15">
        <v>-5.8799999999999998E-2</v>
      </c>
      <c r="L190" s="13">
        <v>37763.800000000003</v>
      </c>
      <c r="M190" s="14">
        <v>39371.74</v>
      </c>
      <c r="N190" s="14">
        <v>-1607.94</v>
      </c>
      <c r="O190" s="15">
        <v>-4.0800000000000003E-2</v>
      </c>
      <c r="P190" s="13">
        <v>1634.01</v>
      </c>
      <c r="Q190" s="14">
        <v>1686.01</v>
      </c>
      <c r="R190" s="14">
        <v>-52</v>
      </c>
      <c r="S190" s="15">
        <v>-3.0800000000000001E-2</v>
      </c>
      <c r="T190" s="13">
        <v>78614.070000000007</v>
      </c>
      <c r="U190" s="14">
        <v>82563.929999999993</v>
      </c>
      <c r="V190" s="14">
        <v>-3949.86</v>
      </c>
      <c r="W190" s="15">
        <v>-4.7800000000000002E-2</v>
      </c>
      <c r="X190" s="13">
        <v>49595.25</v>
      </c>
      <c r="Y190" s="14">
        <v>51492.22</v>
      </c>
      <c r="Z190" s="14">
        <v>-1896.97</v>
      </c>
      <c r="AA190" s="15">
        <v>-3.6799999999999999E-2</v>
      </c>
      <c r="AB190" s="13">
        <v>29018.82</v>
      </c>
      <c r="AC190" s="14">
        <v>29426.080000000002</v>
      </c>
      <c r="AD190" s="14">
        <v>-407.26</v>
      </c>
      <c r="AE190" s="15">
        <v>-1.38E-2</v>
      </c>
      <c r="AF190" s="2"/>
      <c r="AM190" s="4"/>
    </row>
    <row r="191" spans="1:39" x14ac:dyDescent="0.35">
      <c r="A191" s="11" t="s">
        <v>90</v>
      </c>
      <c r="B191" s="12" t="s">
        <v>80</v>
      </c>
      <c r="C191" s="12" t="s">
        <v>78</v>
      </c>
      <c r="D191" s="13">
        <v>4896004.96</v>
      </c>
      <c r="E191" s="14">
        <v>4588226.71</v>
      </c>
      <c r="F191" s="14">
        <v>307778.25</v>
      </c>
      <c r="G191" s="15">
        <v>6.7100000000000007E-2</v>
      </c>
      <c r="H191" s="13">
        <v>14688.01</v>
      </c>
      <c r="I191" s="14">
        <v>13662.25</v>
      </c>
      <c r="J191" s="14">
        <v>1025.76</v>
      </c>
      <c r="K191" s="15">
        <v>7.51E-2</v>
      </c>
      <c r="L191" s="13">
        <v>2643.84</v>
      </c>
      <c r="M191" s="14">
        <v>2418.71</v>
      </c>
      <c r="N191" s="14">
        <v>225.13</v>
      </c>
      <c r="O191" s="15">
        <v>9.3100000000000002E-2</v>
      </c>
      <c r="P191" s="13">
        <v>440.64</v>
      </c>
      <c r="Q191" s="14">
        <v>399.46</v>
      </c>
      <c r="R191" s="14">
        <v>41.18</v>
      </c>
      <c r="S191" s="15">
        <v>0.1031</v>
      </c>
      <c r="T191" s="13">
        <v>11603.53</v>
      </c>
      <c r="U191" s="14">
        <v>10683.86</v>
      </c>
      <c r="V191" s="14">
        <v>919.67</v>
      </c>
      <c r="W191" s="15">
        <v>8.6099999999999996E-2</v>
      </c>
      <c r="X191" s="13">
        <v>6172.73</v>
      </c>
      <c r="Y191" s="14">
        <v>5626.51</v>
      </c>
      <c r="Z191" s="14">
        <v>546.22</v>
      </c>
      <c r="AA191" s="15">
        <v>9.7100000000000006E-2</v>
      </c>
      <c r="AB191" s="13">
        <v>5430.8</v>
      </c>
      <c r="AC191" s="14">
        <v>4848.58</v>
      </c>
      <c r="AD191" s="14">
        <v>582.22</v>
      </c>
      <c r="AE191" s="15">
        <v>0.1201</v>
      </c>
      <c r="AF191" s="2"/>
      <c r="AM191" s="4"/>
    </row>
    <row r="192" spans="1:39" x14ac:dyDescent="0.35">
      <c r="A192" s="11" t="s">
        <v>90</v>
      </c>
      <c r="B192" s="12" t="s">
        <v>80</v>
      </c>
      <c r="C192" s="12" t="s">
        <v>79</v>
      </c>
      <c r="D192" s="13">
        <v>7211041.6399999997</v>
      </c>
      <c r="E192" s="14">
        <v>7048503.1600000001</v>
      </c>
      <c r="F192" s="14">
        <v>162538.48000000001</v>
      </c>
      <c r="G192" s="15">
        <v>2.3099999999999999E-2</v>
      </c>
      <c r="H192" s="13">
        <v>32449.69</v>
      </c>
      <c r="I192" s="14">
        <v>31472.16</v>
      </c>
      <c r="J192" s="14">
        <v>977.53</v>
      </c>
      <c r="K192" s="15">
        <v>3.1099999999999999E-2</v>
      </c>
      <c r="L192" s="13">
        <v>7138.93</v>
      </c>
      <c r="M192" s="14">
        <v>6805.07</v>
      </c>
      <c r="N192" s="14">
        <v>333.86</v>
      </c>
      <c r="O192" s="15">
        <v>4.9099999999999998E-2</v>
      </c>
      <c r="P192" s="13">
        <v>648.99</v>
      </c>
      <c r="Q192" s="14">
        <v>612.79999999999995</v>
      </c>
      <c r="R192" s="14">
        <v>36.19</v>
      </c>
      <c r="S192" s="15">
        <v>5.91E-2</v>
      </c>
      <c r="T192" s="13">
        <v>24661.759999999998</v>
      </c>
      <c r="U192" s="14">
        <v>23666.35</v>
      </c>
      <c r="V192" s="14">
        <v>995.41</v>
      </c>
      <c r="W192" s="15">
        <v>4.2099999999999999E-2</v>
      </c>
      <c r="X192" s="13">
        <v>13637.19</v>
      </c>
      <c r="Y192" s="14">
        <v>12950.06</v>
      </c>
      <c r="Z192" s="14">
        <v>687.13</v>
      </c>
      <c r="AA192" s="15">
        <v>5.3100000000000001E-2</v>
      </c>
      <c r="AB192" s="13">
        <v>11024.57</v>
      </c>
      <c r="AC192" s="14">
        <v>10245.31</v>
      </c>
      <c r="AD192" s="14">
        <v>779.26</v>
      </c>
      <c r="AE192" s="15">
        <v>7.6100000000000001E-2</v>
      </c>
      <c r="AF192" s="2"/>
      <c r="AM192" s="4"/>
    </row>
    <row r="193" spans="1:39" x14ac:dyDescent="0.35">
      <c r="A193" s="11" t="s">
        <v>90</v>
      </c>
      <c r="B193" s="12" t="s">
        <v>81</v>
      </c>
      <c r="C193" s="12" t="s">
        <v>75</v>
      </c>
      <c r="D193" s="13">
        <v>10576161.08</v>
      </c>
      <c r="E193" s="14">
        <v>11260099.529999999</v>
      </c>
      <c r="F193" s="14">
        <v>-683938.45</v>
      </c>
      <c r="G193" s="15">
        <v>-6.0699999999999997E-2</v>
      </c>
      <c r="H193" s="13">
        <v>79321.210000000006</v>
      </c>
      <c r="I193" s="14">
        <v>83737.53</v>
      </c>
      <c r="J193" s="14">
        <v>-4416.32</v>
      </c>
      <c r="K193" s="15">
        <v>-5.2699999999999997E-2</v>
      </c>
      <c r="L193" s="13">
        <v>27762.42</v>
      </c>
      <c r="M193" s="14">
        <v>28761.599999999999</v>
      </c>
      <c r="N193" s="14">
        <v>-999.18</v>
      </c>
      <c r="O193" s="15">
        <v>-3.4700000000000002E-2</v>
      </c>
      <c r="P193" s="13">
        <v>2115.23</v>
      </c>
      <c r="Q193" s="14">
        <v>2168.89</v>
      </c>
      <c r="R193" s="14">
        <v>-53.66</v>
      </c>
      <c r="S193" s="15">
        <v>-2.47E-2</v>
      </c>
      <c r="T193" s="13">
        <v>49443.55</v>
      </c>
      <c r="U193" s="14">
        <v>51597.22</v>
      </c>
      <c r="V193" s="14">
        <v>-2153.67</v>
      </c>
      <c r="W193" s="15">
        <v>-4.1700000000000001E-2</v>
      </c>
      <c r="X193" s="13">
        <v>33335.25</v>
      </c>
      <c r="Y193" s="14">
        <v>34392.47</v>
      </c>
      <c r="Z193" s="14">
        <v>-1057.22</v>
      </c>
      <c r="AA193" s="15">
        <v>-3.0700000000000002E-2</v>
      </c>
      <c r="AB193" s="13">
        <v>16108.3</v>
      </c>
      <c r="AC193" s="14">
        <v>16233.95</v>
      </c>
      <c r="AD193" s="14">
        <v>-125.65</v>
      </c>
      <c r="AE193" s="15">
        <v>-7.7000000000000002E-3</v>
      </c>
      <c r="AF193" s="2"/>
      <c r="AM193" s="4"/>
    </row>
    <row r="194" spans="1:39" x14ac:dyDescent="0.35">
      <c r="A194" s="11" t="s">
        <v>90</v>
      </c>
      <c r="B194" s="12" t="s">
        <v>81</v>
      </c>
      <c r="C194" s="12" t="s">
        <v>76</v>
      </c>
      <c r="D194" s="13">
        <v>16256471.66</v>
      </c>
      <c r="E194" s="14">
        <v>16337177.32</v>
      </c>
      <c r="F194" s="14">
        <v>-80705.66</v>
      </c>
      <c r="G194" s="15">
        <v>-4.8999999999999998E-3</v>
      </c>
      <c r="H194" s="13">
        <v>170692.95</v>
      </c>
      <c r="I194" s="14">
        <v>170172.22</v>
      </c>
      <c r="J194" s="14">
        <v>520.73</v>
      </c>
      <c r="K194" s="15">
        <v>3.0999999999999999E-3</v>
      </c>
      <c r="L194" s="13">
        <v>47794.03</v>
      </c>
      <c r="M194" s="14">
        <v>46808.25</v>
      </c>
      <c r="N194" s="14">
        <v>985.78</v>
      </c>
      <c r="O194" s="15">
        <v>2.1100000000000001E-2</v>
      </c>
      <c r="P194" s="13">
        <v>3251.29</v>
      </c>
      <c r="Q194" s="14">
        <v>3153.35</v>
      </c>
      <c r="R194" s="14">
        <v>97.94</v>
      </c>
      <c r="S194" s="15">
        <v>3.1099999999999999E-2</v>
      </c>
      <c r="T194" s="13">
        <v>119647.63</v>
      </c>
      <c r="U194" s="14">
        <v>117988.71</v>
      </c>
      <c r="V194" s="14">
        <v>1658.92</v>
      </c>
      <c r="W194" s="15">
        <v>1.41E-2</v>
      </c>
      <c r="X194" s="13">
        <v>71734.81</v>
      </c>
      <c r="Y194" s="14">
        <v>69981.08</v>
      </c>
      <c r="Z194" s="14">
        <v>1753.73</v>
      </c>
      <c r="AA194" s="15">
        <v>2.5100000000000001E-2</v>
      </c>
      <c r="AB194" s="13">
        <v>47912.82</v>
      </c>
      <c r="AC194" s="14">
        <v>45715.72</v>
      </c>
      <c r="AD194" s="14">
        <v>2197.1</v>
      </c>
      <c r="AE194" s="15">
        <v>4.8099999999999997E-2</v>
      </c>
      <c r="AF194" s="2"/>
      <c r="AM194" s="4"/>
    </row>
    <row r="195" spans="1:39" x14ac:dyDescent="0.35">
      <c r="A195" s="11" t="s">
        <v>90</v>
      </c>
      <c r="B195" s="12" t="s">
        <v>81</v>
      </c>
      <c r="C195" s="12" t="s">
        <v>77</v>
      </c>
      <c r="D195" s="13">
        <v>25479701.079999998</v>
      </c>
      <c r="E195" s="14">
        <v>27619673.370000001</v>
      </c>
      <c r="F195" s="14">
        <v>-2139972.29</v>
      </c>
      <c r="G195" s="15">
        <v>-7.7499999999999999E-2</v>
      </c>
      <c r="H195" s="13">
        <v>165618.06</v>
      </c>
      <c r="I195" s="14">
        <v>177984.42</v>
      </c>
      <c r="J195" s="14">
        <v>-12366.36</v>
      </c>
      <c r="K195" s="15">
        <v>-6.9500000000000006E-2</v>
      </c>
      <c r="L195" s="13">
        <v>52997.78</v>
      </c>
      <c r="M195" s="14">
        <v>55874.18</v>
      </c>
      <c r="N195" s="14">
        <v>-2876.4</v>
      </c>
      <c r="O195" s="15">
        <v>-5.1499999999999997E-2</v>
      </c>
      <c r="P195" s="13">
        <v>5095.9399999999996</v>
      </c>
      <c r="Q195" s="14">
        <v>5316.47</v>
      </c>
      <c r="R195" s="14">
        <v>-220.53</v>
      </c>
      <c r="S195" s="15">
        <v>-4.1500000000000002E-2</v>
      </c>
      <c r="T195" s="13">
        <v>107524.34</v>
      </c>
      <c r="U195" s="14">
        <v>114202.93</v>
      </c>
      <c r="V195" s="14">
        <v>-6678.59</v>
      </c>
      <c r="W195" s="15">
        <v>-5.8500000000000003E-2</v>
      </c>
      <c r="X195" s="13">
        <v>69602.05</v>
      </c>
      <c r="Y195" s="14">
        <v>73071.490000000005</v>
      </c>
      <c r="Z195" s="14">
        <v>-3469.43</v>
      </c>
      <c r="AA195" s="15">
        <v>-4.7500000000000001E-2</v>
      </c>
      <c r="AB195" s="13">
        <v>37922.29</v>
      </c>
      <c r="AC195" s="14">
        <v>38873.919999999998</v>
      </c>
      <c r="AD195" s="14">
        <v>-951.63</v>
      </c>
      <c r="AE195" s="15">
        <v>-2.4500000000000001E-2</v>
      </c>
      <c r="AF195" s="2"/>
      <c r="AM195" s="4"/>
    </row>
    <row r="196" spans="1:39" x14ac:dyDescent="0.35">
      <c r="A196" s="11" t="s">
        <v>90</v>
      </c>
      <c r="B196" s="12" t="s">
        <v>81</v>
      </c>
      <c r="C196" s="12" t="s">
        <v>78</v>
      </c>
      <c r="D196" s="13">
        <v>6876594.2000000002</v>
      </c>
      <c r="E196" s="14">
        <v>6509214.1500000004</v>
      </c>
      <c r="F196" s="14">
        <v>367380.05</v>
      </c>
      <c r="G196" s="15">
        <v>5.6399999999999999E-2</v>
      </c>
      <c r="H196" s="13">
        <v>20629.78</v>
      </c>
      <c r="I196" s="14">
        <v>19380.88</v>
      </c>
      <c r="J196" s="14">
        <v>1248.9000000000001</v>
      </c>
      <c r="K196" s="15">
        <v>6.4399999999999999E-2</v>
      </c>
      <c r="L196" s="13">
        <v>3713.36</v>
      </c>
      <c r="M196" s="14">
        <v>3430.55</v>
      </c>
      <c r="N196" s="14">
        <v>282.81</v>
      </c>
      <c r="O196" s="15">
        <v>8.2400000000000001E-2</v>
      </c>
      <c r="P196" s="13">
        <v>1375.32</v>
      </c>
      <c r="Q196" s="14">
        <v>1258.94</v>
      </c>
      <c r="R196" s="14">
        <v>116.38</v>
      </c>
      <c r="S196" s="15">
        <v>9.2399999999999996E-2</v>
      </c>
      <c r="T196" s="13">
        <v>15541.1</v>
      </c>
      <c r="U196" s="14">
        <v>14450.92</v>
      </c>
      <c r="V196" s="14">
        <v>1090.18</v>
      </c>
      <c r="W196" s="15">
        <v>7.5399999999999995E-2</v>
      </c>
      <c r="X196" s="13">
        <v>8669.7999999999993</v>
      </c>
      <c r="Y196" s="14">
        <v>7980.01</v>
      </c>
      <c r="Z196" s="14">
        <v>689.79</v>
      </c>
      <c r="AA196" s="15">
        <v>8.6400000000000005E-2</v>
      </c>
      <c r="AB196" s="13">
        <v>6871.3</v>
      </c>
      <c r="AC196" s="14">
        <v>6193.49</v>
      </c>
      <c r="AD196" s="14">
        <v>677.82</v>
      </c>
      <c r="AE196" s="15">
        <v>0.1094</v>
      </c>
      <c r="AF196" s="2"/>
      <c r="AM196" s="4"/>
    </row>
    <row r="197" spans="1:39" x14ac:dyDescent="0.35">
      <c r="A197" s="11" t="s">
        <v>90</v>
      </c>
      <c r="B197" s="12" t="s">
        <v>81</v>
      </c>
      <c r="C197" s="12" t="s">
        <v>79</v>
      </c>
      <c r="D197" s="13">
        <v>10128136.609999999</v>
      </c>
      <c r="E197" s="14">
        <v>10003888.32</v>
      </c>
      <c r="F197" s="14">
        <v>124248.29</v>
      </c>
      <c r="G197" s="15">
        <v>1.24E-2</v>
      </c>
      <c r="H197" s="13">
        <v>45576.61</v>
      </c>
      <c r="I197" s="14">
        <v>44664.56</v>
      </c>
      <c r="J197" s="14">
        <v>912.05</v>
      </c>
      <c r="K197" s="15">
        <v>2.0400000000000001E-2</v>
      </c>
      <c r="L197" s="13">
        <v>10026.86</v>
      </c>
      <c r="M197" s="14">
        <v>9655.8799999999992</v>
      </c>
      <c r="N197" s="14">
        <v>370.98</v>
      </c>
      <c r="O197" s="15">
        <v>3.8399999999999997E-2</v>
      </c>
      <c r="P197" s="13">
        <v>2025.63</v>
      </c>
      <c r="Q197" s="14">
        <v>1932.08</v>
      </c>
      <c r="R197" s="14">
        <v>93.55</v>
      </c>
      <c r="S197" s="15">
        <v>4.8399999999999999E-2</v>
      </c>
      <c r="T197" s="13">
        <v>33524.129999999997</v>
      </c>
      <c r="U197" s="14">
        <v>32502.89</v>
      </c>
      <c r="V197" s="14">
        <v>1021.24</v>
      </c>
      <c r="W197" s="15">
        <v>3.1399999999999997E-2</v>
      </c>
      <c r="X197" s="13">
        <v>19153.86</v>
      </c>
      <c r="Y197" s="14">
        <v>18374.419999999998</v>
      </c>
      <c r="Z197" s="14">
        <v>779.44</v>
      </c>
      <c r="AA197" s="15">
        <v>4.24E-2</v>
      </c>
      <c r="AB197" s="13">
        <v>14370.27</v>
      </c>
      <c r="AC197" s="14">
        <v>13487.89</v>
      </c>
      <c r="AD197" s="14">
        <v>882.38</v>
      </c>
      <c r="AE197" s="15">
        <v>6.54E-2</v>
      </c>
      <c r="AF197" s="2"/>
      <c r="AM197" s="4"/>
    </row>
    <row r="198" spans="1:39" x14ac:dyDescent="0.35">
      <c r="A198" s="11" t="s">
        <v>90</v>
      </c>
      <c r="B198" s="12" t="s">
        <v>82</v>
      </c>
      <c r="C198" s="12" t="s">
        <v>75</v>
      </c>
      <c r="D198" s="13">
        <v>12569850.51</v>
      </c>
      <c r="E198" s="14">
        <v>13334164.84</v>
      </c>
      <c r="F198" s="14">
        <v>-764314.33</v>
      </c>
      <c r="G198" s="15">
        <v>-5.7299999999999997E-2</v>
      </c>
      <c r="H198" s="13">
        <v>94273.88</v>
      </c>
      <c r="I198" s="14">
        <v>99164.68</v>
      </c>
      <c r="J198" s="14">
        <v>-4890.8</v>
      </c>
      <c r="K198" s="15">
        <v>-4.9299999999999997E-2</v>
      </c>
      <c r="L198" s="13">
        <v>32995.86</v>
      </c>
      <c r="M198" s="14">
        <v>34062.699999999997</v>
      </c>
      <c r="N198" s="14">
        <v>-1066.8399999999999</v>
      </c>
      <c r="O198" s="15">
        <v>-3.1300000000000001E-2</v>
      </c>
      <c r="P198" s="13">
        <v>1885.48</v>
      </c>
      <c r="Q198" s="14">
        <v>1926.55</v>
      </c>
      <c r="R198" s="14">
        <v>-41.07</v>
      </c>
      <c r="S198" s="15">
        <v>-2.1299999999999999E-2</v>
      </c>
      <c r="T198" s="13">
        <v>59392.54</v>
      </c>
      <c r="U198" s="14">
        <v>61759.15</v>
      </c>
      <c r="V198" s="14">
        <v>-2366.61</v>
      </c>
      <c r="W198" s="15">
        <v>-3.8300000000000001E-2</v>
      </c>
      <c r="X198" s="13">
        <v>39619.199999999997</v>
      </c>
      <c r="Y198" s="14">
        <v>40732</v>
      </c>
      <c r="Z198" s="14">
        <v>-1112.8</v>
      </c>
      <c r="AA198" s="15">
        <v>-2.7300000000000001E-2</v>
      </c>
      <c r="AB198" s="13">
        <v>19773.34</v>
      </c>
      <c r="AC198" s="14">
        <v>19859.13</v>
      </c>
      <c r="AD198" s="14">
        <v>-85.79</v>
      </c>
      <c r="AE198" s="15">
        <v>-4.3E-3</v>
      </c>
      <c r="AF198" s="2"/>
      <c r="AM198" s="4"/>
    </row>
    <row r="199" spans="1:39" x14ac:dyDescent="0.35">
      <c r="A199" s="11" t="s">
        <v>90</v>
      </c>
      <c r="B199" s="12" t="s">
        <v>82</v>
      </c>
      <c r="C199" s="12" t="s">
        <v>76</v>
      </c>
      <c r="D199" s="13">
        <v>19318413.050000001</v>
      </c>
      <c r="E199" s="14">
        <v>19347821.739999998</v>
      </c>
      <c r="F199" s="14">
        <v>-29408.69</v>
      </c>
      <c r="G199" s="15">
        <v>-1.5E-3</v>
      </c>
      <c r="H199" s="13">
        <v>202843.34</v>
      </c>
      <c r="I199" s="14">
        <v>201537.38</v>
      </c>
      <c r="J199" s="14">
        <v>1305.96</v>
      </c>
      <c r="K199" s="15">
        <v>6.4999999999999997E-3</v>
      </c>
      <c r="L199" s="13">
        <v>56796.13</v>
      </c>
      <c r="M199" s="14">
        <v>55438.98</v>
      </c>
      <c r="N199" s="14">
        <v>1357.15</v>
      </c>
      <c r="O199" s="15">
        <v>2.4500000000000001E-2</v>
      </c>
      <c r="P199" s="13">
        <v>2897.76</v>
      </c>
      <c r="Q199" s="14">
        <v>2801.18</v>
      </c>
      <c r="R199" s="14">
        <v>96.58</v>
      </c>
      <c r="S199" s="15">
        <v>3.4500000000000003E-2</v>
      </c>
      <c r="T199" s="13">
        <v>143149.44</v>
      </c>
      <c r="U199" s="14">
        <v>140690.18</v>
      </c>
      <c r="V199" s="14">
        <v>2459.2600000000002</v>
      </c>
      <c r="W199" s="15">
        <v>1.7500000000000002E-2</v>
      </c>
      <c r="X199" s="13">
        <v>85246.22</v>
      </c>
      <c r="Y199" s="14">
        <v>82885.63</v>
      </c>
      <c r="Z199" s="14">
        <v>2360.58</v>
      </c>
      <c r="AA199" s="15">
        <v>2.8500000000000001E-2</v>
      </c>
      <c r="AB199" s="13">
        <v>57903.22</v>
      </c>
      <c r="AC199" s="14">
        <v>55068.31</v>
      </c>
      <c r="AD199" s="14">
        <v>2834.92</v>
      </c>
      <c r="AE199" s="15">
        <v>5.1499999999999997E-2</v>
      </c>
      <c r="AF199" s="2"/>
      <c r="AM199" s="4"/>
    </row>
    <row r="200" spans="1:39" x14ac:dyDescent="0.35">
      <c r="A200" s="11" t="s">
        <v>90</v>
      </c>
      <c r="B200" s="12" t="s">
        <v>82</v>
      </c>
      <c r="C200" s="12" t="s">
        <v>77</v>
      </c>
      <c r="D200" s="13">
        <v>30282824.870000001</v>
      </c>
      <c r="E200" s="14">
        <v>32704953.739999998</v>
      </c>
      <c r="F200" s="14">
        <v>-2422128.87</v>
      </c>
      <c r="G200" s="15">
        <v>-7.4099999999999999E-2</v>
      </c>
      <c r="H200" s="13">
        <v>196838.36</v>
      </c>
      <c r="I200" s="14">
        <v>210761.25</v>
      </c>
      <c r="J200" s="14">
        <v>-13922.89</v>
      </c>
      <c r="K200" s="15">
        <v>-6.6100000000000006E-2</v>
      </c>
      <c r="L200" s="13">
        <v>62988.28</v>
      </c>
      <c r="M200" s="14">
        <v>66168.33</v>
      </c>
      <c r="N200" s="14">
        <v>-3180.05</v>
      </c>
      <c r="O200" s="15">
        <v>-4.8099999999999997E-2</v>
      </c>
      <c r="P200" s="13">
        <v>4542.42</v>
      </c>
      <c r="Q200" s="14">
        <v>4722.1400000000003</v>
      </c>
      <c r="R200" s="14">
        <v>-179.72</v>
      </c>
      <c r="S200" s="15">
        <v>-3.8100000000000002E-2</v>
      </c>
      <c r="T200" s="13">
        <v>129307.66</v>
      </c>
      <c r="U200" s="14">
        <v>136842.19</v>
      </c>
      <c r="V200" s="14">
        <v>-7534.53</v>
      </c>
      <c r="W200" s="15">
        <v>-5.5100000000000003E-2</v>
      </c>
      <c r="X200" s="13">
        <v>82722.58</v>
      </c>
      <c r="Y200" s="14">
        <v>86535.33</v>
      </c>
      <c r="Z200" s="14">
        <v>-3812.75</v>
      </c>
      <c r="AA200" s="15">
        <v>-4.41E-2</v>
      </c>
      <c r="AB200" s="13">
        <v>46585.08</v>
      </c>
      <c r="AC200" s="14">
        <v>47587.26</v>
      </c>
      <c r="AD200" s="14">
        <v>-1002.19</v>
      </c>
      <c r="AE200" s="15">
        <v>-2.1100000000000001E-2</v>
      </c>
      <c r="AF200" s="2"/>
      <c r="AM200" s="4"/>
    </row>
    <row r="201" spans="1:39" x14ac:dyDescent="0.35">
      <c r="A201" s="11" t="s">
        <v>90</v>
      </c>
      <c r="B201" s="12" t="s">
        <v>82</v>
      </c>
      <c r="C201" s="12" t="s">
        <v>78</v>
      </c>
      <c r="D201" s="13">
        <v>8171815.5</v>
      </c>
      <c r="E201" s="14">
        <v>7710278.2400000002</v>
      </c>
      <c r="F201" s="14">
        <v>461537.26</v>
      </c>
      <c r="G201" s="15">
        <v>5.9900000000000002E-2</v>
      </c>
      <c r="H201" s="13">
        <v>24515.45</v>
      </c>
      <c r="I201" s="14">
        <v>22957.55</v>
      </c>
      <c r="J201" s="14">
        <v>1557.9</v>
      </c>
      <c r="K201" s="15">
        <v>6.7900000000000002E-2</v>
      </c>
      <c r="L201" s="13">
        <v>4412.78</v>
      </c>
      <c r="M201" s="14">
        <v>4063.86</v>
      </c>
      <c r="N201" s="14">
        <v>348.92</v>
      </c>
      <c r="O201" s="15">
        <v>8.5900000000000004E-2</v>
      </c>
      <c r="P201" s="13">
        <v>1225.77</v>
      </c>
      <c r="Q201" s="14">
        <v>1118.55</v>
      </c>
      <c r="R201" s="14">
        <v>107.22</v>
      </c>
      <c r="S201" s="15">
        <v>9.5899999999999999E-2</v>
      </c>
      <c r="T201" s="13">
        <v>18876.89</v>
      </c>
      <c r="U201" s="14">
        <v>17497.07</v>
      </c>
      <c r="V201" s="14">
        <v>1379.82</v>
      </c>
      <c r="W201" s="15">
        <v>7.8899999999999998E-2</v>
      </c>
      <c r="X201" s="13">
        <v>10302.780000000001</v>
      </c>
      <c r="Y201" s="14">
        <v>9453.2999999999993</v>
      </c>
      <c r="Z201" s="14">
        <v>849.47</v>
      </c>
      <c r="AA201" s="15">
        <v>8.9899999999999994E-2</v>
      </c>
      <c r="AB201" s="13">
        <v>8574.11</v>
      </c>
      <c r="AC201" s="14">
        <v>7704.58</v>
      </c>
      <c r="AD201" s="14">
        <v>869.54</v>
      </c>
      <c r="AE201" s="15">
        <v>0.1129</v>
      </c>
      <c r="AF201" s="2"/>
      <c r="AM201" s="4"/>
    </row>
    <row r="202" spans="1:39" x14ac:dyDescent="0.35">
      <c r="A202" s="11" t="s">
        <v>90</v>
      </c>
      <c r="B202" s="12" t="s">
        <v>82</v>
      </c>
      <c r="C202" s="12" t="s">
        <v>79</v>
      </c>
      <c r="D202" s="13">
        <v>12035792.92</v>
      </c>
      <c r="E202" s="14">
        <v>11848118.720000001</v>
      </c>
      <c r="F202" s="14">
        <v>187674.2</v>
      </c>
      <c r="G202" s="15">
        <v>1.5800000000000002E-2</v>
      </c>
      <c r="H202" s="13">
        <v>54161.07</v>
      </c>
      <c r="I202" s="14">
        <v>52899.94</v>
      </c>
      <c r="J202" s="14">
        <v>1261.1300000000001</v>
      </c>
      <c r="K202" s="15">
        <v>2.3800000000000002E-2</v>
      </c>
      <c r="L202" s="13">
        <v>11915.43</v>
      </c>
      <c r="M202" s="14">
        <v>11436.91</v>
      </c>
      <c r="N202" s="14">
        <v>478.52</v>
      </c>
      <c r="O202" s="15">
        <v>4.1799999999999997E-2</v>
      </c>
      <c r="P202" s="13">
        <v>1805.37</v>
      </c>
      <c r="Q202" s="14">
        <v>1716.39</v>
      </c>
      <c r="R202" s="14">
        <v>88.98</v>
      </c>
      <c r="S202" s="15">
        <v>5.1799999999999999E-2</v>
      </c>
      <c r="T202" s="13">
        <v>40440.26</v>
      </c>
      <c r="U202" s="14">
        <v>39078.76</v>
      </c>
      <c r="V202" s="14">
        <v>1361.5</v>
      </c>
      <c r="W202" s="15">
        <v>3.4799999999999998E-2</v>
      </c>
      <c r="X202" s="13">
        <v>22761.54</v>
      </c>
      <c r="Y202" s="14">
        <v>21763.88</v>
      </c>
      <c r="Z202" s="14">
        <v>997.66</v>
      </c>
      <c r="AA202" s="15">
        <v>4.58E-2</v>
      </c>
      <c r="AB202" s="13">
        <v>17678.72</v>
      </c>
      <c r="AC202" s="14">
        <v>16540.099999999999</v>
      </c>
      <c r="AD202" s="14">
        <v>1138.6199999999999</v>
      </c>
      <c r="AE202" s="15">
        <v>6.88E-2</v>
      </c>
      <c r="AF202" s="2"/>
      <c r="AM202" s="4"/>
    </row>
    <row r="203" spans="1:39" x14ac:dyDescent="0.35">
      <c r="A203" s="11" t="s">
        <v>90</v>
      </c>
      <c r="B203" s="12" t="s">
        <v>83</v>
      </c>
      <c r="C203" s="12" t="s">
        <v>75</v>
      </c>
      <c r="D203" s="13">
        <v>10079076.75</v>
      </c>
      <c r="E203" s="14">
        <v>10297591.640000001</v>
      </c>
      <c r="F203" s="14">
        <v>-218514.89</v>
      </c>
      <c r="G203" s="15">
        <v>-2.12E-2</v>
      </c>
      <c r="H203" s="13">
        <v>75593.08</v>
      </c>
      <c r="I203" s="14">
        <v>76605.81</v>
      </c>
      <c r="J203" s="14">
        <v>-1012.73</v>
      </c>
      <c r="K203" s="15">
        <v>-1.32E-2</v>
      </c>
      <c r="L203" s="13">
        <v>26457.58</v>
      </c>
      <c r="M203" s="14">
        <v>26331.71</v>
      </c>
      <c r="N203" s="14">
        <v>125.87</v>
      </c>
      <c r="O203" s="15">
        <v>4.7999999999999996E-3</v>
      </c>
      <c r="P203" s="13">
        <v>806.33</v>
      </c>
      <c r="Q203" s="14">
        <v>794.59</v>
      </c>
      <c r="R203" s="14">
        <v>11.74</v>
      </c>
      <c r="S203" s="15">
        <v>1.4800000000000001E-2</v>
      </c>
      <c r="T203" s="13">
        <v>48329.17</v>
      </c>
      <c r="U203" s="14">
        <v>48436.7</v>
      </c>
      <c r="V203" s="14">
        <v>-107.53</v>
      </c>
      <c r="W203" s="15">
        <v>-2.2000000000000001E-3</v>
      </c>
      <c r="X203" s="13">
        <v>31768.48</v>
      </c>
      <c r="Y203" s="14">
        <v>31491.98</v>
      </c>
      <c r="Z203" s="14">
        <v>276.5</v>
      </c>
      <c r="AA203" s="15">
        <v>8.8000000000000005E-3</v>
      </c>
      <c r="AB203" s="13">
        <v>16560.689999999999</v>
      </c>
      <c r="AC203" s="14">
        <v>16050.6</v>
      </c>
      <c r="AD203" s="14">
        <v>510.09</v>
      </c>
      <c r="AE203" s="15">
        <v>3.1800000000000002E-2</v>
      </c>
      <c r="AF203" s="2"/>
      <c r="AM203" s="4"/>
    </row>
    <row r="204" spans="1:39" x14ac:dyDescent="0.35">
      <c r="A204" s="11" t="s">
        <v>90</v>
      </c>
      <c r="B204" s="12" t="s">
        <v>83</v>
      </c>
      <c r="C204" s="12" t="s">
        <v>76</v>
      </c>
      <c r="D204" s="13">
        <v>15484177.57</v>
      </c>
      <c r="E204" s="14">
        <v>14966631.449999999</v>
      </c>
      <c r="F204" s="14">
        <v>517546.12</v>
      </c>
      <c r="G204" s="15">
        <v>3.4599999999999999E-2</v>
      </c>
      <c r="H204" s="13">
        <v>162583.85999999999</v>
      </c>
      <c r="I204" s="14">
        <v>155943.76999999999</v>
      </c>
      <c r="J204" s="14">
        <v>6640.09</v>
      </c>
      <c r="K204" s="15">
        <v>4.2599999999999999E-2</v>
      </c>
      <c r="L204" s="13">
        <v>45523.48</v>
      </c>
      <c r="M204" s="14">
        <v>42923.19</v>
      </c>
      <c r="N204" s="14">
        <v>2600.29</v>
      </c>
      <c r="O204" s="15">
        <v>6.0600000000000001E-2</v>
      </c>
      <c r="P204" s="13">
        <v>1238.73</v>
      </c>
      <c r="Q204" s="14">
        <v>1157.06</v>
      </c>
      <c r="R204" s="14">
        <v>81.67</v>
      </c>
      <c r="S204" s="15">
        <v>7.0599999999999996E-2</v>
      </c>
      <c r="T204" s="13">
        <v>115821.65</v>
      </c>
      <c r="U204" s="14">
        <v>109931.52</v>
      </c>
      <c r="V204" s="14">
        <v>5890.13</v>
      </c>
      <c r="W204" s="15">
        <v>5.3600000000000002E-2</v>
      </c>
      <c r="X204" s="13">
        <v>68326.91</v>
      </c>
      <c r="Y204" s="14">
        <v>64182.03</v>
      </c>
      <c r="Z204" s="14">
        <v>4144.88</v>
      </c>
      <c r="AA204" s="15">
        <v>6.4600000000000005E-2</v>
      </c>
      <c r="AB204" s="13">
        <v>47494.74</v>
      </c>
      <c r="AC204" s="14">
        <v>43670.11</v>
      </c>
      <c r="AD204" s="14">
        <v>3824.63</v>
      </c>
      <c r="AE204" s="15">
        <v>8.7599999999999997E-2</v>
      </c>
      <c r="AF204" s="2"/>
      <c r="AM204" s="4"/>
    </row>
    <row r="205" spans="1:39" x14ac:dyDescent="0.35">
      <c r="A205" s="11" t="s">
        <v>90</v>
      </c>
      <c r="B205" s="12" t="s">
        <v>83</v>
      </c>
      <c r="C205" s="12" t="s">
        <v>77</v>
      </c>
      <c r="D205" s="13">
        <v>24282143.68</v>
      </c>
      <c r="E205" s="14">
        <v>25240264.109999999</v>
      </c>
      <c r="F205" s="14">
        <v>-958120.43</v>
      </c>
      <c r="G205" s="15">
        <v>-3.7999999999999999E-2</v>
      </c>
      <c r="H205" s="13">
        <v>157833.93</v>
      </c>
      <c r="I205" s="14">
        <v>162708.68</v>
      </c>
      <c r="J205" s="14">
        <v>-4874.75</v>
      </c>
      <c r="K205" s="15">
        <v>-0.03</v>
      </c>
      <c r="L205" s="13">
        <v>50506.86</v>
      </c>
      <c r="M205" s="14">
        <v>51118.23</v>
      </c>
      <c r="N205" s="14">
        <v>-611.37</v>
      </c>
      <c r="O205" s="15">
        <v>-1.2E-2</v>
      </c>
      <c r="P205" s="13">
        <v>1942.57</v>
      </c>
      <c r="Q205" s="14">
        <v>1946.38</v>
      </c>
      <c r="R205" s="14">
        <v>-3.81</v>
      </c>
      <c r="S205" s="15">
        <v>-2E-3</v>
      </c>
      <c r="T205" s="13">
        <v>105384.5</v>
      </c>
      <c r="U205" s="14">
        <v>107421.21</v>
      </c>
      <c r="V205" s="14">
        <v>-2036.71</v>
      </c>
      <c r="W205" s="15">
        <v>-1.9E-2</v>
      </c>
      <c r="X205" s="13">
        <v>66330.720000000001</v>
      </c>
      <c r="Y205" s="14">
        <v>66862.95</v>
      </c>
      <c r="Z205" s="14">
        <v>-532.23</v>
      </c>
      <c r="AA205" s="15">
        <v>-8.0000000000000002E-3</v>
      </c>
      <c r="AB205" s="13">
        <v>39053.78</v>
      </c>
      <c r="AC205" s="14">
        <v>38475.11</v>
      </c>
      <c r="AD205" s="14">
        <v>578.66999999999996</v>
      </c>
      <c r="AE205" s="15">
        <v>1.4999999999999999E-2</v>
      </c>
      <c r="AF205" s="2"/>
      <c r="AM205" s="4"/>
    </row>
    <row r="206" spans="1:39" x14ac:dyDescent="0.35">
      <c r="A206" s="11" t="s">
        <v>90</v>
      </c>
      <c r="B206" s="12" t="s">
        <v>83</v>
      </c>
      <c r="C206" s="12" t="s">
        <v>78</v>
      </c>
      <c r="D206" s="13">
        <v>6549908.7300000004</v>
      </c>
      <c r="E206" s="14">
        <v>5976412.21</v>
      </c>
      <c r="F206" s="14">
        <v>573496.52</v>
      </c>
      <c r="G206" s="15">
        <v>9.6000000000000002E-2</v>
      </c>
      <c r="H206" s="13">
        <v>19649.73</v>
      </c>
      <c r="I206" s="14">
        <v>17799.310000000001</v>
      </c>
      <c r="J206" s="14">
        <v>1850.42</v>
      </c>
      <c r="K206" s="15">
        <v>0.104</v>
      </c>
      <c r="L206" s="13">
        <v>3536.95</v>
      </c>
      <c r="M206" s="14">
        <v>3152.47</v>
      </c>
      <c r="N206" s="14">
        <v>384.48</v>
      </c>
      <c r="O206" s="15">
        <v>0.122</v>
      </c>
      <c r="P206" s="13">
        <v>523.99</v>
      </c>
      <c r="Q206" s="14">
        <v>462.91</v>
      </c>
      <c r="R206" s="14">
        <v>61.08</v>
      </c>
      <c r="S206" s="15">
        <v>0.13200000000000001</v>
      </c>
      <c r="T206" s="13">
        <v>15588.78</v>
      </c>
      <c r="U206" s="14">
        <v>13981.47</v>
      </c>
      <c r="V206" s="14">
        <v>1607.31</v>
      </c>
      <c r="W206" s="15">
        <v>0.115</v>
      </c>
      <c r="X206" s="13">
        <v>8257.93</v>
      </c>
      <c r="Y206" s="14">
        <v>7334.12</v>
      </c>
      <c r="Z206" s="14">
        <v>923.81</v>
      </c>
      <c r="AA206" s="15">
        <v>0.126</v>
      </c>
      <c r="AB206" s="13">
        <v>7330.85</v>
      </c>
      <c r="AC206" s="14">
        <v>6380.43</v>
      </c>
      <c r="AD206" s="14">
        <v>950.43</v>
      </c>
      <c r="AE206" s="15">
        <v>0.14899999999999999</v>
      </c>
      <c r="AF206" s="2"/>
      <c r="AM206" s="4"/>
    </row>
    <row r="207" spans="1:39" x14ac:dyDescent="0.35">
      <c r="A207" s="11" t="s">
        <v>90</v>
      </c>
      <c r="B207" s="12" t="s">
        <v>83</v>
      </c>
      <c r="C207" s="12" t="s">
        <v>79</v>
      </c>
      <c r="D207" s="13">
        <v>9646980.5399999991</v>
      </c>
      <c r="E207" s="14">
        <v>9170656.6300000008</v>
      </c>
      <c r="F207" s="14">
        <v>476323.91</v>
      </c>
      <c r="G207" s="15">
        <v>5.1900000000000002E-2</v>
      </c>
      <c r="H207" s="13">
        <v>43411.41</v>
      </c>
      <c r="I207" s="14">
        <v>40956.480000000003</v>
      </c>
      <c r="J207" s="14">
        <v>2454.9299999999998</v>
      </c>
      <c r="K207" s="15">
        <v>5.9900000000000002E-2</v>
      </c>
      <c r="L207" s="13">
        <v>9550.51</v>
      </c>
      <c r="M207" s="14">
        <v>8859.9599999999991</v>
      </c>
      <c r="N207" s="14">
        <v>690.55</v>
      </c>
      <c r="O207" s="15">
        <v>7.7899999999999997E-2</v>
      </c>
      <c r="P207" s="13">
        <v>771.76</v>
      </c>
      <c r="Q207" s="14">
        <v>709.38</v>
      </c>
      <c r="R207" s="14">
        <v>62.38</v>
      </c>
      <c r="S207" s="15">
        <v>8.7900000000000006E-2</v>
      </c>
      <c r="T207" s="13">
        <v>33089.14</v>
      </c>
      <c r="U207" s="14">
        <v>30897.29</v>
      </c>
      <c r="V207" s="14">
        <v>2191.85</v>
      </c>
      <c r="W207" s="15">
        <v>7.0900000000000005E-2</v>
      </c>
      <c r="X207" s="13">
        <v>18243.919999999998</v>
      </c>
      <c r="Y207" s="14">
        <v>16862.23</v>
      </c>
      <c r="Z207" s="14">
        <v>1381.69</v>
      </c>
      <c r="AA207" s="15">
        <v>8.1900000000000001E-2</v>
      </c>
      <c r="AB207" s="13">
        <v>14845.22</v>
      </c>
      <c r="AC207" s="14">
        <v>13435.31</v>
      </c>
      <c r="AD207" s="14">
        <v>1409.9</v>
      </c>
      <c r="AE207" s="15">
        <v>0.10489999999999999</v>
      </c>
      <c r="AF207" s="2"/>
      <c r="AM207" s="4"/>
    </row>
    <row r="208" spans="1:39" x14ac:dyDescent="0.35">
      <c r="A208" s="11" t="s">
        <v>90</v>
      </c>
      <c r="B208" s="12" t="s">
        <v>84</v>
      </c>
      <c r="C208" s="12" t="s">
        <v>75</v>
      </c>
      <c r="D208" s="13">
        <v>24489605.98</v>
      </c>
      <c r="E208" s="14">
        <v>25637660.41</v>
      </c>
      <c r="F208" s="14">
        <v>-1148054.43</v>
      </c>
      <c r="G208" s="15">
        <v>-4.48E-2</v>
      </c>
      <c r="H208" s="13">
        <v>183672.04</v>
      </c>
      <c r="I208" s="14">
        <v>190685.45</v>
      </c>
      <c r="J208" s="14">
        <v>-7013.41</v>
      </c>
      <c r="K208" s="15">
        <v>-3.6799999999999999E-2</v>
      </c>
      <c r="L208" s="13">
        <v>64285.22</v>
      </c>
      <c r="M208" s="14">
        <v>65515.6</v>
      </c>
      <c r="N208" s="14">
        <v>-1230.3800000000001</v>
      </c>
      <c r="O208" s="15">
        <v>-1.8800000000000001E-2</v>
      </c>
      <c r="P208" s="13">
        <v>1714.27</v>
      </c>
      <c r="Q208" s="14">
        <v>1729.45</v>
      </c>
      <c r="R208" s="14">
        <v>-15.18</v>
      </c>
      <c r="S208" s="15">
        <v>-8.8000000000000005E-3</v>
      </c>
      <c r="T208" s="13">
        <v>117672.56</v>
      </c>
      <c r="U208" s="14">
        <v>120786.43</v>
      </c>
      <c r="V208" s="14">
        <v>-3113.87</v>
      </c>
      <c r="W208" s="15">
        <v>-2.58E-2</v>
      </c>
      <c r="X208" s="13">
        <v>77189.350000000006</v>
      </c>
      <c r="Y208" s="14">
        <v>78347.33</v>
      </c>
      <c r="Z208" s="14">
        <v>-1157.97</v>
      </c>
      <c r="AA208" s="15">
        <v>-1.4800000000000001E-2</v>
      </c>
      <c r="AB208" s="13">
        <v>40483.21</v>
      </c>
      <c r="AC208" s="14">
        <v>40153.15</v>
      </c>
      <c r="AD208" s="14">
        <v>330.06</v>
      </c>
      <c r="AE208" s="15">
        <v>8.2000000000000007E-3</v>
      </c>
      <c r="AF208" s="2"/>
      <c r="AM208" s="4"/>
    </row>
    <row r="209" spans="1:39" x14ac:dyDescent="0.35">
      <c r="A209" s="11" t="s">
        <v>90</v>
      </c>
      <c r="B209" s="12" t="s">
        <v>84</v>
      </c>
      <c r="C209" s="12" t="s">
        <v>76</v>
      </c>
      <c r="D209" s="13">
        <v>37617514.770000003</v>
      </c>
      <c r="E209" s="14">
        <v>37207488.25</v>
      </c>
      <c r="F209" s="14">
        <v>410026.52</v>
      </c>
      <c r="G209" s="15">
        <v>1.0999999999999999E-2</v>
      </c>
      <c r="H209" s="13">
        <v>394983.91</v>
      </c>
      <c r="I209" s="14">
        <v>387611.54</v>
      </c>
      <c r="J209" s="14">
        <v>7372.37</v>
      </c>
      <c r="K209" s="15">
        <v>1.9E-2</v>
      </c>
      <c r="L209" s="13">
        <v>110595.49</v>
      </c>
      <c r="M209" s="14">
        <v>106647.4</v>
      </c>
      <c r="N209" s="14">
        <v>3948.09</v>
      </c>
      <c r="O209" s="15">
        <v>3.6999999999999998E-2</v>
      </c>
      <c r="P209" s="13">
        <v>2633.23</v>
      </c>
      <c r="Q209" s="14">
        <v>2514.98</v>
      </c>
      <c r="R209" s="14">
        <v>118.25</v>
      </c>
      <c r="S209" s="15">
        <v>4.7E-2</v>
      </c>
      <c r="T209" s="13">
        <v>281755.19</v>
      </c>
      <c r="U209" s="14">
        <v>273543.42</v>
      </c>
      <c r="V209" s="14">
        <v>8211.77</v>
      </c>
      <c r="W209" s="15">
        <v>0.03</v>
      </c>
      <c r="X209" s="13">
        <v>165994.51999999999</v>
      </c>
      <c r="Y209" s="14">
        <v>159453.73000000001</v>
      </c>
      <c r="Z209" s="14">
        <v>6540.79</v>
      </c>
      <c r="AA209" s="15">
        <v>4.1000000000000002E-2</v>
      </c>
      <c r="AB209" s="13">
        <v>115760.67</v>
      </c>
      <c r="AC209" s="14">
        <v>108795.57</v>
      </c>
      <c r="AD209" s="14">
        <v>6965.09</v>
      </c>
      <c r="AE209" s="15">
        <v>6.4000000000000001E-2</v>
      </c>
      <c r="AF209" s="2"/>
      <c r="AM209" s="4"/>
    </row>
    <row r="210" spans="1:39" x14ac:dyDescent="0.35">
      <c r="A210" s="11" t="s">
        <v>90</v>
      </c>
      <c r="B210" s="12" t="s">
        <v>84</v>
      </c>
      <c r="C210" s="12" t="s">
        <v>77</v>
      </c>
      <c r="D210" s="13">
        <v>58999464.5</v>
      </c>
      <c r="E210" s="14">
        <v>62867045.119999997</v>
      </c>
      <c r="F210" s="14">
        <v>-3867580.62</v>
      </c>
      <c r="G210" s="15">
        <v>-6.1499999999999999E-2</v>
      </c>
      <c r="H210" s="13">
        <v>383496.52</v>
      </c>
      <c r="I210" s="14">
        <v>405181.85</v>
      </c>
      <c r="J210" s="14">
        <v>-21685.33</v>
      </c>
      <c r="K210" s="15">
        <v>-5.3499999999999999E-2</v>
      </c>
      <c r="L210" s="13">
        <v>122718.89</v>
      </c>
      <c r="M210" s="14">
        <v>127238.39999999999</v>
      </c>
      <c r="N210" s="14">
        <v>-4519.51</v>
      </c>
      <c r="O210" s="15">
        <v>-3.5499999999999997E-2</v>
      </c>
      <c r="P210" s="13">
        <v>4129.96</v>
      </c>
      <c r="Q210" s="14">
        <v>4238.12</v>
      </c>
      <c r="R210" s="14">
        <v>-108.16</v>
      </c>
      <c r="S210" s="15">
        <v>-2.5499999999999998E-2</v>
      </c>
      <c r="T210" s="13">
        <v>256647.67</v>
      </c>
      <c r="U210" s="14">
        <v>268044.94</v>
      </c>
      <c r="V210" s="14">
        <v>-11397.27</v>
      </c>
      <c r="W210" s="15">
        <v>-4.2500000000000003E-2</v>
      </c>
      <c r="X210" s="13">
        <v>161166.87</v>
      </c>
      <c r="Y210" s="14">
        <v>166412.19</v>
      </c>
      <c r="Z210" s="14">
        <v>-5245.31</v>
      </c>
      <c r="AA210" s="15">
        <v>-3.15E-2</v>
      </c>
      <c r="AB210" s="13">
        <v>95480.8</v>
      </c>
      <c r="AC210" s="14">
        <v>96301.28</v>
      </c>
      <c r="AD210" s="14">
        <v>-820.49</v>
      </c>
      <c r="AE210" s="15">
        <v>-8.5000000000000006E-3</v>
      </c>
      <c r="AF210" s="2"/>
      <c r="AM210" s="4"/>
    </row>
    <row r="211" spans="1:39" x14ac:dyDescent="0.35">
      <c r="A211" s="11" t="s">
        <v>90</v>
      </c>
      <c r="B211" s="12" t="s">
        <v>84</v>
      </c>
      <c r="C211" s="12" t="s">
        <v>78</v>
      </c>
      <c r="D211" s="13">
        <v>15912455.630000001</v>
      </c>
      <c r="E211" s="14">
        <v>14838171.98</v>
      </c>
      <c r="F211" s="14">
        <v>1074283.6499999999</v>
      </c>
      <c r="G211" s="15">
        <v>7.2400000000000006E-2</v>
      </c>
      <c r="H211" s="13">
        <v>47737.37</v>
      </c>
      <c r="I211" s="14">
        <v>44184.9</v>
      </c>
      <c r="J211" s="14">
        <v>3552.47</v>
      </c>
      <c r="K211" s="15">
        <v>8.0399999999999999E-2</v>
      </c>
      <c r="L211" s="13">
        <v>8592.73</v>
      </c>
      <c r="M211" s="14">
        <v>7822.95</v>
      </c>
      <c r="N211" s="14">
        <v>769.78</v>
      </c>
      <c r="O211" s="15">
        <v>9.8400000000000001E-2</v>
      </c>
      <c r="P211" s="13">
        <v>1113.8699999999999</v>
      </c>
      <c r="Q211" s="14">
        <v>1004.94</v>
      </c>
      <c r="R211" s="14">
        <v>108.93</v>
      </c>
      <c r="S211" s="15">
        <v>0.1084</v>
      </c>
      <c r="T211" s="13">
        <v>38030.769999999997</v>
      </c>
      <c r="U211" s="14">
        <v>34845.86</v>
      </c>
      <c r="V211" s="14">
        <v>3184.91</v>
      </c>
      <c r="W211" s="15">
        <v>9.1399999999999995E-2</v>
      </c>
      <c r="X211" s="13">
        <v>20061.939999999999</v>
      </c>
      <c r="Y211" s="14">
        <v>18198.419999999998</v>
      </c>
      <c r="Z211" s="14">
        <v>1863.52</v>
      </c>
      <c r="AA211" s="15">
        <v>0.1024</v>
      </c>
      <c r="AB211" s="13">
        <v>17968.830000000002</v>
      </c>
      <c r="AC211" s="14">
        <v>15966.62</v>
      </c>
      <c r="AD211" s="14">
        <v>2002.21</v>
      </c>
      <c r="AE211" s="15">
        <v>0.12540000000000001</v>
      </c>
      <c r="AF211" s="2"/>
      <c r="AM211" s="4"/>
    </row>
    <row r="212" spans="1:39" x14ac:dyDescent="0.35">
      <c r="A212" s="11" t="s">
        <v>90</v>
      </c>
      <c r="B212" s="12" t="s">
        <v>84</v>
      </c>
      <c r="C212" s="12" t="s">
        <v>79</v>
      </c>
      <c r="D212" s="13">
        <v>23436532.629999999</v>
      </c>
      <c r="E212" s="14">
        <v>22789759.260000002</v>
      </c>
      <c r="F212" s="14">
        <v>646773.37</v>
      </c>
      <c r="G212" s="15">
        <v>2.8400000000000002E-2</v>
      </c>
      <c r="H212" s="13">
        <v>105464.4</v>
      </c>
      <c r="I212" s="14">
        <v>101762.29</v>
      </c>
      <c r="J212" s="14">
        <v>3702.11</v>
      </c>
      <c r="K212" s="15">
        <v>3.6400000000000002E-2</v>
      </c>
      <c r="L212" s="13">
        <v>23202.17</v>
      </c>
      <c r="M212" s="14">
        <v>22005.51</v>
      </c>
      <c r="N212" s="14">
        <v>1196.6600000000001</v>
      </c>
      <c r="O212" s="15">
        <v>5.4399999999999997E-2</v>
      </c>
      <c r="P212" s="13">
        <v>1640.56</v>
      </c>
      <c r="Q212" s="14">
        <v>1541.33</v>
      </c>
      <c r="R212" s="14">
        <v>99.23</v>
      </c>
      <c r="S212" s="15">
        <v>6.4399999999999999E-2</v>
      </c>
      <c r="T212" s="13">
        <v>80621.67</v>
      </c>
      <c r="U212" s="14">
        <v>76974.61</v>
      </c>
      <c r="V212" s="14">
        <v>3647.06</v>
      </c>
      <c r="W212" s="15">
        <v>4.7399999999999998E-2</v>
      </c>
      <c r="X212" s="13">
        <v>44322.09</v>
      </c>
      <c r="Y212" s="14">
        <v>41877.29</v>
      </c>
      <c r="Z212" s="14">
        <v>2444.8000000000002</v>
      </c>
      <c r="AA212" s="15">
        <v>5.8400000000000001E-2</v>
      </c>
      <c r="AB212" s="13">
        <v>36299.58</v>
      </c>
      <c r="AC212" s="14">
        <v>33567.83</v>
      </c>
      <c r="AD212" s="14">
        <v>2731.75</v>
      </c>
      <c r="AE212" s="15">
        <v>8.14E-2</v>
      </c>
      <c r="AF212" s="2"/>
      <c r="AM212" s="4"/>
    </row>
    <row r="213" spans="1:39" x14ac:dyDescent="0.35">
      <c r="A213" s="16" t="s">
        <v>91</v>
      </c>
      <c r="B213" s="17" t="s">
        <v>74</v>
      </c>
      <c r="C213" s="17" t="s">
        <v>75</v>
      </c>
      <c r="D213" s="18">
        <v>16628959.75</v>
      </c>
      <c r="E213" s="19">
        <v>15643718.369999999</v>
      </c>
      <c r="F213" s="19">
        <v>985241.38</v>
      </c>
      <c r="G213" s="20">
        <v>6.3E-2</v>
      </c>
      <c r="H213" s="18">
        <v>124717.2</v>
      </c>
      <c r="I213" s="19">
        <v>116451.47</v>
      </c>
      <c r="J213" s="19">
        <v>8265.73</v>
      </c>
      <c r="K213" s="20">
        <v>7.0999999999999994E-2</v>
      </c>
      <c r="L213" s="18">
        <v>43651.02</v>
      </c>
      <c r="M213" s="19">
        <v>40084.32</v>
      </c>
      <c r="N213" s="19">
        <v>3566.7</v>
      </c>
      <c r="O213" s="20">
        <v>8.8999999999999996E-2</v>
      </c>
      <c r="P213" s="18">
        <v>2993.21</v>
      </c>
      <c r="Q213" s="19">
        <v>2723.63</v>
      </c>
      <c r="R213" s="19">
        <v>269.58</v>
      </c>
      <c r="S213" s="20">
        <v>9.9000000000000005E-2</v>
      </c>
      <c r="T213" s="18">
        <v>78072.97</v>
      </c>
      <c r="U213" s="19">
        <v>72157.5</v>
      </c>
      <c r="V213" s="19">
        <v>5915.47</v>
      </c>
      <c r="W213" s="20">
        <v>8.2000000000000003E-2</v>
      </c>
      <c r="X213" s="18">
        <v>50064.75</v>
      </c>
      <c r="Y213" s="19">
        <v>45805.73</v>
      </c>
      <c r="Z213" s="19">
        <v>4259.0200000000004</v>
      </c>
      <c r="AA213" s="20">
        <v>9.2999999999999999E-2</v>
      </c>
      <c r="AB213" s="18">
        <v>28008.22</v>
      </c>
      <c r="AC213" s="19">
        <v>25097.42</v>
      </c>
      <c r="AD213" s="19">
        <v>2910.8</v>
      </c>
      <c r="AE213" s="20">
        <v>0.11600000000000001</v>
      </c>
      <c r="AF213" s="2"/>
      <c r="AM213" s="4"/>
    </row>
    <row r="214" spans="1:39" x14ac:dyDescent="0.35">
      <c r="A214" s="16" t="s">
        <v>91</v>
      </c>
      <c r="B214" s="17" t="s">
        <v>74</v>
      </c>
      <c r="C214" s="17" t="s">
        <v>76</v>
      </c>
      <c r="D214" s="18">
        <v>25722226.34</v>
      </c>
      <c r="E214" s="19">
        <v>23646533.620000001</v>
      </c>
      <c r="F214" s="19">
        <v>2075692.72</v>
      </c>
      <c r="G214" s="20">
        <v>8.7800000000000003E-2</v>
      </c>
      <c r="H214" s="18">
        <v>270083.38</v>
      </c>
      <c r="I214" s="19">
        <v>246475.92</v>
      </c>
      <c r="J214" s="19">
        <v>23607.46</v>
      </c>
      <c r="K214" s="20">
        <v>9.5799999999999996E-2</v>
      </c>
      <c r="L214" s="18">
        <v>75623.350000000006</v>
      </c>
      <c r="M214" s="19">
        <v>67897.919999999998</v>
      </c>
      <c r="N214" s="19">
        <v>7725.43</v>
      </c>
      <c r="O214" s="20">
        <v>0.1138</v>
      </c>
      <c r="P214" s="18">
        <v>4630</v>
      </c>
      <c r="Q214" s="19">
        <v>4120.0200000000004</v>
      </c>
      <c r="R214" s="19">
        <v>509.98</v>
      </c>
      <c r="S214" s="20">
        <v>0.12379999999999999</v>
      </c>
      <c r="T214" s="18">
        <v>189830.03</v>
      </c>
      <c r="U214" s="19">
        <v>171515.59</v>
      </c>
      <c r="V214" s="19">
        <v>18314.439999999999</v>
      </c>
      <c r="W214" s="20">
        <v>0.10680000000000001</v>
      </c>
      <c r="X214" s="18">
        <v>108418.54</v>
      </c>
      <c r="Y214" s="19">
        <v>96994.53</v>
      </c>
      <c r="Z214" s="19">
        <v>11424.02</v>
      </c>
      <c r="AA214" s="20">
        <v>0.1178</v>
      </c>
      <c r="AB214" s="18">
        <v>81411.490000000005</v>
      </c>
      <c r="AC214" s="19">
        <v>71364.759999999995</v>
      </c>
      <c r="AD214" s="19">
        <v>10046.73</v>
      </c>
      <c r="AE214" s="20">
        <v>0.14080000000000001</v>
      </c>
      <c r="AF214" s="2"/>
      <c r="AM214" s="4"/>
    </row>
    <row r="215" spans="1:39" x14ac:dyDescent="0.35">
      <c r="A215" s="16" t="s">
        <v>91</v>
      </c>
      <c r="B215" s="17" t="s">
        <v>74</v>
      </c>
      <c r="C215" s="17" t="s">
        <v>77</v>
      </c>
      <c r="D215" s="18">
        <v>39372636.869999997</v>
      </c>
      <c r="E215" s="19">
        <v>37279045.670000002</v>
      </c>
      <c r="F215" s="19">
        <v>2093591.2</v>
      </c>
      <c r="G215" s="20">
        <v>5.62E-2</v>
      </c>
      <c r="H215" s="18">
        <v>255922.14</v>
      </c>
      <c r="I215" s="19">
        <v>240492.16</v>
      </c>
      <c r="J215" s="19">
        <v>15429.98</v>
      </c>
      <c r="K215" s="20">
        <v>6.4199999999999993E-2</v>
      </c>
      <c r="L215" s="18">
        <v>81895.08</v>
      </c>
      <c r="M215" s="19">
        <v>75677.42</v>
      </c>
      <c r="N215" s="19">
        <v>6217.66</v>
      </c>
      <c r="O215" s="20">
        <v>8.2199999999999995E-2</v>
      </c>
      <c r="P215" s="18">
        <v>7087.07</v>
      </c>
      <c r="Q215" s="19">
        <v>6489.04</v>
      </c>
      <c r="R215" s="19">
        <v>598.03</v>
      </c>
      <c r="S215" s="20">
        <v>9.2200000000000004E-2</v>
      </c>
      <c r="T215" s="18">
        <v>166939.98000000001</v>
      </c>
      <c r="U215" s="19">
        <v>155269.89000000001</v>
      </c>
      <c r="V215" s="19">
        <v>11670.09</v>
      </c>
      <c r="W215" s="20">
        <v>7.5200000000000003E-2</v>
      </c>
      <c r="X215" s="18">
        <v>102733.85</v>
      </c>
      <c r="Y215" s="19">
        <v>94584.45</v>
      </c>
      <c r="Z215" s="19">
        <v>8149.4</v>
      </c>
      <c r="AA215" s="20">
        <v>8.6199999999999999E-2</v>
      </c>
      <c r="AB215" s="18">
        <v>64206.13</v>
      </c>
      <c r="AC215" s="19">
        <v>57887.17</v>
      </c>
      <c r="AD215" s="19">
        <v>6318.96</v>
      </c>
      <c r="AE215" s="20">
        <v>0.10920000000000001</v>
      </c>
      <c r="AF215" s="2"/>
      <c r="AM215" s="4"/>
    </row>
    <row r="216" spans="1:39" x14ac:dyDescent="0.35">
      <c r="A216" s="16" t="s">
        <v>91</v>
      </c>
      <c r="B216" s="17" t="s">
        <v>74</v>
      </c>
      <c r="C216" s="17" t="s">
        <v>78</v>
      </c>
      <c r="D216" s="18">
        <v>10701534.720000001</v>
      </c>
      <c r="E216" s="19">
        <v>10252869.17</v>
      </c>
      <c r="F216" s="19">
        <v>448665.55</v>
      </c>
      <c r="G216" s="20">
        <v>4.3799999999999999E-2</v>
      </c>
      <c r="H216" s="18">
        <v>32104.6</v>
      </c>
      <c r="I216" s="19">
        <v>30524.639999999999</v>
      </c>
      <c r="J216" s="19">
        <v>1579.96</v>
      </c>
      <c r="K216" s="20">
        <v>5.1799999999999999E-2</v>
      </c>
      <c r="L216" s="18">
        <v>5778.83</v>
      </c>
      <c r="M216" s="19">
        <v>5401.99</v>
      </c>
      <c r="N216" s="19">
        <v>376.84</v>
      </c>
      <c r="O216" s="20">
        <v>6.9800000000000001E-2</v>
      </c>
      <c r="P216" s="18">
        <v>1926.28</v>
      </c>
      <c r="Q216" s="19">
        <v>1783.99</v>
      </c>
      <c r="R216" s="19">
        <v>142.29</v>
      </c>
      <c r="S216" s="20">
        <v>7.9799999999999996E-2</v>
      </c>
      <c r="T216" s="18">
        <v>24399.5</v>
      </c>
      <c r="U216" s="19">
        <v>22958.62</v>
      </c>
      <c r="V216" s="19">
        <v>1440.88</v>
      </c>
      <c r="W216" s="20">
        <v>6.2799999999999995E-2</v>
      </c>
      <c r="X216" s="18">
        <v>12887.63</v>
      </c>
      <c r="Y216" s="19">
        <v>12002.34</v>
      </c>
      <c r="Z216" s="19">
        <v>885.29</v>
      </c>
      <c r="AA216" s="20">
        <v>7.3800000000000004E-2</v>
      </c>
      <c r="AB216" s="18">
        <v>11511.87</v>
      </c>
      <c r="AC216" s="19">
        <v>10496.26</v>
      </c>
      <c r="AD216" s="19">
        <v>1015.62</v>
      </c>
      <c r="AE216" s="20">
        <v>9.6799999999999997E-2</v>
      </c>
      <c r="AF216" s="2"/>
      <c r="AM216" s="4"/>
    </row>
    <row r="217" spans="1:39" x14ac:dyDescent="0.35">
      <c r="A217" s="16" t="s">
        <v>91</v>
      </c>
      <c r="B217" s="17" t="s">
        <v>74</v>
      </c>
      <c r="C217" s="17" t="s">
        <v>79</v>
      </c>
      <c r="D217" s="18">
        <v>15520913.17</v>
      </c>
      <c r="E217" s="19">
        <v>15259967.720000001</v>
      </c>
      <c r="F217" s="19">
        <v>260945.45</v>
      </c>
      <c r="G217" s="20">
        <v>1.7100000000000001E-2</v>
      </c>
      <c r="H217" s="18">
        <v>69844.11</v>
      </c>
      <c r="I217" s="19">
        <v>68133.95</v>
      </c>
      <c r="J217" s="19">
        <v>1710.16</v>
      </c>
      <c r="K217" s="20">
        <v>2.5100000000000001E-2</v>
      </c>
      <c r="L217" s="18">
        <v>15365.7</v>
      </c>
      <c r="M217" s="19">
        <v>14730.8</v>
      </c>
      <c r="N217" s="19">
        <v>634.9</v>
      </c>
      <c r="O217" s="20">
        <v>4.3099999999999999E-2</v>
      </c>
      <c r="P217" s="18">
        <v>2793.76</v>
      </c>
      <c r="Q217" s="19">
        <v>2652.89</v>
      </c>
      <c r="R217" s="19">
        <v>140.87</v>
      </c>
      <c r="S217" s="20">
        <v>5.3100000000000001E-2</v>
      </c>
      <c r="T217" s="18">
        <v>51684.639999999999</v>
      </c>
      <c r="U217" s="19">
        <v>49883.83</v>
      </c>
      <c r="V217" s="19">
        <v>1800.81</v>
      </c>
      <c r="W217" s="20">
        <v>3.61E-2</v>
      </c>
      <c r="X217" s="18">
        <v>28037.26</v>
      </c>
      <c r="Y217" s="19">
        <v>26776.1</v>
      </c>
      <c r="Z217" s="19">
        <v>1261.1500000000001</v>
      </c>
      <c r="AA217" s="20">
        <v>4.7100000000000003E-2</v>
      </c>
      <c r="AB217" s="18">
        <v>23647.38</v>
      </c>
      <c r="AC217" s="19">
        <v>22098.29</v>
      </c>
      <c r="AD217" s="19">
        <v>1549.09</v>
      </c>
      <c r="AE217" s="20">
        <v>7.0099999999999996E-2</v>
      </c>
      <c r="AF217" s="2"/>
      <c r="AM217" s="4"/>
    </row>
    <row r="218" spans="1:39" x14ac:dyDescent="0.35">
      <c r="A218" s="16" t="s">
        <v>91</v>
      </c>
      <c r="B218" s="17" t="s">
        <v>80</v>
      </c>
      <c r="C218" s="17" t="s">
        <v>75</v>
      </c>
      <c r="D218" s="18">
        <v>7905282.9199999999</v>
      </c>
      <c r="E218" s="19">
        <v>7597142.8099999996</v>
      </c>
      <c r="F218" s="19">
        <v>308140.11</v>
      </c>
      <c r="G218" s="20">
        <v>4.0599999999999997E-2</v>
      </c>
      <c r="H218" s="18">
        <v>59289.62</v>
      </c>
      <c r="I218" s="19">
        <v>56543.85</v>
      </c>
      <c r="J218" s="19">
        <v>2745.77</v>
      </c>
      <c r="K218" s="20">
        <v>4.8599999999999997E-2</v>
      </c>
      <c r="L218" s="18">
        <v>20751.37</v>
      </c>
      <c r="M218" s="19">
        <v>19456.36</v>
      </c>
      <c r="N218" s="19">
        <v>1295.01</v>
      </c>
      <c r="O218" s="20">
        <v>6.6600000000000006E-2</v>
      </c>
      <c r="P218" s="18">
        <v>711.48</v>
      </c>
      <c r="Q218" s="19">
        <v>660.88</v>
      </c>
      <c r="R218" s="19">
        <v>50.6</v>
      </c>
      <c r="S218" s="20">
        <v>7.6600000000000001E-2</v>
      </c>
      <c r="T218" s="18">
        <v>37826.78</v>
      </c>
      <c r="U218" s="19">
        <v>35700.46</v>
      </c>
      <c r="V218" s="19">
        <v>2126.3200000000002</v>
      </c>
      <c r="W218" s="20">
        <v>5.96E-2</v>
      </c>
      <c r="X218" s="18">
        <v>23800.41</v>
      </c>
      <c r="Y218" s="19">
        <v>22231.74</v>
      </c>
      <c r="Z218" s="19">
        <v>1568.67</v>
      </c>
      <c r="AA218" s="20">
        <v>7.0599999999999996E-2</v>
      </c>
      <c r="AB218" s="18">
        <v>14026.37</v>
      </c>
      <c r="AC218" s="19">
        <v>12826.34</v>
      </c>
      <c r="AD218" s="19">
        <v>1200.03</v>
      </c>
      <c r="AE218" s="20">
        <v>9.3600000000000003E-2</v>
      </c>
      <c r="AF218" s="2"/>
      <c r="AM218" s="4"/>
    </row>
    <row r="219" spans="1:39" x14ac:dyDescent="0.35">
      <c r="A219" s="16" t="s">
        <v>91</v>
      </c>
      <c r="B219" s="17" t="s">
        <v>80</v>
      </c>
      <c r="C219" s="17" t="s">
        <v>76</v>
      </c>
      <c r="D219" s="18">
        <v>12220428.380000001</v>
      </c>
      <c r="E219" s="19">
        <v>11470703.220000001</v>
      </c>
      <c r="F219" s="19">
        <v>749725.16</v>
      </c>
      <c r="G219" s="20">
        <v>6.54E-2</v>
      </c>
      <c r="H219" s="18">
        <v>128314.5</v>
      </c>
      <c r="I219" s="19">
        <v>119544.7</v>
      </c>
      <c r="J219" s="19">
        <v>8769.7999999999993</v>
      </c>
      <c r="K219" s="20">
        <v>7.3400000000000007E-2</v>
      </c>
      <c r="L219" s="18">
        <v>35928.06</v>
      </c>
      <c r="M219" s="19">
        <v>32920.449999999997</v>
      </c>
      <c r="N219" s="19">
        <v>3007.61</v>
      </c>
      <c r="O219" s="20">
        <v>9.1399999999999995E-2</v>
      </c>
      <c r="P219" s="18">
        <v>1099.8399999999999</v>
      </c>
      <c r="Q219" s="19">
        <v>998.62</v>
      </c>
      <c r="R219" s="19">
        <v>101.22</v>
      </c>
      <c r="S219" s="20">
        <v>0.1014</v>
      </c>
      <c r="T219" s="18">
        <v>91286.6</v>
      </c>
      <c r="U219" s="19">
        <v>84184.77</v>
      </c>
      <c r="V219" s="19">
        <v>7101.83</v>
      </c>
      <c r="W219" s="20">
        <v>8.4400000000000003E-2</v>
      </c>
      <c r="X219" s="18">
        <v>51508.800000000003</v>
      </c>
      <c r="Y219" s="19">
        <v>47024.54</v>
      </c>
      <c r="Z219" s="19">
        <v>4484.26</v>
      </c>
      <c r="AA219" s="20">
        <v>9.5399999999999999E-2</v>
      </c>
      <c r="AB219" s="18">
        <v>39777.800000000003</v>
      </c>
      <c r="AC219" s="19">
        <v>35567.97</v>
      </c>
      <c r="AD219" s="19">
        <v>4209.83</v>
      </c>
      <c r="AE219" s="20">
        <v>0.11840000000000001</v>
      </c>
      <c r="AF219" s="2"/>
      <c r="AM219" s="4"/>
    </row>
    <row r="220" spans="1:39" x14ac:dyDescent="0.35">
      <c r="A220" s="16" t="s">
        <v>91</v>
      </c>
      <c r="B220" s="17" t="s">
        <v>80</v>
      </c>
      <c r="C220" s="17" t="s">
        <v>77</v>
      </c>
      <c r="D220" s="18">
        <v>18717456.68</v>
      </c>
      <c r="E220" s="19">
        <v>18106541.949999999</v>
      </c>
      <c r="F220" s="19">
        <v>610914.73</v>
      </c>
      <c r="G220" s="20">
        <v>3.3700000000000001E-2</v>
      </c>
      <c r="H220" s="18">
        <v>121663.47</v>
      </c>
      <c r="I220" s="19">
        <v>116788.71</v>
      </c>
      <c r="J220" s="19">
        <v>4874.76</v>
      </c>
      <c r="K220" s="20">
        <v>4.1700000000000001E-2</v>
      </c>
      <c r="L220" s="18">
        <v>38932.31</v>
      </c>
      <c r="M220" s="19">
        <v>36737.61</v>
      </c>
      <c r="N220" s="19">
        <v>2194.6999999999998</v>
      </c>
      <c r="O220" s="20">
        <v>5.9700000000000003E-2</v>
      </c>
      <c r="P220" s="18">
        <v>1684.57</v>
      </c>
      <c r="Q220" s="19">
        <v>1574.75</v>
      </c>
      <c r="R220" s="19">
        <v>109.82</v>
      </c>
      <c r="S220" s="20">
        <v>6.9699999999999998E-2</v>
      </c>
      <c r="T220" s="18">
        <v>81046.59</v>
      </c>
      <c r="U220" s="19">
        <v>76986.33</v>
      </c>
      <c r="V220" s="19">
        <v>4060.26</v>
      </c>
      <c r="W220" s="20">
        <v>5.2699999999999997E-2</v>
      </c>
      <c r="X220" s="18">
        <v>48838.9</v>
      </c>
      <c r="Y220" s="19">
        <v>45912.44</v>
      </c>
      <c r="Z220" s="19">
        <v>2926.46</v>
      </c>
      <c r="AA220" s="20">
        <v>6.3700000000000007E-2</v>
      </c>
      <c r="AB220" s="18">
        <v>32207.69</v>
      </c>
      <c r="AC220" s="19">
        <v>29636.98</v>
      </c>
      <c r="AD220" s="19">
        <v>2570.71</v>
      </c>
      <c r="AE220" s="20">
        <v>8.6699999999999999E-2</v>
      </c>
      <c r="AF220" s="2"/>
      <c r="AM220" s="4"/>
    </row>
    <row r="221" spans="1:39" x14ac:dyDescent="0.35">
      <c r="A221" s="16" t="s">
        <v>91</v>
      </c>
      <c r="B221" s="17" t="s">
        <v>80</v>
      </c>
      <c r="C221" s="17" t="s">
        <v>78</v>
      </c>
      <c r="D221" s="18">
        <v>5084215.37</v>
      </c>
      <c r="E221" s="19">
        <v>4977985.17</v>
      </c>
      <c r="F221" s="19">
        <v>106230.2</v>
      </c>
      <c r="G221" s="20">
        <v>2.1299999999999999E-2</v>
      </c>
      <c r="H221" s="18">
        <v>15252.65</v>
      </c>
      <c r="I221" s="19">
        <v>14817.89</v>
      </c>
      <c r="J221" s="19">
        <v>434.76</v>
      </c>
      <c r="K221" s="20">
        <v>2.93E-2</v>
      </c>
      <c r="L221" s="18">
        <v>2745.48</v>
      </c>
      <c r="M221" s="19">
        <v>2621.38</v>
      </c>
      <c r="N221" s="19">
        <v>124.1</v>
      </c>
      <c r="O221" s="20">
        <v>4.7300000000000002E-2</v>
      </c>
      <c r="P221" s="18">
        <v>457.58</v>
      </c>
      <c r="Q221" s="19">
        <v>432.77</v>
      </c>
      <c r="R221" s="19">
        <v>24.81</v>
      </c>
      <c r="S221" s="20">
        <v>5.7299999999999997E-2</v>
      </c>
      <c r="T221" s="18">
        <v>12049.59</v>
      </c>
      <c r="U221" s="19">
        <v>11582.36</v>
      </c>
      <c r="V221" s="19">
        <v>467.23</v>
      </c>
      <c r="W221" s="20">
        <v>4.0300000000000002E-2</v>
      </c>
      <c r="X221" s="18">
        <v>6122.81</v>
      </c>
      <c r="Y221" s="19">
        <v>5823.82</v>
      </c>
      <c r="Z221" s="19">
        <v>298.99</v>
      </c>
      <c r="AA221" s="20">
        <v>5.1299999999999998E-2</v>
      </c>
      <c r="AB221" s="18">
        <v>5926.78</v>
      </c>
      <c r="AC221" s="19">
        <v>5516.67</v>
      </c>
      <c r="AD221" s="19">
        <v>410.11</v>
      </c>
      <c r="AE221" s="20">
        <v>7.4300000000000005E-2</v>
      </c>
      <c r="AF221" s="2"/>
      <c r="AM221" s="4"/>
    </row>
    <row r="222" spans="1:39" x14ac:dyDescent="0.35">
      <c r="A222" s="16" t="s">
        <v>91</v>
      </c>
      <c r="B222" s="17" t="s">
        <v>80</v>
      </c>
      <c r="C222" s="17" t="s">
        <v>79</v>
      </c>
      <c r="D222" s="18">
        <v>7373864.3499999996</v>
      </c>
      <c r="E222" s="19">
        <v>7413303.1200000001</v>
      </c>
      <c r="F222" s="19">
        <v>-39438.769999999997</v>
      </c>
      <c r="G222" s="20">
        <v>-5.3E-3</v>
      </c>
      <c r="H222" s="18">
        <v>33182.39</v>
      </c>
      <c r="I222" s="19">
        <v>33093.699999999997</v>
      </c>
      <c r="J222" s="19">
        <v>88.69</v>
      </c>
      <c r="K222" s="20">
        <v>2.7000000000000001E-3</v>
      </c>
      <c r="L222" s="18">
        <v>7300.13</v>
      </c>
      <c r="M222" s="19">
        <v>7152.22</v>
      </c>
      <c r="N222" s="19">
        <v>147.91</v>
      </c>
      <c r="O222" s="20">
        <v>2.07E-2</v>
      </c>
      <c r="P222" s="18">
        <v>663.65</v>
      </c>
      <c r="Q222" s="19">
        <v>643.9</v>
      </c>
      <c r="R222" s="19">
        <v>19.75</v>
      </c>
      <c r="S222" s="20">
        <v>3.0700000000000002E-2</v>
      </c>
      <c r="T222" s="18">
        <v>25218.62</v>
      </c>
      <c r="U222" s="19">
        <v>24878.29</v>
      </c>
      <c r="V222" s="19">
        <v>340.33</v>
      </c>
      <c r="W222" s="20">
        <v>1.37E-2</v>
      </c>
      <c r="X222" s="18">
        <v>13320.28</v>
      </c>
      <c r="Y222" s="19">
        <v>12999.45</v>
      </c>
      <c r="Z222" s="19">
        <v>320.83</v>
      </c>
      <c r="AA222" s="20">
        <v>2.47E-2</v>
      </c>
      <c r="AB222" s="18">
        <v>11898.34</v>
      </c>
      <c r="AC222" s="19">
        <v>11356.85</v>
      </c>
      <c r="AD222" s="19">
        <v>541.49</v>
      </c>
      <c r="AE222" s="20">
        <v>4.7699999999999999E-2</v>
      </c>
      <c r="AF222" s="2"/>
      <c r="AM222" s="4"/>
    </row>
    <row r="223" spans="1:39" x14ac:dyDescent="0.35">
      <c r="A223" s="16" t="s">
        <v>91</v>
      </c>
      <c r="B223" s="17" t="s">
        <v>81</v>
      </c>
      <c r="C223" s="17" t="s">
        <v>75</v>
      </c>
      <c r="D223" s="18">
        <v>11412782.77</v>
      </c>
      <c r="E223" s="19">
        <v>10837321.02</v>
      </c>
      <c r="F223" s="19">
        <v>575461.75</v>
      </c>
      <c r="G223" s="20">
        <v>5.3100000000000001E-2</v>
      </c>
      <c r="H223" s="18">
        <v>85595.87</v>
      </c>
      <c r="I223" s="19">
        <v>80667.11</v>
      </c>
      <c r="J223" s="19">
        <v>4928.76</v>
      </c>
      <c r="K223" s="20">
        <v>6.1100000000000002E-2</v>
      </c>
      <c r="L223" s="18">
        <v>29958.55</v>
      </c>
      <c r="M223" s="19">
        <v>27762.53</v>
      </c>
      <c r="N223" s="19">
        <v>2196.02</v>
      </c>
      <c r="O223" s="20">
        <v>7.9100000000000004E-2</v>
      </c>
      <c r="P223" s="18">
        <v>2282.56</v>
      </c>
      <c r="Q223" s="19">
        <v>2095.8200000000002</v>
      </c>
      <c r="R223" s="19">
        <v>186.74</v>
      </c>
      <c r="S223" s="20">
        <v>8.9099999999999999E-2</v>
      </c>
      <c r="T223" s="18">
        <v>53354.76</v>
      </c>
      <c r="U223" s="19">
        <v>49766.59</v>
      </c>
      <c r="V223" s="19">
        <v>3588.17</v>
      </c>
      <c r="W223" s="20">
        <v>7.2099999999999997E-2</v>
      </c>
      <c r="X223" s="18">
        <v>34360.42</v>
      </c>
      <c r="Y223" s="19">
        <v>31724.15</v>
      </c>
      <c r="Z223" s="19">
        <v>2636.28</v>
      </c>
      <c r="AA223" s="20">
        <v>8.3099999999999993E-2</v>
      </c>
      <c r="AB223" s="18">
        <v>18994.34</v>
      </c>
      <c r="AC223" s="19">
        <v>17172.349999999999</v>
      </c>
      <c r="AD223" s="19">
        <v>1821.99</v>
      </c>
      <c r="AE223" s="20">
        <v>0.1061</v>
      </c>
      <c r="AF223" s="2"/>
      <c r="AM223" s="4"/>
    </row>
    <row r="224" spans="1:39" x14ac:dyDescent="0.35">
      <c r="A224" s="16" t="s">
        <v>91</v>
      </c>
      <c r="B224" s="17" t="s">
        <v>81</v>
      </c>
      <c r="C224" s="17" t="s">
        <v>76</v>
      </c>
      <c r="D224" s="18">
        <v>17659093.91</v>
      </c>
      <c r="E224" s="19">
        <v>16382868.460000001</v>
      </c>
      <c r="F224" s="19">
        <v>1276225.45</v>
      </c>
      <c r="G224" s="20">
        <v>7.7899999999999997E-2</v>
      </c>
      <c r="H224" s="18">
        <v>185420.49</v>
      </c>
      <c r="I224" s="19">
        <v>170752.82</v>
      </c>
      <c r="J224" s="19">
        <v>14667.67</v>
      </c>
      <c r="K224" s="20">
        <v>8.5900000000000004E-2</v>
      </c>
      <c r="L224" s="18">
        <v>51917.74</v>
      </c>
      <c r="M224" s="19">
        <v>47031.199999999997</v>
      </c>
      <c r="N224" s="19">
        <v>4886.54</v>
      </c>
      <c r="O224" s="20">
        <v>0.10390000000000001</v>
      </c>
      <c r="P224" s="18">
        <v>3531.82</v>
      </c>
      <c r="Q224" s="19">
        <v>3170.68</v>
      </c>
      <c r="R224" s="19">
        <v>361.14</v>
      </c>
      <c r="S224" s="20">
        <v>0.1139</v>
      </c>
      <c r="T224" s="18">
        <v>129970.93</v>
      </c>
      <c r="U224" s="19">
        <v>118489.32</v>
      </c>
      <c r="V224" s="19">
        <v>11481.61</v>
      </c>
      <c r="W224" s="20">
        <v>9.69E-2</v>
      </c>
      <c r="X224" s="18">
        <v>74432.639999999999</v>
      </c>
      <c r="Y224" s="19">
        <v>67183.539999999994</v>
      </c>
      <c r="Z224" s="19">
        <v>7249.1</v>
      </c>
      <c r="AA224" s="20">
        <v>0.1079</v>
      </c>
      <c r="AB224" s="18">
        <v>55538.29</v>
      </c>
      <c r="AC224" s="19">
        <v>49109.81</v>
      </c>
      <c r="AD224" s="19">
        <v>6428.47</v>
      </c>
      <c r="AE224" s="20">
        <v>0.13089999999999999</v>
      </c>
      <c r="AF224" s="2"/>
      <c r="AM224" s="4"/>
    </row>
    <row r="225" spans="1:39" x14ac:dyDescent="0.35">
      <c r="A225" s="16" t="s">
        <v>91</v>
      </c>
      <c r="B225" s="17" t="s">
        <v>81</v>
      </c>
      <c r="C225" s="17" t="s">
        <v>77</v>
      </c>
      <c r="D225" s="18">
        <v>27022216.579999998</v>
      </c>
      <c r="E225" s="19">
        <v>25826945.539999999</v>
      </c>
      <c r="F225" s="19">
        <v>1195271.04</v>
      </c>
      <c r="G225" s="20">
        <v>4.6300000000000001E-2</v>
      </c>
      <c r="H225" s="18">
        <v>175644.41</v>
      </c>
      <c r="I225" s="19">
        <v>166601.29</v>
      </c>
      <c r="J225" s="19">
        <v>9043.1200000000008</v>
      </c>
      <c r="K225" s="20">
        <v>5.4300000000000001E-2</v>
      </c>
      <c r="L225" s="18">
        <v>56206.21</v>
      </c>
      <c r="M225" s="19">
        <v>52417.47</v>
      </c>
      <c r="N225" s="19">
        <v>3788.74</v>
      </c>
      <c r="O225" s="20">
        <v>7.2300000000000003E-2</v>
      </c>
      <c r="P225" s="18">
        <v>5404.44</v>
      </c>
      <c r="Q225" s="19">
        <v>4993.57</v>
      </c>
      <c r="R225" s="19">
        <v>410.87</v>
      </c>
      <c r="S225" s="20">
        <v>8.2299999999999998E-2</v>
      </c>
      <c r="T225" s="18">
        <v>114033.75</v>
      </c>
      <c r="U225" s="19">
        <v>107045.8</v>
      </c>
      <c r="V225" s="19">
        <v>6987.95</v>
      </c>
      <c r="W225" s="20">
        <v>6.5299999999999997E-2</v>
      </c>
      <c r="X225" s="18">
        <v>70508.27</v>
      </c>
      <c r="Y225" s="19">
        <v>65511.08</v>
      </c>
      <c r="Z225" s="19">
        <v>4997.1899999999996</v>
      </c>
      <c r="AA225" s="20">
        <v>7.6300000000000007E-2</v>
      </c>
      <c r="AB225" s="18">
        <v>43525.48</v>
      </c>
      <c r="AC225" s="19">
        <v>39594.54</v>
      </c>
      <c r="AD225" s="19">
        <v>3930.95</v>
      </c>
      <c r="AE225" s="20">
        <v>9.9299999999999999E-2</v>
      </c>
      <c r="AF225" s="2"/>
      <c r="AM225" s="4"/>
    </row>
    <row r="226" spans="1:39" x14ac:dyDescent="0.35">
      <c r="A226" s="16" t="s">
        <v>91</v>
      </c>
      <c r="B226" s="17" t="s">
        <v>81</v>
      </c>
      <c r="C226" s="17" t="s">
        <v>78</v>
      </c>
      <c r="D226" s="18">
        <v>7346930.4000000004</v>
      </c>
      <c r="E226" s="19">
        <v>7106173.25</v>
      </c>
      <c r="F226" s="19">
        <v>240757.15</v>
      </c>
      <c r="G226" s="20">
        <v>3.39E-2</v>
      </c>
      <c r="H226" s="18">
        <v>22040.79</v>
      </c>
      <c r="I226" s="19">
        <v>21154.83</v>
      </c>
      <c r="J226" s="19">
        <v>885.96</v>
      </c>
      <c r="K226" s="20">
        <v>4.19E-2</v>
      </c>
      <c r="L226" s="18">
        <v>3967.34</v>
      </c>
      <c r="M226" s="19">
        <v>3743.2</v>
      </c>
      <c r="N226" s="19">
        <v>224.14</v>
      </c>
      <c r="O226" s="20">
        <v>5.9900000000000002E-2</v>
      </c>
      <c r="P226" s="18">
        <v>1469.39</v>
      </c>
      <c r="Q226" s="19">
        <v>1373.42</v>
      </c>
      <c r="R226" s="19">
        <v>95.97</v>
      </c>
      <c r="S226" s="20">
        <v>6.9900000000000004E-2</v>
      </c>
      <c r="T226" s="18">
        <v>16604.060000000001</v>
      </c>
      <c r="U226" s="19">
        <v>15770.14</v>
      </c>
      <c r="V226" s="19">
        <v>833.92</v>
      </c>
      <c r="W226" s="20">
        <v>5.2900000000000003E-2</v>
      </c>
      <c r="X226" s="18">
        <v>8847.75</v>
      </c>
      <c r="Y226" s="19">
        <v>8316.49</v>
      </c>
      <c r="Z226" s="19">
        <v>531.26</v>
      </c>
      <c r="AA226" s="20">
        <v>6.3899999999999998E-2</v>
      </c>
      <c r="AB226" s="18">
        <v>7756.31</v>
      </c>
      <c r="AC226" s="19">
        <v>7136.31</v>
      </c>
      <c r="AD226" s="19">
        <v>620</v>
      </c>
      <c r="AE226" s="20">
        <v>8.6900000000000005E-2</v>
      </c>
      <c r="AF226" s="2"/>
      <c r="AM226" s="4"/>
    </row>
    <row r="227" spans="1:39" x14ac:dyDescent="0.35">
      <c r="A227" s="16" t="s">
        <v>91</v>
      </c>
      <c r="B227" s="17" t="s">
        <v>81</v>
      </c>
      <c r="C227" s="17" t="s">
        <v>79</v>
      </c>
      <c r="D227" s="18">
        <v>10655580.880000001</v>
      </c>
      <c r="E227" s="19">
        <v>10579199.060000001</v>
      </c>
      <c r="F227" s="19">
        <v>76381.820000000007</v>
      </c>
      <c r="G227" s="20">
        <v>7.1999999999999998E-3</v>
      </c>
      <c r="H227" s="18">
        <v>47950.11</v>
      </c>
      <c r="I227" s="19">
        <v>47231.25</v>
      </c>
      <c r="J227" s="19">
        <v>718.86</v>
      </c>
      <c r="K227" s="20">
        <v>1.52E-2</v>
      </c>
      <c r="L227" s="18">
        <v>10549.03</v>
      </c>
      <c r="M227" s="19">
        <v>10209.86</v>
      </c>
      <c r="N227" s="19">
        <v>339.17</v>
      </c>
      <c r="O227" s="20">
        <v>3.32E-2</v>
      </c>
      <c r="P227" s="18">
        <v>2131.12</v>
      </c>
      <c r="Q227" s="19">
        <v>2042.83</v>
      </c>
      <c r="R227" s="19">
        <v>88.29</v>
      </c>
      <c r="S227" s="20">
        <v>4.3200000000000002E-2</v>
      </c>
      <c r="T227" s="18">
        <v>35269.97</v>
      </c>
      <c r="U227" s="19">
        <v>34368.82</v>
      </c>
      <c r="V227" s="19">
        <v>901.15</v>
      </c>
      <c r="W227" s="20">
        <v>2.6200000000000001E-2</v>
      </c>
      <c r="X227" s="18">
        <v>19248.43</v>
      </c>
      <c r="Y227" s="19">
        <v>18557.71</v>
      </c>
      <c r="Z227" s="19">
        <v>690.72</v>
      </c>
      <c r="AA227" s="20">
        <v>3.7199999999999997E-2</v>
      </c>
      <c r="AB227" s="18">
        <v>16021.54</v>
      </c>
      <c r="AC227" s="19">
        <v>15111.52</v>
      </c>
      <c r="AD227" s="19">
        <v>910.02</v>
      </c>
      <c r="AE227" s="20">
        <v>6.0199999999999997E-2</v>
      </c>
      <c r="AF227" s="2"/>
      <c r="AM227" s="4"/>
    </row>
    <row r="228" spans="1:39" x14ac:dyDescent="0.35">
      <c r="A228" s="16" t="s">
        <v>91</v>
      </c>
      <c r="B228" s="17" t="s">
        <v>82</v>
      </c>
      <c r="C228" s="17" t="s">
        <v>75</v>
      </c>
      <c r="D228" s="18">
        <v>13501092.75</v>
      </c>
      <c r="E228" s="19">
        <v>12885427.050000001</v>
      </c>
      <c r="F228" s="19">
        <v>615665.69999999995</v>
      </c>
      <c r="G228" s="20">
        <v>4.7800000000000002E-2</v>
      </c>
      <c r="H228" s="18">
        <v>101258.2</v>
      </c>
      <c r="I228" s="19">
        <v>95908.43</v>
      </c>
      <c r="J228" s="19">
        <v>5349.77</v>
      </c>
      <c r="K228" s="20">
        <v>5.5800000000000002E-2</v>
      </c>
      <c r="L228" s="18">
        <v>35440.370000000003</v>
      </c>
      <c r="M228" s="19">
        <v>33005.24</v>
      </c>
      <c r="N228" s="19">
        <v>2435.13</v>
      </c>
      <c r="O228" s="20">
        <v>7.3800000000000004E-2</v>
      </c>
      <c r="P228" s="18">
        <v>2025.16</v>
      </c>
      <c r="Q228" s="19">
        <v>1868.61</v>
      </c>
      <c r="R228" s="19">
        <v>156.55000000000001</v>
      </c>
      <c r="S228" s="20">
        <v>8.3799999999999999E-2</v>
      </c>
      <c r="T228" s="18">
        <v>63792.66</v>
      </c>
      <c r="U228" s="19">
        <v>59799.27</v>
      </c>
      <c r="V228" s="19">
        <v>3993.39</v>
      </c>
      <c r="W228" s="20">
        <v>6.6799999999999998E-2</v>
      </c>
      <c r="X228" s="18">
        <v>40647.69</v>
      </c>
      <c r="Y228" s="19">
        <v>37714.28</v>
      </c>
      <c r="Z228" s="19">
        <v>2933.42</v>
      </c>
      <c r="AA228" s="20">
        <v>7.7799999999999994E-2</v>
      </c>
      <c r="AB228" s="18">
        <v>23144.97</v>
      </c>
      <c r="AC228" s="19">
        <v>21025.97</v>
      </c>
      <c r="AD228" s="19">
        <v>2119</v>
      </c>
      <c r="AE228" s="20">
        <v>0.1008</v>
      </c>
      <c r="AF228" s="2"/>
      <c r="AM228" s="4"/>
    </row>
    <row r="229" spans="1:39" x14ac:dyDescent="0.35">
      <c r="A229" s="16" t="s">
        <v>91</v>
      </c>
      <c r="B229" s="17" t="s">
        <v>82</v>
      </c>
      <c r="C229" s="17" t="s">
        <v>76</v>
      </c>
      <c r="D229" s="18">
        <v>20887160.43</v>
      </c>
      <c r="E229" s="19">
        <v>19473755.27</v>
      </c>
      <c r="F229" s="19">
        <v>1413405.16</v>
      </c>
      <c r="G229" s="20">
        <v>7.2599999999999998E-2</v>
      </c>
      <c r="H229" s="18">
        <v>219315.18</v>
      </c>
      <c r="I229" s="19">
        <v>202960.61</v>
      </c>
      <c r="J229" s="19">
        <v>16354.57</v>
      </c>
      <c r="K229" s="20">
        <v>8.0600000000000005E-2</v>
      </c>
      <c r="L229" s="18">
        <v>61408.25</v>
      </c>
      <c r="M229" s="19">
        <v>55897.84</v>
      </c>
      <c r="N229" s="19">
        <v>5510.41</v>
      </c>
      <c r="O229" s="20">
        <v>9.8599999999999993E-2</v>
      </c>
      <c r="P229" s="18">
        <v>3133.07</v>
      </c>
      <c r="Q229" s="19">
        <v>2826.2</v>
      </c>
      <c r="R229" s="19">
        <v>306.87</v>
      </c>
      <c r="S229" s="20">
        <v>0.1086</v>
      </c>
      <c r="T229" s="18">
        <v>154773.85999999999</v>
      </c>
      <c r="U229" s="19">
        <v>141788.84</v>
      </c>
      <c r="V229" s="19">
        <v>12985.02</v>
      </c>
      <c r="W229" s="20">
        <v>9.1600000000000001E-2</v>
      </c>
      <c r="X229" s="18">
        <v>88038.86</v>
      </c>
      <c r="Y229" s="19">
        <v>79848.039999999994</v>
      </c>
      <c r="Z229" s="19">
        <v>8190.81</v>
      </c>
      <c r="AA229" s="20">
        <v>0.1026</v>
      </c>
      <c r="AB229" s="18">
        <v>66735</v>
      </c>
      <c r="AC229" s="19">
        <v>59289.440000000002</v>
      </c>
      <c r="AD229" s="19">
        <v>7445.57</v>
      </c>
      <c r="AE229" s="20">
        <v>0.12559999999999999</v>
      </c>
      <c r="AF229" s="2"/>
      <c r="AM229" s="4"/>
    </row>
    <row r="230" spans="1:39" x14ac:dyDescent="0.35">
      <c r="A230" s="16" t="s">
        <v>91</v>
      </c>
      <c r="B230" s="17" t="s">
        <v>82</v>
      </c>
      <c r="C230" s="17" t="s">
        <v>77</v>
      </c>
      <c r="D230" s="18">
        <v>31966739.370000001</v>
      </c>
      <c r="E230" s="19">
        <v>30708902.710000001</v>
      </c>
      <c r="F230" s="19">
        <v>1257836.6599999999</v>
      </c>
      <c r="G230" s="20">
        <v>4.1000000000000002E-2</v>
      </c>
      <c r="H230" s="18">
        <v>207783.81</v>
      </c>
      <c r="I230" s="19">
        <v>198085.54</v>
      </c>
      <c r="J230" s="19">
        <v>9698.27</v>
      </c>
      <c r="K230" s="20">
        <v>4.9000000000000002E-2</v>
      </c>
      <c r="L230" s="18">
        <v>66490.820000000007</v>
      </c>
      <c r="M230" s="19">
        <v>62318.01</v>
      </c>
      <c r="N230" s="19">
        <v>4172.8100000000004</v>
      </c>
      <c r="O230" s="20">
        <v>6.7000000000000004E-2</v>
      </c>
      <c r="P230" s="18">
        <v>4795.01</v>
      </c>
      <c r="Q230" s="19">
        <v>4452.3599999999997</v>
      </c>
      <c r="R230" s="19">
        <v>342.65</v>
      </c>
      <c r="S230" s="20">
        <v>7.6999999999999999E-2</v>
      </c>
      <c r="T230" s="18">
        <v>136497.98000000001</v>
      </c>
      <c r="U230" s="19">
        <v>128776.54</v>
      </c>
      <c r="V230" s="19">
        <v>7721.44</v>
      </c>
      <c r="W230" s="20">
        <v>0.06</v>
      </c>
      <c r="X230" s="18">
        <v>83409.86</v>
      </c>
      <c r="Y230" s="19">
        <v>77883.27</v>
      </c>
      <c r="Z230" s="19">
        <v>5526.6</v>
      </c>
      <c r="AA230" s="20">
        <v>7.0999999999999994E-2</v>
      </c>
      <c r="AB230" s="18">
        <v>53088.12</v>
      </c>
      <c r="AC230" s="19">
        <v>48528.39</v>
      </c>
      <c r="AD230" s="19">
        <v>4559.7299999999996</v>
      </c>
      <c r="AE230" s="20">
        <v>9.4E-2</v>
      </c>
      <c r="AF230" s="2"/>
      <c r="AM230" s="4"/>
    </row>
    <row r="231" spans="1:39" x14ac:dyDescent="0.35">
      <c r="A231" s="16" t="s">
        <v>91</v>
      </c>
      <c r="B231" s="17" t="s">
        <v>82</v>
      </c>
      <c r="C231" s="17" t="s">
        <v>78</v>
      </c>
      <c r="D231" s="18">
        <v>8689942.6799999997</v>
      </c>
      <c r="E231" s="19">
        <v>8448649.2599999998</v>
      </c>
      <c r="F231" s="19">
        <v>241293.42</v>
      </c>
      <c r="G231" s="20">
        <v>2.86E-2</v>
      </c>
      <c r="H231" s="18">
        <v>26069.83</v>
      </c>
      <c r="I231" s="19">
        <v>25150.33</v>
      </c>
      <c r="J231" s="19">
        <v>919.5</v>
      </c>
      <c r="K231" s="20">
        <v>3.6600000000000001E-2</v>
      </c>
      <c r="L231" s="18">
        <v>4692.57</v>
      </c>
      <c r="M231" s="19">
        <v>4449.79</v>
      </c>
      <c r="N231" s="19">
        <v>242.78</v>
      </c>
      <c r="O231" s="20">
        <v>5.4600000000000003E-2</v>
      </c>
      <c r="P231" s="18">
        <v>1303.49</v>
      </c>
      <c r="Q231" s="19">
        <v>1224.44</v>
      </c>
      <c r="R231" s="19">
        <v>79.05</v>
      </c>
      <c r="S231" s="20">
        <v>6.4600000000000005E-2</v>
      </c>
      <c r="T231" s="18">
        <v>20073.77</v>
      </c>
      <c r="U231" s="19">
        <v>19162.41</v>
      </c>
      <c r="V231" s="19">
        <v>911.36</v>
      </c>
      <c r="W231" s="20">
        <v>4.7600000000000003E-2</v>
      </c>
      <c r="X231" s="18">
        <v>10465.11</v>
      </c>
      <c r="Y231" s="19">
        <v>9886.18</v>
      </c>
      <c r="Z231" s="19">
        <v>578.92999999999995</v>
      </c>
      <c r="AA231" s="20">
        <v>5.8599999999999999E-2</v>
      </c>
      <c r="AB231" s="18">
        <v>9608.66</v>
      </c>
      <c r="AC231" s="19">
        <v>8884.07</v>
      </c>
      <c r="AD231" s="19">
        <v>724.58</v>
      </c>
      <c r="AE231" s="20">
        <v>8.1600000000000006E-2</v>
      </c>
      <c r="AF231" s="2"/>
      <c r="AM231" s="4"/>
    </row>
    <row r="232" spans="1:39" x14ac:dyDescent="0.35">
      <c r="A232" s="16" t="s">
        <v>91</v>
      </c>
      <c r="B232" s="17" t="s">
        <v>82</v>
      </c>
      <c r="C232" s="17" t="s">
        <v>79</v>
      </c>
      <c r="D232" s="18">
        <v>12603411.51</v>
      </c>
      <c r="E232" s="19">
        <v>12579510.439999999</v>
      </c>
      <c r="F232" s="19">
        <v>23901.07</v>
      </c>
      <c r="G232" s="20">
        <v>1.9E-3</v>
      </c>
      <c r="H232" s="18">
        <v>56715.35</v>
      </c>
      <c r="I232" s="19">
        <v>56159.37</v>
      </c>
      <c r="J232" s="19">
        <v>555.98</v>
      </c>
      <c r="K232" s="20">
        <v>9.9000000000000008E-3</v>
      </c>
      <c r="L232" s="18">
        <v>12477.38</v>
      </c>
      <c r="M232" s="19">
        <v>12138.71</v>
      </c>
      <c r="N232" s="19">
        <v>338.67</v>
      </c>
      <c r="O232" s="20">
        <v>2.7900000000000001E-2</v>
      </c>
      <c r="P232" s="18">
        <v>1890.51</v>
      </c>
      <c r="Q232" s="19">
        <v>1821.48</v>
      </c>
      <c r="R232" s="19">
        <v>69.03</v>
      </c>
      <c r="S232" s="20">
        <v>3.7900000000000003E-2</v>
      </c>
      <c r="T232" s="18">
        <v>42347.46</v>
      </c>
      <c r="U232" s="19">
        <v>41480.519999999997</v>
      </c>
      <c r="V232" s="19">
        <v>866.94</v>
      </c>
      <c r="W232" s="20">
        <v>2.0899999999999998E-2</v>
      </c>
      <c r="X232" s="18">
        <v>22767.03</v>
      </c>
      <c r="Y232" s="19">
        <v>22063.21</v>
      </c>
      <c r="Z232" s="19">
        <v>703.82</v>
      </c>
      <c r="AA232" s="20">
        <v>3.1899999999999998E-2</v>
      </c>
      <c r="AB232" s="18">
        <v>19580.43</v>
      </c>
      <c r="AC232" s="19">
        <v>18561.41</v>
      </c>
      <c r="AD232" s="19">
        <v>1019.02</v>
      </c>
      <c r="AE232" s="20">
        <v>5.4899999999999997E-2</v>
      </c>
      <c r="AF232" s="2"/>
      <c r="AM232" s="4"/>
    </row>
    <row r="233" spans="1:39" x14ac:dyDescent="0.35">
      <c r="A233" s="16" t="s">
        <v>91</v>
      </c>
      <c r="B233" s="17" t="s">
        <v>83</v>
      </c>
      <c r="C233" s="17" t="s">
        <v>75</v>
      </c>
      <c r="D233" s="18">
        <v>10674025.66</v>
      </c>
      <c r="E233" s="19">
        <v>10157805.960000001</v>
      </c>
      <c r="F233" s="19">
        <v>516219.7</v>
      </c>
      <c r="G233" s="20">
        <v>5.0799999999999998E-2</v>
      </c>
      <c r="H233" s="18">
        <v>80055.19</v>
      </c>
      <c r="I233" s="19">
        <v>75607.929999999993</v>
      </c>
      <c r="J233" s="19">
        <v>4447.26</v>
      </c>
      <c r="K233" s="20">
        <v>5.8799999999999998E-2</v>
      </c>
      <c r="L233" s="18">
        <v>28019.32</v>
      </c>
      <c r="M233" s="19">
        <v>26020.43</v>
      </c>
      <c r="N233" s="19">
        <v>1998.89</v>
      </c>
      <c r="O233" s="20">
        <v>7.6799999999999993E-2</v>
      </c>
      <c r="P233" s="18">
        <v>853.92</v>
      </c>
      <c r="Q233" s="19">
        <v>785.71</v>
      </c>
      <c r="R233" s="19">
        <v>68.209999999999994</v>
      </c>
      <c r="S233" s="20">
        <v>8.6800000000000002E-2</v>
      </c>
      <c r="T233" s="18">
        <v>51181.95</v>
      </c>
      <c r="U233" s="19">
        <v>47841.65</v>
      </c>
      <c r="V233" s="19">
        <v>3340.3</v>
      </c>
      <c r="W233" s="20">
        <v>6.9800000000000001E-2</v>
      </c>
      <c r="X233" s="18">
        <v>32136.25</v>
      </c>
      <c r="Y233" s="19">
        <v>29733.21</v>
      </c>
      <c r="Z233" s="19">
        <v>2403.04</v>
      </c>
      <c r="AA233" s="20">
        <v>8.0799999999999997E-2</v>
      </c>
      <c r="AB233" s="18">
        <v>19045.7</v>
      </c>
      <c r="AC233" s="19">
        <v>17254.349999999999</v>
      </c>
      <c r="AD233" s="19">
        <v>1791.35</v>
      </c>
      <c r="AE233" s="20">
        <v>0.1038</v>
      </c>
      <c r="AF233" s="2"/>
      <c r="AM233" s="4"/>
    </row>
    <row r="234" spans="1:39" x14ac:dyDescent="0.35">
      <c r="A234" s="16" t="s">
        <v>91</v>
      </c>
      <c r="B234" s="17" t="s">
        <v>83</v>
      </c>
      <c r="C234" s="17" t="s">
        <v>76</v>
      </c>
      <c r="D234" s="18">
        <v>16505770.01</v>
      </c>
      <c r="E234" s="19">
        <v>15345354.32</v>
      </c>
      <c r="F234" s="19">
        <v>1160415.69</v>
      </c>
      <c r="G234" s="20">
        <v>7.5600000000000001E-2</v>
      </c>
      <c r="H234" s="18">
        <v>173310.59</v>
      </c>
      <c r="I234" s="19">
        <v>159936.68</v>
      </c>
      <c r="J234" s="19">
        <v>13373.91</v>
      </c>
      <c r="K234" s="20">
        <v>8.3599999999999994E-2</v>
      </c>
      <c r="L234" s="18">
        <v>48526.96</v>
      </c>
      <c r="M234" s="19">
        <v>44050.54</v>
      </c>
      <c r="N234" s="19">
        <v>4476.42</v>
      </c>
      <c r="O234" s="20">
        <v>0.1016</v>
      </c>
      <c r="P234" s="18">
        <v>1320.46</v>
      </c>
      <c r="Q234" s="19">
        <v>1187.8699999999999</v>
      </c>
      <c r="R234" s="19">
        <v>132.59</v>
      </c>
      <c r="S234" s="20">
        <v>0.1116</v>
      </c>
      <c r="T234" s="18">
        <v>123463.16</v>
      </c>
      <c r="U234" s="19">
        <v>112790.89</v>
      </c>
      <c r="V234" s="19">
        <v>10672.27</v>
      </c>
      <c r="W234" s="20">
        <v>9.4600000000000004E-2</v>
      </c>
      <c r="X234" s="18">
        <v>69571.41</v>
      </c>
      <c r="Y234" s="19">
        <v>62925.25</v>
      </c>
      <c r="Z234" s="19">
        <v>6646.16</v>
      </c>
      <c r="AA234" s="20">
        <v>0.1056</v>
      </c>
      <c r="AB234" s="18">
        <v>53891.75</v>
      </c>
      <c r="AC234" s="19">
        <v>47750.13</v>
      </c>
      <c r="AD234" s="19">
        <v>6141.62</v>
      </c>
      <c r="AE234" s="20">
        <v>0.12859999999999999</v>
      </c>
      <c r="AF234" s="2"/>
      <c r="AM234" s="4"/>
    </row>
    <row r="235" spans="1:39" x14ac:dyDescent="0.35">
      <c r="A235" s="16" t="s">
        <v>91</v>
      </c>
      <c r="B235" s="17" t="s">
        <v>83</v>
      </c>
      <c r="C235" s="17" t="s">
        <v>77</v>
      </c>
      <c r="D235" s="18">
        <v>25273050.300000001</v>
      </c>
      <c r="E235" s="19">
        <v>24207902.59</v>
      </c>
      <c r="F235" s="19">
        <v>1065147.71</v>
      </c>
      <c r="G235" s="20">
        <v>4.3999999999999997E-2</v>
      </c>
      <c r="H235" s="18">
        <v>164274.82999999999</v>
      </c>
      <c r="I235" s="19">
        <v>156154.78</v>
      </c>
      <c r="J235" s="19">
        <v>8120.05</v>
      </c>
      <c r="K235" s="20">
        <v>5.1999999999999998E-2</v>
      </c>
      <c r="L235" s="18">
        <v>52567.94</v>
      </c>
      <c r="M235" s="19">
        <v>49128.92</v>
      </c>
      <c r="N235" s="19">
        <v>3439.02</v>
      </c>
      <c r="O235" s="20">
        <v>7.0000000000000007E-2</v>
      </c>
      <c r="P235" s="18">
        <v>2021.84</v>
      </c>
      <c r="Q235" s="19">
        <v>1872.07</v>
      </c>
      <c r="R235" s="19">
        <v>149.77000000000001</v>
      </c>
      <c r="S235" s="20">
        <v>0.08</v>
      </c>
      <c r="T235" s="18">
        <v>109685.04</v>
      </c>
      <c r="U235" s="19">
        <v>103184.42</v>
      </c>
      <c r="V235" s="19">
        <v>6500.62</v>
      </c>
      <c r="W235" s="20">
        <v>6.3E-2</v>
      </c>
      <c r="X235" s="18">
        <v>65944.22</v>
      </c>
      <c r="Y235" s="19">
        <v>61400.58</v>
      </c>
      <c r="Z235" s="19">
        <v>4543.6400000000003</v>
      </c>
      <c r="AA235" s="20">
        <v>7.3999999999999996E-2</v>
      </c>
      <c r="AB235" s="18">
        <v>43740.82</v>
      </c>
      <c r="AC235" s="19">
        <v>39873.129999999997</v>
      </c>
      <c r="AD235" s="19">
        <v>3867.69</v>
      </c>
      <c r="AE235" s="20">
        <v>9.7000000000000003E-2</v>
      </c>
      <c r="AF235" s="2"/>
      <c r="AM235" s="4"/>
    </row>
    <row r="236" spans="1:39" x14ac:dyDescent="0.35">
      <c r="A236" s="16" t="s">
        <v>91</v>
      </c>
      <c r="B236" s="17" t="s">
        <v>83</v>
      </c>
      <c r="C236" s="17" t="s">
        <v>78</v>
      </c>
      <c r="D236" s="18">
        <v>6867098.8399999999</v>
      </c>
      <c r="E236" s="19">
        <v>6656745.6799999997</v>
      </c>
      <c r="F236" s="19">
        <v>210353.16</v>
      </c>
      <c r="G236" s="20">
        <v>3.1600000000000003E-2</v>
      </c>
      <c r="H236" s="18">
        <v>20601.3</v>
      </c>
      <c r="I236" s="19">
        <v>19816.560000000001</v>
      </c>
      <c r="J236" s="19">
        <v>784.74</v>
      </c>
      <c r="K236" s="20">
        <v>3.9600000000000003E-2</v>
      </c>
      <c r="L236" s="18">
        <v>3708.23</v>
      </c>
      <c r="M236" s="19">
        <v>3506.27</v>
      </c>
      <c r="N236" s="19">
        <v>201.96</v>
      </c>
      <c r="O236" s="20">
        <v>5.7599999999999998E-2</v>
      </c>
      <c r="P236" s="18">
        <v>549.37</v>
      </c>
      <c r="Q236" s="19">
        <v>514.58000000000004</v>
      </c>
      <c r="R236" s="19">
        <v>34.79</v>
      </c>
      <c r="S236" s="20">
        <v>6.7599999999999993E-2</v>
      </c>
      <c r="T236" s="18">
        <v>16343.7</v>
      </c>
      <c r="U236" s="19">
        <v>15556.54</v>
      </c>
      <c r="V236" s="19">
        <v>787.16</v>
      </c>
      <c r="W236" s="20">
        <v>5.0599999999999999E-2</v>
      </c>
      <c r="X236" s="18">
        <v>8269.9</v>
      </c>
      <c r="Y236" s="19">
        <v>7790.04</v>
      </c>
      <c r="Z236" s="19">
        <v>479.87</v>
      </c>
      <c r="AA236" s="20">
        <v>6.1600000000000002E-2</v>
      </c>
      <c r="AB236" s="18">
        <v>8073.8</v>
      </c>
      <c r="AC236" s="19">
        <v>7444.03</v>
      </c>
      <c r="AD236" s="19">
        <v>629.77</v>
      </c>
      <c r="AE236" s="20">
        <v>8.4599999999999995E-2</v>
      </c>
      <c r="AF236" s="2"/>
      <c r="AM236" s="4"/>
    </row>
    <row r="237" spans="1:39" x14ac:dyDescent="0.35">
      <c r="A237" s="16" t="s">
        <v>91</v>
      </c>
      <c r="B237" s="17" t="s">
        <v>83</v>
      </c>
      <c r="C237" s="17" t="s">
        <v>79</v>
      </c>
      <c r="D237" s="18">
        <v>9959659.7799999993</v>
      </c>
      <c r="E237" s="19">
        <v>9910700.9199999999</v>
      </c>
      <c r="F237" s="19">
        <v>48958.86</v>
      </c>
      <c r="G237" s="20">
        <v>4.8999999999999998E-3</v>
      </c>
      <c r="H237" s="18">
        <v>44818.47</v>
      </c>
      <c r="I237" s="19">
        <v>44245.93</v>
      </c>
      <c r="J237" s="19">
        <v>572.54</v>
      </c>
      <c r="K237" s="20">
        <v>1.29E-2</v>
      </c>
      <c r="L237" s="18">
        <v>9860.06</v>
      </c>
      <c r="M237" s="19">
        <v>9564.15</v>
      </c>
      <c r="N237" s="19">
        <v>295.91000000000003</v>
      </c>
      <c r="O237" s="20">
        <v>3.09E-2</v>
      </c>
      <c r="P237" s="18">
        <v>796.77</v>
      </c>
      <c r="Q237" s="19">
        <v>765.43</v>
      </c>
      <c r="R237" s="19">
        <v>31.34</v>
      </c>
      <c r="S237" s="20">
        <v>4.0899999999999999E-2</v>
      </c>
      <c r="T237" s="18">
        <v>34161.629999999997</v>
      </c>
      <c r="U237" s="19">
        <v>33362.92</v>
      </c>
      <c r="V237" s="19">
        <v>798.71</v>
      </c>
      <c r="W237" s="20">
        <v>2.3900000000000001E-2</v>
      </c>
      <c r="X237" s="18">
        <v>17991.310000000001</v>
      </c>
      <c r="Y237" s="19">
        <v>17383.91</v>
      </c>
      <c r="Z237" s="19">
        <v>607.39</v>
      </c>
      <c r="AA237" s="20">
        <v>3.49E-2</v>
      </c>
      <c r="AB237" s="18">
        <v>16170.32</v>
      </c>
      <c r="AC237" s="19">
        <v>15284.73</v>
      </c>
      <c r="AD237" s="19">
        <v>885.6</v>
      </c>
      <c r="AE237" s="20">
        <v>5.79E-2</v>
      </c>
      <c r="AF237" s="2"/>
      <c r="AM237" s="4"/>
    </row>
    <row r="238" spans="1:39" x14ac:dyDescent="0.35">
      <c r="A238" s="16" t="s">
        <v>91</v>
      </c>
      <c r="B238" s="17" t="s">
        <v>84</v>
      </c>
      <c r="C238" s="17" t="s">
        <v>75</v>
      </c>
      <c r="D238" s="18">
        <v>25812265.719999999</v>
      </c>
      <c r="E238" s="19">
        <v>24484240.510000002</v>
      </c>
      <c r="F238" s="19">
        <v>1328025.21</v>
      </c>
      <c r="G238" s="20">
        <v>5.4199999999999998E-2</v>
      </c>
      <c r="H238" s="18">
        <v>193591.99</v>
      </c>
      <c r="I238" s="19">
        <v>182248.82</v>
      </c>
      <c r="J238" s="19">
        <v>11343.17</v>
      </c>
      <c r="K238" s="20">
        <v>6.2199999999999998E-2</v>
      </c>
      <c r="L238" s="18">
        <v>67757.2</v>
      </c>
      <c r="M238" s="19">
        <v>62724.21</v>
      </c>
      <c r="N238" s="19">
        <v>5032.99</v>
      </c>
      <c r="O238" s="20">
        <v>8.0199999999999994E-2</v>
      </c>
      <c r="P238" s="18">
        <v>1806.86</v>
      </c>
      <c r="Q238" s="19">
        <v>1657.3</v>
      </c>
      <c r="R238" s="19">
        <v>149.56</v>
      </c>
      <c r="S238" s="20">
        <v>9.0200000000000002E-2</v>
      </c>
      <c r="T238" s="18">
        <v>124027.94</v>
      </c>
      <c r="U238" s="19">
        <v>115564.03</v>
      </c>
      <c r="V238" s="19">
        <v>8463.91</v>
      </c>
      <c r="W238" s="20">
        <v>7.3200000000000001E-2</v>
      </c>
      <c r="X238" s="18">
        <v>77712.899999999994</v>
      </c>
      <c r="Y238" s="19">
        <v>71674.990000000005</v>
      </c>
      <c r="Z238" s="19">
        <v>6037.9</v>
      </c>
      <c r="AA238" s="20">
        <v>8.4199999999999997E-2</v>
      </c>
      <c r="AB238" s="18">
        <v>46315.040000000001</v>
      </c>
      <c r="AC238" s="19">
        <v>41829.269999999997</v>
      </c>
      <c r="AD238" s="19">
        <v>4485.7700000000004</v>
      </c>
      <c r="AE238" s="20">
        <v>0.1072</v>
      </c>
      <c r="AF238" s="2"/>
      <c r="AM238" s="4"/>
    </row>
    <row r="239" spans="1:39" x14ac:dyDescent="0.35">
      <c r="A239" s="16" t="s">
        <v>91</v>
      </c>
      <c r="B239" s="17" t="s">
        <v>84</v>
      </c>
      <c r="C239" s="17" t="s">
        <v>76</v>
      </c>
      <c r="D239" s="18">
        <v>39908438.710000001</v>
      </c>
      <c r="E239" s="19">
        <v>36985133.740000002</v>
      </c>
      <c r="F239" s="19">
        <v>2923304.97</v>
      </c>
      <c r="G239" s="20">
        <v>7.9000000000000001E-2</v>
      </c>
      <c r="H239" s="18">
        <v>419038.61</v>
      </c>
      <c r="I239" s="19">
        <v>385485.92</v>
      </c>
      <c r="J239" s="19">
        <v>33552.69</v>
      </c>
      <c r="K239" s="20">
        <v>8.6999999999999994E-2</v>
      </c>
      <c r="L239" s="18">
        <v>117330.81</v>
      </c>
      <c r="M239" s="19">
        <v>106177.88</v>
      </c>
      <c r="N239" s="19">
        <v>11152.93</v>
      </c>
      <c r="O239" s="20">
        <v>0.105</v>
      </c>
      <c r="P239" s="18">
        <v>2793.59</v>
      </c>
      <c r="Q239" s="19">
        <v>2505.37</v>
      </c>
      <c r="R239" s="19">
        <v>288.22000000000003</v>
      </c>
      <c r="S239" s="20">
        <v>0.115</v>
      </c>
      <c r="T239" s="18">
        <v>298914.21000000002</v>
      </c>
      <c r="U239" s="19">
        <v>272225.25</v>
      </c>
      <c r="V239" s="19">
        <v>26688.959999999999</v>
      </c>
      <c r="W239" s="20">
        <v>9.8000000000000004E-2</v>
      </c>
      <c r="X239" s="18">
        <v>168213.07</v>
      </c>
      <c r="Y239" s="19">
        <v>151674.49</v>
      </c>
      <c r="Z239" s="19">
        <v>16538.59</v>
      </c>
      <c r="AA239" s="20">
        <v>0.109</v>
      </c>
      <c r="AB239" s="18">
        <v>130701.14</v>
      </c>
      <c r="AC239" s="19">
        <v>115456.29</v>
      </c>
      <c r="AD239" s="19">
        <v>15244.85</v>
      </c>
      <c r="AE239" s="20">
        <v>0.13200000000000001</v>
      </c>
      <c r="AF239" s="2"/>
      <c r="AM239" s="4"/>
    </row>
    <row r="240" spans="1:39" x14ac:dyDescent="0.35">
      <c r="A240" s="16" t="s">
        <v>91</v>
      </c>
      <c r="B240" s="17" t="s">
        <v>84</v>
      </c>
      <c r="C240" s="17" t="s">
        <v>77</v>
      </c>
      <c r="D240" s="18">
        <v>61116087.840000004</v>
      </c>
      <c r="E240" s="19">
        <v>58349170.189999998</v>
      </c>
      <c r="F240" s="19">
        <v>2766917.65</v>
      </c>
      <c r="G240" s="20">
        <v>4.7399999999999998E-2</v>
      </c>
      <c r="H240" s="18">
        <v>397254.57</v>
      </c>
      <c r="I240" s="19">
        <v>376394.77</v>
      </c>
      <c r="J240" s="19">
        <v>20859.8</v>
      </c>
      <c r="K240" s="20">
        <v>5.5399999999999998E-2</v>
      </c>
      <c r="L240" s="18">
        <v>127121.46</v>
      </c>
      <c r="M240" s="19">
        <v>118426.58</v>
      </c>
      <c r="N240" s="19">
        <v>8694.8799999999992</v>
      </c>
      <c r="O240" s="20">
        <v>7.3400000000000007E-2</v>
      </c>
      <c r="P240" s="18">
        <v>4278.13</v>
      </c>
      <c r="Q240" s="19">
        <v>3948.73</v>
      </c>
      <c r="R240" s="19">
        <v>329.4</v>
      </c>
      <c r="S240" s="20">
        <v>8.3400000000000002E-2</v>
      </c>
      <c r="T240" s="18">
        <v>265854.98</v>
      </c>
      <c r="U240" s="19">
        <v>249296.69</v>
      </c>
      <c r="V240" s="19">
        <v>16558.29</v>
      </c>
      <c r="W240" s="20">
        <v>6.6400000000000001E-2</v>
      </c>
      <c r="X240" s="18">
        <v>159468.39000000001</v>
      </c>
      <c r="Y240" s="19">
        <v>148009.49</v>
      </c>
      <c r="Z240" s="19">
        <v>11458.9</v>
      </c>
      <c r="AA240" s="20">
        <v>7.7399999999999997E-2</v>
      </c>
      <c r="AB240" s="18">
        <v>106386.59</v>
      </c>
      <c r="AC240" s="19">
        <v>96678.17</v>
      </c>
      <c r="AD240" s="19">
        <v>9708.42</v>
      </c>
      <c r="AE240" s="20">
        <v>0.1004</v>
      </c>
      <c r="AF240" s="2"/>
      <c r="AM240" s="4"/>
    </row>
    <row r="241" spans="1:39" x14ac:dyDescent="0.35">
      <c r="A241" s="16" t="s">
        <v>91</v>
      </c>
      <c r="B241" s="17" t="s">
        <v>84</v>
      </c>
      <c r="C241" s="17" t="s">
        <v>78</v>
      </c>
      <c r="D241" s="18">
        <v>16603599.42</v>
      </c>
      <c r="E241" s="19">
        <v>16041815.060000001</v>
      </c>
      <c r="F241" s="19">
        <v>561784.36</v>
      </c>
      <c r="G241" s="20">
        <v>3.5000000000000003E-2</v>
      </c>
      <c r="H241" s="18">
        <v>49810.8</v>
      </c>
      <c r="I241" s="19">
        <v>47756.32</v>
      </c>
      <c r="J241" s="19">
        <v>2054.48</v>
      </c>
      <c r="K241" s="20">
        <v>4.2999999999999997E-2</v>
      </c>
      <c r="L241" s="18">
        <v>8965.94</v>
      </c>
      <c r="M241" s="19">
        <v>8450.2999999999993</v>
      </c>
      <c r="N241" s="19">
        <v>515.64</v>
      </c>
      <c r="O241" s="20">
        <v>6.0999999999999999E-2</v>
      </c>
      <c r="P241" s="18">
        <v>1162.25</v>
      </c>
      <c r="Q241" s="19">
        <v>1085.18</v>
      </c>
      <c r="R241" s="19">
        <v>77.069999999999993</v>
      </c>
      <c r="S241" s="20">
        <v>7.0999999999999994E-2</v>
      </c>
      <c r="T241" s="18">
        <v>39682.6</v>
      </c>
      <c r="U241" s="19">
        <v>37648.81</v>
      </c>
      <c r="V241" s="19">
        <v>2033.79</v>
      </c>
      <c r="W241" s="20">
        <v>5.3999999999999999E-2</v>
      </c>
      <c r="X241" s="18">
        <v>19995.36</v>
      </c>
      <c r="Y241" s="19">
        <v>18774.63</v>
      </c>
      <c r="Z241" s="19">
        <v>1220.73</v>
      </c>
      <c r="AA241" s="20">
        <v>6.5000000000000002E-2</v>
      </c>
      <c r="AB241" s="18">
        <v>19687.240000000002</v>
      </c>
      <c r="AC241" s="19">
        <v>18094.560000000001</v>
      </c>
      <c r="AD241" s="19">
        <v>1592.68</v>
      </c>
      <c r="AE241" s="20">
        <v>8.7999999999999995E-2</v>
      </c>
      <c r="AF241" s="2"/>
      <c r="AM241" s="4"/>
    </row>
    <row r="242" spans="1:39" x14ac:dyDescent="0.35">
      <c r="A242" s="16" t="s">
        <v>91</v>
      </c>
      <c r="B242" s="17" t="s">
        <v>84</v>
      </c>
      <c r="C242" s="17" t="s">
        <v>79</v>
      </c>
      <c r="D242" s="18">
        <v>24080940.890000001</v>
      </c>
      <c r="E242" s="19">
        <v>23881293.280000001</v>
      </c>
      <c r="F242" s="19">
        <v>199647.61</v>
      </c>
      <c r="G242" s="20">
        <v>8.3999999999999995E-3</v>
      </c>
      <c r="H242" s="18">
        <v>108364.23</v>
      </c>
      <c r="I242" s="19">
        <v>106619.93</v>
      </c>
      <c r="J242" s="19">
        <v>1744.3</v>
      </c>
      <c r="K242" s="20">
        <v>1.6400000000000001E-2</v>
      </c>
      <c r="L242" s="18">
        <v>23840.13</v>
      </c>
      <c r="M242" s="19">
        <v>23048.19</v>
      </c>
      <c r="N242" s="19">
        <v>791.94</v>
      </c>
      <c r="O242" s="20">
        <v>3.44E-2</v>
      </c>
      <c r="P242" s="18">
        <v>1685.67</v>
      </c>
      <c r="Q242" s="19">
        <v>1614.07</v>
      </c>
      <c r="R242" s="19">
        <v>71.599999999999994</v>
      </c>
      <c r="S242" s="20">
        <v>4.4400000000000002E-2</v>
      </c>
      <c r="T242" s="18">
        <v>82838.44</v>
      </c>
      <c r="U242" s="19">
        <v>80632.34</v>
      </c>
      <c r="V242" s="19">
        <v>2206.1</v>
      </c>
      <c r="W242" s="20">
        <v>2.7400000000000001E-2</v>
      </c>
      <c r="X242" s="18">
        <v>43500.24</v>
      </c>
      <c r="Y242" s="19">
        <v>41893.22</v>
      </c>
      <c r="Z242" s="19">
        <v>1607.02</v>
      </c>
      <c r="AA242" s="20">
        <v>3.8399999999999997E-2</v>
      </c>
      <c r="AB242" s="18">
        <v>39338.199999999997</v>
      </c>
      <c r="AC242" s="19">
        <v>37063.96</v>
      </c>
      <c r="AD242" s="19">
        <v>2274.2399999999998</v>
      </c>
      <c r="AE242" s="20">
        <v>6.1400000000000003E-2</v>
      </c>
      <c r="AF242" s="2"/>
      <c r="AM242" s="4"/>
    </row>
    <row r="243" spans="1:39" x14ac:dyDescent="0.35">
      <c r="A243" s="11" t="s">
        <v>92</v>
      </c>
      <c r="B243" s="12" t="s">
        <v>74</v>
      </c>
      <c r="C243" s="12" t="s">
        <v>75</v>
      </c>
      <c r="D243" s="13">
        <v>17471607.609999999</v>
      </c>
      <c r="E243" s="14">
        <v>16224887.27</v>
      </c>
      <c r="F243" s="14">
        <v>1246720.3400000001</v>
      </c>
      <c r="G243" s="15">
        <v>7.6799999999999993E-2</v>
      </c>
      <c r="H243" s="13">
        <v>131037.06</v>
      </c>
      <c r="I243" s="14">
        <v>120789.3</v>
      </c>
      <c r="J243" s="14">
        <v>10247.76</v>
      </c>
      <c r="K243" s="15">
        <v>8.48E-2</v>
      </c>
      <c r="L243" s="13">
        <v>45862.97</v>
      </c>
      <c r="M243" s="14">
        <v>41586.239999999998</v>
      </c>
      <c r="N243" s="14">
        <v>4276.7299999999996</v>
      </c>
      <c r="O243" s="15">
        <v>0.1028</v>
      </c>
      <c r="P243" s="13">
        <v>3144.89</v>
      </c>
      <c r="Q243" s="14">
        <v>2826</v>
      </c>
      <c r="R243" s="14">
        <v>318.89</v>
      </c>
      <c r="S243" s="15">
        <v>0.1128</v>
      </c>
      <c r="T243" s="13">
        <v>82029.2</v>
      </c>
      <c r="U243" s="14">
        <v>74855.09</v>
      </c>
      <c r="V243" s="14">
        <v>7174.11</v>
      </c>
      <c r="W243" s="15">
        <v>9.5799999999999996E-2</v>
      </c>
      <c r="X243" s="13">
        <v>57190.2</v>
      </c>
      <c r="Y243" s="14">
        <v>51669.8</v>
      </c>
      <c r="Z243" s="14">
        <v>5520.4</v>
      </c>
      <c r="AA243" s="15">
        <v>0.10680000000000001</v>
      </c>
      <c r="AB243" s="13">
        <v>24839</v>
      </c>
      <c r="AC243" s="14">
        <v>21984.52</v>
      </c>
      <c r="AD243" s="14">
        <v>2854.47</v>
      </c>
      <c r="AE243" s="15">
        <v>0.1298</v>
      </c>
      <c r="AF243" s="2"/>
      <c r="AM243" s="4"/>
    </row>
    <row r="244" spans="1:39" x14ac:dyDescent="0.35">
      <c r="A244" s="11" t="s">
        <v>92</v>
      </c>
      <c r="B244" s="12" t="s">
        <v>74</v>
      </c>
      <c r="C244" s="12" t="s">
        <v>76</v>
      </c>
      <c r="D244" s="13">
        <v>27224704.32</v>
      </c>
      <c r="E244" s="14">
        <v>26810218.34</v>
      </c>
      <c r="F244" s="14">
        <v>414485.98</v>
      </c>
      <c r="G244" s="15">
        <v>1.55E-2</v>
      </c>
      <c r="H244" s="13">
        <v>285859.40000000002</v>
      </c>
      <c r="I244" s="14">
        <v>279306.86</v>
      </c>
      <c r="J244" s="14">
        <v>6552.54</v>
      </c>
      <c r="K244" s="15">
        <v>2.35E-2</v>
      </c>
      <c r="L244" s="13">
        <v>80040.63</v>
      </c>
      <c r="M244" s="14">
        <v>76854.25</v>
      </c>
      <c r="N244" s="14">
        <v>3186.38</v>
      </c>
      <c r="O244" s="15">
        <v>4.1500000000000002E-2</v>
      </c>
      <c r="P244" s="13">
        <v>4900.45</v>
      </c>
      <c r="Q244" s="14">
        <v>4660.6099999999997</v>
      </c>
      <c r="R244" s="14">
        <v>239.84</v>
      </c>
      <c r="S244" s="15">
        <v>5.1499999999999997E-2</v>
      </c>
      <c r="T244" s="13">
        <v>200918.32</v>
      </c>
      <c r="U244" s="14">
        <v>194225.32</v>
      </c>
      <c r="V244" s="14">
        <v>6693</v>
      </c>
      <c r="W244" s="15">
        <v>3.4500000000000003E-2</v>
      </c>
      <c r="X244" s="13">
        <v>124761.33</v>
      </c>
      <c r="Y244" s="14">
        <v>119336.3</v>
      </c>
      <c r="Z244" s="14">
        <v>5425.03</v>
      </c>
      <c r="AA244" s="15">
        <v>4.5499999999999999E-2</v>
      </c>
      <c r="AB244" s="13">
        <v>76156.990000000005</v>
      </c>
      <c r="AC244" s="14">
        <v>71277.350000000006</v>
      </c>
      <c r="AD244" s="14">
        <v>4879.6499999999996</v>
      </c>
      <c r="AE244" s="15">
        <v>6.8500000000000005E-2</v>
      </c>
      <c r="AF244" s="2"/>
      <c r="AM244" s="4"/>
    </row>
    <row r="245" spans="1:39" x14ac:dyDescent="0.35">
      <c r="A245" s="11" t="s">
        <v>92</v>
      </c>
      <c r="B245" s="12" t="s">
        <v>74</v>
      </c>
      <c r="C245" s="12" t="s">
        <v>77</v>
      </c>
      <c r="D245" s="13">
        <v>41152342.07</v>
      </c>
      <c r="E245" s="14">
        <v>38018830.090000004</v>
      </c>
      <c r="F245" s="14">
        <v>3133511.98</v>
      </c>
      <c r="G245" s="15">
        <v>8.2400000000000001E-2</v>
      </c>
      <c r="H245" s="13">
        <v>267490.21999999997</v>
      </c>
      <c r="I245" s="14">
        <v>245309.35</v>
      </c>
      <c r="J245" s="14">
        <v>22180.87</v>
      </c>
      <c r="K245" s="15">
        <v>9.0399999999999994E-2</v>
      </c>
      <c r="L245" s="13">
        <v>85596.87</v>
      </c>
      <c r="M245" s="14">
        <v>77224.22</v>
      </c>
      <c r="N245" s="14">
        <v>8372.65</v>
      </c>
      <c r="O245" s="15">
        <v>0.1084</v>
      </c>
      <c r="P245" s="13">
        <v>7407.42</v>
      </c>
      <c r="Q245" s="14">
        <v>6623.11</v>
      </c>
      <c r="R245" s="14">
        <v>784.31</v>
      </c>
      <c r="S245" s="15">
        <v>0.11840000000000001</v>
      </c>
      <c r="T245" s="13">
        <v>174485.93</v>
      </c>
      <c r="U245" s="14">
        <v>158419.07</v>
      </c>
      <c r="V245" s="14">
        <v>16066.86</v>
      </c>
      <c r="W245" s="15">
        <v>0.1014</v>
      </c>
      <c r="X245" s="13">
        <v>116744.23</v>
      </c>
      <c r="Y245" s="14">
        <v>104946.18</v>
      </c>
      <c r="Z245" s="14">
        <v>11798.05</v>
      </c>
      <c r="AA245" s="15">
        <v>0.1124</v>
      </c>
      <c r="AB245" s="13">
        <v>57741.7</v>
      </c>
      <c r="AC245" s="14">
        <v>50854.93</v>
      </c>
      <c r="AD245" s="14">
        <v>6886.77</v>
      </c>
      <c r="AE245" s="15">
        <v>0.13539999999999999</v>
      </c>
      <c r="AF245" s="2"/>
      <c r="AM245" s="4"/>
    </row>
    <row r="246" spans="1:39" x14ac:dyDescent="0.35">
      <c r="A246" s="11" t="s">
        <v>92</v>
      </c>
      <c r="B246" s="12" t="s">
        <v>74</v>
      </c>
      <c r="C246" s="12" t="s">
        <v>78</v>
      </c>
      <c r="D246" s="13">
        <v>11154961.449999999</v>
      </c>
      <c r="E246" s="14">
        <v>11331045.9</v>
      </c>
      <c r="F246" s="14">
        <v>-176084.45</v>
      </c>
      <c r="G246" s="15">
        <v>-1.55E-2</v>
      </c>
      <c r="H246" s="13">
        <v>33464.879999999997</v>
      </c>
      <c r="I246" s="14">
        <v>33719.120000000003</v>
      </c>
      <c r="J246" s="14">
        <v>-254.24</v>
      </c>
      <c r="K246" s="15">
        <v>-7.4999999999999997E-3</v>
      </c>
      <c r="L246" s="13">
        <v>6023.68</v>
      </c>
      <c r="M246" s="14">
        <v>5961.32</v>
      </c>
      <c r="N246" s="14">
        <v>62.36</v>
      </c>
      <c r="O246" s="15">
        <v>1.0500000000000001E-2</v>
      </c>
      <c r="P246" s="13">
        <v>2007.89</v>
      </c>
      <c r="Q246" s="14">
        <v>1967.63</v>
      </c>
      <c r="R246" s="14">
        <v>40.26</v>
      </c>
      <c r="S246" s="15">
        <v>2.0500000000000001E-2</v>
      </c>
      <c r="T246" s="13">
        <v>25433.31</v>
      </c>
      <c r="U246" s="14">
        <v>25345.61</v>
      </c>
      <c r="V246" s="14">
        <v>87.7</v>
      </c>
      <c r="W246" s="15">
        <v>3.5000000000000001E-3</v>
      </c>
      <c r="X246" s="13">
        <v>14605.51</v>
      </c>
      <c r="Y246" s="14">
        <v>14397.33</v>
      </c>
      <c r="Z246" s="14">
        <v>208.19</v>
      </c>
      <c r="AA246" s="15">
        <v>1.4500000000000001E-2</v>
      </c>
      <c r="AB246" s="13">
        <v>10827.8</v>
      </c>
      <c r="AC246" s="14">
        <v>10436.83</v>
      </c>
      <c r="AD246" s="14">
        <v>390.96</v>
      </c>
      <c r="AE246" s="15">
        <v>3.7499999999999999E-2</v>
      </c>
      <c r="AF246" s="2"/>
      <c r="AM246" s="4"/>
    </row>
    <row r="247" spans="1:39" x14ac:dyDescent="0.35">
      <c r="A247" s="11" t="s">
        <v>92</v>
      </c>
      <c r="B247" s="12" t="s">
        <v>74</v>
      </c>
      <c r="C247" s="12" t="s">
        <v>79</v>
      </c>
      <c r="D247" s="13">
        <v>16432300.369999999</v>
      </c>
      <c r="E247" s="14">
        <v>15482597.82</v>
      </c>
      <c r="F247" s="14">
        <v>949702.55</v>
      </c>
      <c r="G247" s="15">
        <v>6.13E-2</v>
      </c>
      <c r="H247" s="13">
        <v>73945.350000000006</v>
      </c>
      <c r="I247" s="14">
        <v>69150.460000000006</v>
      </c>
      <c r="J247" s="14">
        <v>4794.8900000000003</v>
      </c>
      <c r="K247" s="15">
        <v>6.93E-2</v>
      </c>
      <c r="L247" s="13">
        <v>16267.98</v>
      </c>
      <c r="M247" s="14">
        <v>14961.26</v>
      </c>
      <c r="N247" s="14">
        <v>1306.72</v>
      </c>
      <c r="O247" s="15">
        <v>8.7300000000000003E-2</v>
      </c>
      <c r="P247" s="13">
        <v>2957.81</v>
      </c>
      <c r="Q247" s="14">
        <v>2695.44</v>
      </c>
      <c r="R247" s="14">
        <v>262.37</v>
      </c>
      <c r="S247" s="15">
        <v>9.7299999999999998E-2</v>
      </c>
      <c r="T247" s="13">
        <v>54719.56</v>
      </c>
      <c r="U247" s="14">
        <v>50650.31</v>
      </c>
      <c r="V247" s="14">
        <v>4069.25</v>
      </c>
      <c r="W247" s="15">
        <v>8.0299999999999996E-2</v>
      </c>
      <c r="X247" s="13">
        <v>32272.93</v>
      </c>
      <c r="Y247" s="14">
        <v>29571.84</v>
      </c>
      <c r="Z247" s="14">
        <v>2701.09</v>
      </c>
      <c r="AA247" s="15">
        <v>9.1300000000000006E-2</v>
      </c>
      <c r="AB247" s="13">
        <v>22446.63</v>
      </c>
      <c r="AC247" s="14">
        <v>20143.43</v>
      </c>
      <c r="AD247" s="14">
        <v>2303.1999999999998</v>
      </c>
      <c r="AE247" s="15">
        <v>0.1143</v>
      </c>
      <c r="AF247" s="2"/>
      <c r="AM247" s="4"/>
    </row>
    <row r="248" spans="1:39" x14ac:dyDescent="0.35">
      <c r="A248" s="11" t="s">
        <v>92</v>
      </c>
      <c r="B248" s="12" t="s">
        <v>80</v>
      </c>
      <c r="C248" s="12" t="s">
        <v>75</v>
      </c>
      <c r="D248" s="13">
        <v>8149892.5999999996</v>
      </c>
      <c r="E248" s="14">
        <v>7682200.25</v>
      </c>
      <c r="F248" s="14">
        <v>467692.35</v>
      </c>
      <c r="G248" s="15">
        <v>6.0900000000000003E-2</v>
      </c>
      <c r="H248" s="13">
        <v>61124.19</v>
      </c>
      <c r="I248" s="14">
        <v>57185.27</v>
      </c>
      <c r="J248" s="14">
        <v>3938.92</v>
      </c>
      <c r="K248" s="15">
        <v>6.8900000000000003E-2</v>
      </c>
      <c r="L248" s="13">
        <v>21393.47</v>
      </c>
      <c r="M248" s="14">
        <v>19683.38</v>
      </c>
      <c r="N248" s="14">
        <v>1710.09</v>
      </c>
      <c r="O248" s="15">
        <v>8.6900000000000005E-2</v>
      </c>
      <c r="P248" s="13">
        <v>733.49</v>
      </c>
      <c r="Q248" s="14">
        <v>668.71</v>
      </c>
      <c r="R248" s="14">
        <v>64.78</v>
      </c>
      <c r="S248" s="15">
        <v>9.69E-2</v>
      </c>
      <c r="T248" s="13">
        <v>38997.24</v>
      </c>
      <c r="U248" s="14">
        <v>36112.57</v>
      </c>
      <c r="V248" s="14">
        <v>2884.67</v>
      </c>
      <c r="W248" s="15">
        <v>7.9899999999999999E-2</v>
      </c>
      <c r="X248" s="13">
        <v>26677.22</v>
      </c>
      <c r="Y248" s="14">
        <v>24454.77</v>
      </c>
      <c r="Z248" s="14">
        <v>2222.4499999999998</v>
      </c>
      <c r="AA248" s="15">
        <v>9.0899999999999995E-2</v>
      </c>
      <c r="AB248" s="13">
        <v>12320.02</v>
      </c>
      <c r="AC248" s="14">
        <v>11060.45</v>
      </c>
      <c r="AD248" s="14">
        <v>1259.56</v>
      </c>
      <c r="AE248" s="15">
        <v>0.1139</v>
      </c>
      <c r="AF248" s="2"/>
      <c r="AM248" s="4"/>
    </row>
    <row r="249" spans="1:39" x14ac:dyDescent="0.35">
      <c r="A249" s="11" t="s">
        <v>92</v>
      </c>
      <c r="B249" s="12" t="s">
        <v>80</v>
      </c>
      <c r="C249" s="12" t="s">
        <v>76</v>
      </c>
      <c r="D249" s="13">
        <v>12690201.57</v>
      </c>
      <c r="E249" s="14">
        <v>12696549.84</v>
      </c>
      <c r="F249" s="14">
        <v>-6348.27</v>
      </c>
      <c r="G249" s="15">
        <v>-5.0000000000000001E-4</v>
      </c>
      <c r="H249" s="13">
        <v>133247.12</v>
      </c>
      <c r="I249" s="14">
        <v>132255.21</v>
      </c>
      <c r="J249" s="14">
        <v>991.91</v>
      </c>
      <c r="K249" s="15">
        <v>7.4999999999999997E-3</v>
      </c>
      <c r="L249" s="13">
        <v>37309.19</v>
      </c>
      <c r="M249" s="14">
        <v>36381.46</v>
      </c>
      <c r="N249" s="14">
        <v>927.73</v>
      </c>
      <c r="O249" s="15">
        <v>2.5499999999999998E-2</v>
      </c>
      <c r="P249" s="13">
        <v>1142.1199999999999</v>
      </c>
      <c r="Q249" s="14">
        <v>1102.96</v>
      </c>
      <c r="R249" s="14">
        <v>39.159999999999997</v>
      </c>
      <c r="S249" s="15">
        <v>3.5499999999999997E-2</v>
      </c>
      <c r="T249" s="13">
        <v>94795.81</v>
      </c>
      <c r="U249" s="14">
        <v>93073.94</v>
      </c>
      <c r="V249" s="14">
        <v>1721.87</v>
      </c>
      <c r="W249" s="15">
        <v>1.8499999999999999E-2</v>
      </c>
      <c r="X249" s="13">
        <v>58154.77</v>
      </c>
      <c r="Y249" s="14">
        <v>56488.36</v>
      </c>
      <c r="Z249" s="14">
        <v>1666.41</v>
      </c>
      <c r="AA249" s="15">
        <v>2.9499999999999998E-2</v>
      </c>
      <c r="AB249" s="13">
        <v>36641.040000000001</v>
      </c>
      <c r="AC249" s="14">
        <v>34813.339999999997</v>
      </c>
      <c r="AD249" s="14">
        <v>1827.7</v>
      </c>
      <c r="AE249" s="15">
        <v>5.2499999999999998E-2</v>
      </c>
      <c r="AF249" s="2"/>
      <c r="AM249" s="4"/>
    </row>
    <row r="250" spans="1:39" x14ac:dyDescent="0.35">
      <c r="A250" s="11" t="s">
        <v>92</v>
      </c>
      <c r="B250" s="12" t="s">
        <v>80</v>
      </c>
      <c r="C250" s="12" t="s">
        <v>77</v>
      </c>
      <c r="D250" s="13">
        <v>19196125.25</v>
      </c>
      <c r="E250" s="14">
        <v>17999854.890000001</v>
      </c>
      <c r="F250" s="14">
        <v>1196270.3600000001</v>
      </c>
      <c r="G250" s="15">
        <v>6.6500000000000004E-2</v>
      </c>
      <c r="H250" s="13">
        <v>124774.81</v>
      </c>
      <c r="I250" s="14">
        <v>116127.92</v>
      </c>
      <c r="J250" s="14">
        <v>8646.89</v>
      </c>
      <c r="K250" s="15">
        <v>7.4499999999999997E-2</v>
      </c>
      <c r="L250" s="13">
        <v>39927.94</v>
      </c>
      <c r="M250" s="14">
        <v>36548.65</v>
      </c>
      <c r="N250" s="14">
        <v>3379.29</v>
      </c>
      <c r="O250" s="15">
        <v>9.2499999999999999E-2</v>
      </c>
      <c r="P250" s="13">
        <v>1727.65</v>
      </c>
      <c r="Q250" s="14">
        <v>1567.09</v>
      </c>
      <c r="R250" s="14">
        <v>160.56</v>
      </c>
      <c r="S250" s="15">
        <v>0.10249999999999999</v>
      </c>
      <c r="T250" s="13">
        <v>83119.22</v>
      </c>
      <c r="U250" s="14">
        <v>76575.11</v>
      </c>
      <c r="V250" s="14">
        <v>6544.11</v>
      </c>
      <c r="W250" s="15">
        <v>8.5500000000000007E-2</v>
      </c>
      <c r="X250" s="13">
        <v>54457.09</v>
      </c>
      <c r="Y250" s="14">
        <v>49666.28</v>
      </c>
      <c r="Z250" s="14">
        <v>4790.8100000000004</v>
      </c>
      <c r="AA250" s="15">
        <v>9.6500000000000002E-2</v>
      </c>
      <c r="AB250" s="13">
        <v>28662.13</v>
      </c>
      <c r="AC250" s="14">
        <v>25603.53</v>
      </c>
      <c r="AD250" s="14">
        <v>3058.6</v>
      </c>
      <c r="AE250" s="15">
        <v>0.1195</v>
      </c>
      <c r="AF250" s="2"/>
      <c r="AM250" s="4"/>
    </row>
    <row r="251" spans="1:39" x14ac:dyDescent="0.35">
      <c r="A251" s="11" t="s">
        <v>92</v>
      </c>
      <c r="B251" s="12" t="s">
        <v>80</v>
      </c>
      <c r="C251" s="12" t="s">
        <v>78</v>
      </c>
      <c r="D251" s="13">
        <v>5199641.76</v>
      </c>
      <c r="E251" s="14">
        <v>5368757.6299999999</v>
      </c>
      <c r="F251" s="14">
        <v>-169115.87</v>
      </c>
      <c r="G251" s="15">
        <v>-3.15E-2</v>
      </c>
      <c r="H251" s="13">
        <v>15598.93</v>
      </c>
      <c r="I251" s="14">
        <v>15974.33</v>
      </c>
      <c r="J251" s="14">
        <v>-375.4</v>
      </c>
      <c r="K251" s="15">
        <v>-2.35E-2</v>
      </c>
      <c r="L251" s="13">
        <v>2807.81</v>
      </c>
      <c r="M251" s="14">
        <v>2823.34</v>
      </c>
      <c r="N251" s="14">
        <v>-15.53</v>
      </c>
      <c r="O251" s="15">
        <v>-5.4999999999999997E-3</v>
      </c>
      <c r="P251" s="13">
        <v>467.97</v>
      </c>
      <c r="Q251" s="14">
        <v>465.87</v>
      </c>
      <c r="R251" s="14">
        <v>2.1</v>
      </c>
      <c r="S251" s="15">
        <v>4.4999999999999997E-3</v>
      </c>
      <c r="T251" s="13">
        <v>12323.15</v>
      </c>
      <c r="U251" s="14">
        <v>12479.14</v>
      </c>
      <c r="V251" s="14">
        <v>-155.99</v>
      </c>
      <c r="W251" s="15">
        <v>-1.2500000000000001E-2</v>
      </c>
      <c r="X251" s="13">
        <v>6808.04</v>
      </c>
      <c r="Y251" s="14">
        <v>6818.27</v>
      </c>
      <c r="Z251" s="14">
        <v>-10.23</v>
      </c>
      <c r="AA251" s="15">
        <v>-1.5E-3</v>
      </c>
      <c r="AB251" s="13">
        <v>5515.11</v>
      </c>
      <c r="AC251" s="14">
        <v>5399.03</v>
      </c>
      <c r="AD251" s="14">
        <v>116.08</v>
      </c>
      <c r="AE251" s="15">
        <v>2.1499999999999998E-2</v>
      </c>
      <c r="AF251" s="2"/>
      <c r="AM251" s="4"/>
    </row>
    <row r="252" spans="1:39" x14ac:dyDescent="0.35">
      <c r="A252" s="11" t="s">
        <v>92</v>
      </c>
      <c r="B252" s="12" t="s">
        <v>80</v>
      </c>
      <c r="C252" s="12" t="s">
        <v>79</v>
      </c>
      <c r="D252" s="13">
        <v>7659558.0800000001</v>
      </c>
      <c r="E252" s="14">
        <v>7327056.2699999996</v>
      </c>
      <c r="F252" s="14">
        <v>332501.81</v>
      </c>
      <c r="G252" s="15">
        <v>4.5400000000000003E-2</v>
      </c>
      <c r="H252" s="13">
        <v>34468.01</v>
      </c>
      <c r="I252" s="14">
        <v>32721.34</v>
      </c>
      <c r="J252" s="14">
        <v>1746.67</v>
      </c>
      <c r="K252" s="15">
        <v>5.3400000000000003E-2</v>
      </c>
      <c r="L252" s="13">
        <v>7582.96</v>
      </c>
      <c r="M252" s="14">
        <v>7077.75</v>
      </c>
      <c r="N252" s="14">
        <v>505.21</v>
      </c>
      <c r="O252" s="15">
        <v>7.1400000000000005E-2</v>
      </c>
      <c r="P252" s="13">
        <v>689.36</v>
      </c>
      <c r="Q252" s="14">
        <v>637.48</v>
      </c>
      <c r="R252" s="14">
        <v>51.88</v>
      </c>
      <c r="S252" s="15">
        <v>8.14E-2</v>
      </c>
      <c r="T252" s="13">
        <v>26195.69</v>
      </c>
      <c r="U252" s="14">
        <v>24611.22</v>
      </c>
      <c r="V252" s="14">
        <v>1584.47</v>
      </c>
      <c r="W252" s="15">
        <v>6.4399999999999999E-2</v>
      </c>
      <c r="X252" s="13">
        <v>15043.32</v>
      </c>
      <c r="Y252" s="14">
        <v>13988.84</v>
      </c>
      <c r="Z252" s="14">
        <v>1054.48</v>
      </c>
      <c r="AA252" s="15">
        <v>7.5399999999999995E-2</v>
      </c>
      <c r="AB252" s="13">
        <v>11152.37</v>
      </c>
      <c r="AC252" s="14">
        <v>10153.469999999999</v>
      </c>
      <c r="AD252" s="14">
        <v>998.9</v>
      </c>
      <c r="AE252" s="15">
        <v>9.8400000000000001E-2</v>
      </c>
      <c r="AF252" s="2"/>
      <c r="AM252" s="4"/>
    </row>
    <row r="253" spans="1:39" x14ac:dyDescent="0.35">
      <c r="A253" s="11" t="s">
        <v>92</v>
      </c>
      <c r="B253" s="12" t="s">
        <v>81</v>
      </c>
      <c r="C253" s="12" t="s">
        <v>75</v>
      </c>
      <c r="D253" s="13">
        <v>12103701.18</v>
      </c>
      <c r="E253" s="14">
        <v>11255906.32</v>
      </c>
      <c r="F253" s="14">
        <v>847794.86</v>
      </c>
      <c r="G253" s="15">
        <v>7.5300000000000006E-2</v>
      </c>
      <c r="H253" s="13">
        <v>90777.76</v>
      </c>
      <c r="I253" s="14">
        <v>83795.89</v>
      </c>
      <c r="J253" s="14">
        <v>6981.87</v>
      </c>
      <c r="K253" s="15">
        <v>8.3299999999999999E-2</v>
      </c>
      <c r="L253" s="13">
        <v>31772.22</v>
      </c>
      <c r="M253" s="14">
        <v>28849.22</v>
      </c>
      <c r="N253" s="14">
        <v>2923</v>
      </c>
      <c r="O253" s="15">
        <v>0.1013</v>
      </c>
      <c r="P253" s="13">
        <v>2420.7399999999998</v>
      </c>
      <c r="Q253" s="14">
        <v>2178.2600000000002</v>
      </c>
      <c r="R253" s="14">
        <v>242.48</v>
      </c>
      <c r="S253" s="15">
        <v>0.1113</v>
      </c>
      <c r="T253" s="13">
        <v>56584.800000000003</v>
      </c>
      <c r="U253" s="14">
        <v>51707.73</v>
      </c>
      <c r="V253" s="14">
        <v>4877.07</v>
      </c>
      <c r="W253" s="15">
        <v>9.4299999999999995E-2</v>
      </c>
      <c r="X253" s="13">
        <v>39619.32</v>
      </c>
      <c r="Y253" s="14">
        <v>35844.199999999997</v>
      </c>
      <c r="Z253" s="14">
        <v>3775.11</v>
      </c>
      <c r="AA253" s="15">
        <v>0.1053</v>
      </c>
      <c r="AB253" s="13">
        <v>16965.48</v>
      </c>
      <c r="AC253" s="14">
        <v>15036.06</v>
      </c>
      <c r="AD253" s="14">
        <v>1929.43</v>
      </c>
      <c r="AE253" s="15">
        <v>0.1283</v>
      </c>
      <c r="AF253" s="2"/>
      <c r="AM253" s="4"/>
    </row>
    <row r="254" spans="1:39" x14ac:dyDescent="0.35">
      <c r="A254" s="11" t="s">
        <v>92</v>
      </c>
      <c r="B254" s="12" t="s">
        <v>81</v>
      </c>
      <c r="C254" s="12" t="s">
        <v>76</v>
      </c>
      <c r="D254" s="13">
        <v>18866917.260000002</v>
      </c>
      <c r="E254" s="14">
        <v>18607528.32</v>
      </c>
      <c r="F254" s="14">
        <v>259388.94</v>
      </c>
      <c r="G254" s="15">
        <v>1.3899999999999999E-2</v>
      </c>
      <c r="H254" s="13">
        <v>198102.63</v>
      </c>
      <c r="I254" s="14">
        <v>193849.57</v>
      </c>
      <c r="J254" s="14">
        <v>4253.0600000000004</v>
      </c>
      <c r="K254" s="15">
        <v>2.1899999999999999E-2</v>
      </c>
      <c r="L254" s="13">
        <v>55468.74</v>
      </c>
      <c r="M254" s="14">
        <v>53338.400000000001</v>
      </c>
      <c r="N254" s="14">
        <v>2130.34</v>
      </c>
      <c r="O254" s="15">
        <v>3.9899999999999998E-2</v>
      </c>
      <c r="P254" s="13">
        <v>3773.38</v>
      </c>
      <c r="Q254" s="14">
        <v>3593.9</v>
      </c>
      <c r="R254" s="14">
        <v>179.48</v>
      </c>
      <c r="S254" s="15">
        <v>4.99E-2</v>
      </c>
      <c r="T254" s="13">
        <v>138860.51</v>
      </c>
      <c r="U254" s="14">
        <v>134432.31</v>
      </c>
      <c r="V254" s="14">
        <v>4428.2</v>
      </c>
      <c r="W254" s="15">
        <v>3.2899999999999999E-2</v>
      </c>
      <c r="X254" s="13">
        <v>86460.5</v>
      </c>
      <c r="Y254" s="14">
        <v>82821.33</v>
      </c>
      <c r="Z254" s="14">
        <v>3639.17</v>
      </c>
      <c r="AA254" s="15">
        <v>4.3900000000000002E-2</v>
      </c>
      <c r="AB254" s="13">
        <v>52400.01</v>
      </c>
      <c r="AC254" s="14">
        <v>49112.42</v>
      </c>
      <c r="AD254" s="14">
        <v>3287.59</v>
      </c>
      <c r="AE254" s="15">
        <v>6.6900000000000001E-2</v>
      </c>
      <c r="AF254" s="2"/>
      <c r="AM254" s="4"/>
    </row>
    <row r="255" spans="1:39" x14ac:dyDescent="0.35">
      <c r="A255" s="11" t="s">
        <v>92</v>
      </c>
      <c r="B255" s="12" t="s">
        <v>81</v>
      </c>
      <c r="C255" s="12" t="s">
        <v>77</v>
      </c>
      <c r="D255" s="13">
        <v>28508862.050000001</v>
      </c>
      <c r="E255" s="14">
        <v>26375115.23</v>
      </c>
      <c r="F255" s="14">
        <v>2133746.8199999998</v>
      </c>
      <c r="G255" s="15">
        <v>8.09E-2</v>
      </c>
      <c r="H255" s="13">
        <v>185307.6</v>
      </c>
      <c r="I255" s="14">
        <v>170178.71</v>
      </c>
      <c r="J255" s="14">
        <v>15128.89</v>
      </c>
      <c r="K255" s="15">
        <v>8.8900000000000007E-2</v>
      </c>
      <c r="L255" s="13">
        <v>59298.43</v>
      </c>
      <c r="M255" s="14">
        <v>53571.62</v>
      </c>
      <c r="N255" s="14">
        <v>5726.81</v>
      </c>
      <c r="O255" s="15">
        <v>0.1069</v>
      </c>
      <c r="P255" s="13">
        <v>5701.77</v>
      </c>
      <c r="Q255" s="14">
        <v>5105</v>
      </c>
      <c r="R255" s="14">
        <v>596.77</v>
      </c>
      <c r="S255" s="15">
        <v>0.1169</v>
      </c>
      <c r="T255" s="13">
        <v>120307.4</v>
      </c>
      <c r="U255" s="14">
        <v>109380.31</v>
      </c>
      <c r="V255" s="14">
        <v>10927.09</v>
      </c>
      <c r="W255" s="15">
        <v>9.9900000000000003E-2</v>
      </c>
      <c r="X255" s="13">
        <v>80876.2</v>
      </c>
      <c r="Y255" s="14">
        <v>72802.41</v>
      </c>
      <c r="Z255" s="14">
        <v>8073.79</v>
      </c>
      <c r="AA255" s="15">
        <v>0.1109</v>
      </c>
      <c r="AB255" s="13">
        <v>39431.199999999997</v>
      </c>
      <c r="AC255" s="14">
        <v>34774.85</v>
      </c>
      <c r="AD255" s="14">
        <v>4656.3500000000004</v>
      </c>
      <c r="AE255" s="15">
        <v>0.13389999999999999</v>
      </c>
      <c r="AF255" s="2"/>
      <c r="AM255" s="4"/>
    </row>
    <row r="256" spans="1:39" x14ac:dyDescent="0.35">
      <c r="A256" s="11" t="s">
        <v>92</v>
      </c>
      <c r="B256" s="12" t="s">
        <v>81</v>
      </c>
      <c r="C256" s="12" t="s">
        <v>78</v>
      </c>
      <c r="D256" s="13">
        <v>7730469.0700000003</v>
      </c>
      <c r="E256" s="14">
        <v>7864639.8300000001</v>
      </c>
      <c r="F256" s="14">
        <v>-134170.76</v>
      </c>
      <c r="G256" s="15">
        <v>-1.7100000000000001E-2</v>
      </c>
      <c r="H256" s="13">
        <v>23191.41</v>
      </c>
      <c r="I256" s="14">
        <v>23403.45</v>
      </c>
      <c r="J256" s="14">
        <v>-212.04</v>
      </c>
      <c r="K256" s="15">
        <v>-9.1000000000000004E-3</v>
      </c>
      <c r="L256" s="13">
        <v>4174.45</v>
      </c>
      <c r="M256" s="14">
        <v>4137.46</v>
      </c>
      <c r="N256" s="14">
        <v>36.99</v>
      </c>
      <c r="O256" s="15">
        <v>8.8999999999999999E-3</v>
      </c>
      <c r="P256" s="13">
        <v>1546.09</v>
      </c>
      <c r="Q256" s="14">
        <v>1517.35</v>
      </c>
      <c r="R256" s="14">
        <v>28.74</v>
      </c>
      <c r="S256" s="15">
        <v>1.89E-2</v>
      </c>
      <c r="T256" s="13">
        <v>17470.86</v>
      </c>
      <c r="U256" s="14">
        <v>17437.03</v>
      </c>
      <c r="V256" s="14">
        <v>33.83</v>
      </c>
      <c r="W256" s="15">
        <v>1.9E-3</v>
      </c>
      <c r="X256" s="13">
        <v>10121.73</v>
      </c>
      <c r="Y256" s="14">
        <v>9992.43</v>
      </c>
      <c r="Z256" s="14">
        <v>129.30000000000001</v>
      </c>
      <c r="AA256" s="15">
        <v>1.29E-2</v>
      </c>
      <c r="AB256" s="13">
        <v>7349.13</v>
      </c>
      <c r="AC256" s="14">
        <v>7094.17</v>
      </c>
      <c r="AD256" s="14">
        <v>254.96</v>
      </c>
      <c r="AE256" s="15">
        <v>3.5900000000000001E-2</v>
      </c>
      <c r="AF256" s="2"/>
      <c r="AM256" s="4"/>
    </row>
    <row r="257" spans="1:39" x14ac:dyDescent="0.35">
      <c r="A257" s="11" t="s">
        <v>92</v>
      </c>
      <c r="B257" s="12" t="s">
        <v>81</v>
      </c>
      <c r="C257" s="12" t="s">
        <v>79</v>
      </c>
      <c r="D257" s="13">
        <v>11387703.16</v>
      </c>
      <c r="E257" s="14">
        <v>10744940.800000001</v>
      </c>
      <c r="F257" s="14">
        <v>642762.36</v>
      </c>
      <c r="G257" s="15">
        <v>5.9799999999999999E-2</v>
      </c>
      <c r="H257" s="13">
        <v>51244.66</v>
      </c>
      <c r="I257" s="14">
        <v>47989.98</v>
      </c>
      <c r="J257" s="14">
        <v>3254.68</v>
      </c>
      <c r="K257" s="15">
        <v>6.7799999999999999E-2</v>
      </c>
      <c r="L257" s="13">
        <v>11273.83</v>
      </c>
      <c r="M257" s="14">
        <v>10382.780000000001</v>
      </c>
      <c r="N257" s="14">
        <v>891.05</v>
      </c>
      <c r="O257" s="15">
        <v>8.5800000000000001E-2</v>
      </c>
      <c r="P257" s="13">
        <v>2277.54</v>
      </c>
      <c r="Q257" s="14">
        <v>2078.39</v>
      </c>
      <c r="R257" s="14">
        <v>199.15</v>
      </c>
      <c r="S257" s="15">
        <v>9.5799999999999996E-2</v>
      </c>
      <c r="T257" s="13">
        <v>37693.300000000003</v>
      </c>
      <c r="U257" s="14">
        <v>34939.379999999997</v>
      </c>
      <c r="V257" s="14">
        <v>2753.92</v>
      </c>
      <c r="W257" s="15">
        <v>7.8799999999999995E-2</v>
      </c>
      <c r="X257" s="13">
        <v>22365.37</v>
      </c>
      <c r="Y257" s="14">
        <v>20522.080000000002</v>
      </c>
      <c r="Z257" s="14">
        <v>1843.29</v>
      </c>
      <c r="AA257" s="15">
        <v>8.9800000000000005E-2</v>
      </c>
      <c r="AB257" s="13">
        <v>15327.93</v>
      </c>
      <c r="AC257" s="14">
        <v>13773.95</v>
      </c>
      <c r="AD257" s="14">
        <v>1553.98</v>
      </c>
      <c r="AE257" s="15">
        <v>0.1128</v>
      </c>
      <c r="AF257" s="2"/>
      <c r="AM257" s="4"/>
    </row>
    <row r="258" spans="1:39" x14ac:dyDescent="0.35">
      <c r="A258" s="11" t="s">
        <v>92</v>
      </c>
      <c r="B258" s="12" t="s">
        <v>82</v>
      </c>
      <c r="C258" s="12" t="s">
        <v>75</v>
      </c>
      <c r="D258" s="13">
        <v>14251837.970000001</v>
      </c>
      <c r="E258" s="14">
        <v>13305299</v>
      </c>
      <c r="F258" s="14">
        <v>946538.97</v>
      </c>
      <c r="G258" s="15">
        <v>7.1099999999999997E-2</v>
      </c>
      <c r="H258" s="13">
        <v>106888.78</v>
      </c>
      <c r="I258" s="14">
        <v>99049.97</v>
      </c>
      <c r="J258" s="14">
        <v>7838.81</v>
      </c>
      <c r="K258" s="15">
        <v>7.9100000000000004E-2</v>
      </c>
      <c r="L258" s="13">
        <v>37411.07</v>
      </c>
      <c r="M258" s="14">
        <v>34098.720000000001</v>
      </c>
      <c r="N258" s="14">
        <v>3312.35</v>
      </c>
      <c r="O258" s="15">
        <v>9.7100000000000006E-2</v>
      </c>
      <c r="P258" s="13">
        <v>2137.7800000000002</v>
      </c>
      <c r="Q258" s="14">
        <v>1930.9</v>
      </c>
      <c r="R258" s="14">
        <v>206.88</v>
      </c>
      <c r="S258" s="15">
        <v>0.1071</v>
      </c>
      <c r="T258" s="13">
        <v>67339.929999999993</v>
      </c>
      <c r="U258" s="14">
        <v>61771.82</v>
      </c>
      <c r="V258" s="14">
        <v>5568.11</v>
      </c>
      <c r="W258" s="15">
        <v>9.01E-2</v>
      </c>
      <c r="X258" s="13">
        <v>46650.86</v>
      </c>
      <c r="Y258" s="14">
        <v>42365.96</v>
      </c>
      <c r="Z258" s="14">
        <v>4284.8900000000003</v>
      </c>
      <c r="AA258" s="15">
        <v>0.1011</v>
      </c>
      <c r="AB258" s="13">
        <v>20689.07</v>
      </c>
      <c r="AC258" s="14">
        <v>18404.36</v>
      </c>
      <c r="AD258" s="14">
        <v>2284.7199999999998</v>
      </c>
      <c r="AE258" s="15">
        <v>0.1241</v>
      </c>
      <c r="AF258" s="2"/>
      <c r="AM258" s="4"/>
    </row>
    <row r="259" spans="1:39" x14ac:dyDescent="0.35">
      <c r="A259" s="11" t="s">
        <v>92</v>
      </c>
      <c r="B259" s="12" t="s">
        <v>82</v>
      </c>
      <c r="C259" s="12" t="s">
        <v>76</v>
      </c>
      <c r="D259" s="13">
        <v>22211493.489999998</v>
      </c>
      <c r="E259" s="14">
        <v>21996804.68</v>
      </c>
      <c r="F259" s="14">
        <v>214688.81</v>
      </c>
      <c r="G259" s="15">
        <v>9.7999999999999997E-3</v>
      </c>
      <c r="H259" s="13">
        <v>233220.68</v>
      </c>
      <c r="I259" s="14">
        <v>229150.96</v>
      </c>
      <c r="J259" s="14">
        <v>4069.72</v>
      </c>
      <c r="K259" s="15">
        <v>1.78E-2</v>
      </c>
      <c r="L259" s="13">
        <v>65301.79</v>
      </c>
      <c r="M259" s="14">
        <v>63047.22</v>
      </c>
      <c r="N259" s="14">
        <v>2254.5700000000002</v>
      </c>
      <c r="O259" s="15">
        <v>3.5799999999999998E-2</v>
      </c>
      <c r="P259" s="13">
        <v>3331.72</v>
      </c>
      <c r="Q259" s="14">
        <v>3185.93</v>
      </c>
      <c r="R259" s="14">
        <v>145.79</v>
      </c>
      <c r="S259" s="15">
        <v>4.58E-2</v>
      </c>
      <c r="T259" s="13">
        <v>164587.17000000001</v>
      </c>
      <c r="U259" s="14">
        <v>159985.97</v>
      </c>
      <c r="V259" s="14">
        <v>4601.2</v>
      </c>
      <c r="W259" s="15">
        <v>2.8799999999999999E-2</v>
      </c>
      <c r="X259" s="13">
        <v>101787.53</v>
      </c>
      <c r="Y259" s="14">
        <v>97895.21</v>
      </c>
      <c r="Z259" s="14">
        <v>3892.31</v>
      </c>
      <c r="AA259" s="15">
        <v>3.9800000000000002E-2</v>
      </c>
      <c r="AB259" s="13">
        <v>62799.64</v>
      </c>
      <c r="AC259" s="14">
        <v>59091.09</v>
      </c>
      <c r="AD259" s="14">
        <v>3708.56</v>
      </c>
      <c r="AE259" s="15">
        <v>6.2799999999999995E-2</v>
      </c>
      <c r="AF259" s="2"/>
      <c r="AM259" s="4"/>
    </row>
    <row r="260" spans="1:39" x14ac:dyDescent="0.35">
      <c r="A260" s="11" t="s">
        <v>92</v>
      </c>
      <c r="B260" s="12" t="s">
        <v>82</v>
      </c>
      <c r="C260" s="12" t="s">
        <v>77</v>
      </c>
      <c r="D260" s="13">
        <v>33568548.719999999</v>
      </c>
      <c r="E260" s="14">
        <v>31176674.27</v>
      </c>
      <c r="F260" s="14">
        <v>2391874.4500000002</v>
      </c>
      <c r="G260" s="15">
        <v>7.6700000000000004E-2</v>
      </c>
      <c r="H260" s="13">
        <v>218195.57</v>
      </c>
      <c r="I260" s="14">
        <v>201153.82</v>
      </c>
      <c r="J260" s="14">
        <v>17041.75</v>
      </c>
      <c r="K260" s="15">
        <v>8.4699999999999998E-2</v>
      </c>
      <c r="L260" s="13">
        <v>69822.58</v>
      </c>
      <c r="M260" s="14">
        <v>63318.5</v>
      </c>
      <c r="N260" s="14">
        <v>6504.08</v>
      </c>
      <c r="O260" s="15">
        <v>0.1027</v>
      </c>
      <c r="P260" s="13">
        <v>5035.28</v>
      </c>
      <c r="Q260" s="14">
        <v>4525.2</v>
      </c>
      <c r="R260" s="14">
        <v>510.08</v>
      </c>
      <c r="S260" s="15">
        <v>0.11269999999999999</v>
      </c>
      <c r="T260" s="13">
        <v>143337.70000000001</v>
      </c>
      <c r="U260" s="14">
        <v>130815.99</v>
      </c>
      <c r="V260" s="14">
        <v>12521.71</v>
      </c>
      <c r="W260" s="15">
        <v>9.5699999999999993E-2</v>
      </c>
      <c r="X260" s="13">
        <v>95229.92</v>
      </c>
      <c r="Y260" s="14">
        <v>86046.99</v>
      </c>
      <c r="Z260" s="14">
        <v>9182.93</v>
      </c>
      <c r="AA260" s="15">
        <v>0.1067</v>
      </c>
      <c r="AB260" s="13">
        <v>48107.78</v>
      </c>
      <c r="AC260" s="14">
        <v>42583.8</v>
      </c>
      <c r="AD260" s="14">
        <v>5523.97</v>
      </c>
      <c r="AE260" s="15">
        <v>0.12970000000000001</v>
      </c>
      <c r="AF260" s="2"/>
      <c r="AM260" s="4"/>
    </row>
    <row r="261" spans="1:39" x14ac:dyDescent="0.35">
      <c r="A261" s="11" t="s">
        <v>92</v>
      </c>
      <c r="B261" s="12" t="s">
        <v>82</v>
      </c>
      <c r="C261" s="12" t="s">
        <v>78</v>
      </c>
      <c r="D261" s="13">
        <v>9100864.8200000003</v>
      </c>
      <c r="E261" s="14">
        <v>9298362.0299999993</v>
      </c>
      <c r="F261" s="14">
        <v>-197497.21</v>
      </c>
      <c r="G261" s="15">
        <v>-2.12E-2</v>
      </c>
      <c r="H261" s="13">
        <v>27302.59</v>
      </c>
      <c r="I261" s="14">
        <v>27668.93</v>
      </c>
      <c r="J261" s="14">
        <v>-366.34</v>
      </c>
      <c r="K261" s="15">
        <v>-1.32E-2</v>
      </c>
      <c r="L261" s="13">
        <v>4914.47</v>
      </c>
      <c r="M261" s="14">
        <v>4891.1899999999996</v>
      </c>
      <c r="N261" s="14">
        <v>23.28</v>
      </c>
      <c r="O261" s="15">
        <v>4.7999999999999996E-3</v>
      </c>
      <c r="P261" s="13">
        <v>1365.13</v>
      </c>
      <c r="Q261" s="14">
        <v>1345.27</v>
      </c>
      <c r="R261" s="14">
        <v>19.86</v>
      </c>
      <c r="S261" s="15">
        <v>1.4800000000000001E-2</v>
      </c>
      <c r="T261" s="13">
        <v>21023</v>
      </c>
      <c r="U261" s="14">
        <v>21070.2</v>
      </c>
      <c r="V261" s="14">
        <v>-47.2</v>
      </c>
      <c r="W261" s="15">
        <v>-2.2000000000000001E-3</v>
      </c>
      <c r="X261" s="13">
        <v>11916.02</v>
      </c>
      <c r="Y261" s="14">
        <v>11812.55</v>
      </c>
      <c r="Z261" s="14">
        <v>103.48</v>
      </c>
      <c r="AA261" s="15">
        <v>8.8000000000000005E-3</v>
      </c>
      <c r="AB261" s="13">
        <v>9106.98</v>
      </c>
      <c r="AC261" s="14">
        <v>8826.64</v>
      </c>
      <c r="AD261" s="14">
        <v>280.33</v>
      </c>
      <c r="AE261" s="15">
        <v>3.1800000000000002E-2</v>
      </c>
      <c r="AF261" s="2"/>
      <c r="AM261" s="4"/>
    </row>
    <row r="262" spans="1:39" x14ac:dyDescent="0.35">
      <c r="A262" s="11" t="s">
        <v>92</v>
      </c>
      <c r="B262" s="12" t="s">
        <v>82</v>
      </c>
      <c r="C262" s="12" t="s">
        <v>79</v>
      </c>
      <c r="D262" s="13">
        <v>13406424.119999999</v>
      </c>
      <c r="E262" s="14">
        <v>12699806.869999999</v>
      </c>
      <c r="F262" s="14">
        <v>706617.25</v>
      </c>
      <c r="G262" s="15">
        <v>5.5599999999999997E-2</v>
      </c>
      <c r="H262" s="13">
        <v>60328.91</v>
      </c>
      <c r="I262" s="14">
        <v>56719.29</v>
      </c>
      <c r="J262" s="14">
        <v>3609.62</v>
      </c>
      <c r="K262" s="15">
        <v>6.3600000000000004E-2</v>
      </c>
      <c r="L262" s="13">
        <v>13272.36</v>
      </c>
      <c r="M262" s="14">
        <v>12270.59</v>
      </c>
      <c r="N262" s="14">
        <v>1001.77</v>
      </c>
      <c r="O262" s="15">
        <v>8.1600000000000006E-2</v>
      </c>
      <c r="P262" s="13">
        <v>2010.96</v>
      </c>
      <c r="Q262" s="14">
        <v>1842.15</v>
      </c>
      <c r="R262" s="14">
        <v>168.81</v>
      </c>
      <c r="S262" s="15">
        <v>9.1600000000000001E-2</v>
      </c>
      <c r="T262" s="13">
        <v>45045.59</v>
      </c>
      <c r="U262" s="14">
        <v>41916.910000000003</v>
      </c>
      <c r="V262" s="14">
        <v>3128.68</v>
      </c>
      <c r="W262" s="15">
        <v>7.46E-2</v>
      </c>
      <c r="X262" s="13">
        <v>26330.13</v>
      </c>
      <c r="Y262" s="14">
        <v>24253.09</v>
      </c>
      <c r="Z262" s="14">
        <v>2077.0300000000002</v>
      </c>
      <c r="AA262" s="15">
        <v>8.5599999999999996E-2</v>
      </c>
      <c r="AB262" s="13">
        <v>18715.46</v>
      </c>
      <c r="AC262" s="14">
        <v>16881.46</v>
      </c>
      <c r="AD262" s="14">
        <v>1834</v>
      </c>
      <c r="AE262" s="15">
        <v>0.1086</v>
      </c>
      <c r="AF262" s="2"/>
      <c r="AM262" s="4"/>
    </row>
    <row r="263" spans="1:39" x14ac:dyDescent="0.35">
      <c r="A263" s="11" t="s">
        <v>92</v>
      </c>
      <c r="B263" s="12" t="s">
        <v>83</v>
      </c>
      <c r="C263" s="12" t="s">
        <v>75</v>
      </c>
      <c r="D263" s="13">
        <v>11109611.689999999</v>
      </c>
      <c r="E263" s="14">
        <v>10709917.57</v>
      </c>
      <c r="F263" s="14">
        <v>399694.12</v>
      </c>
      <c r="G263" s="15">
        <v>3.73E-2</v>
      </c>
      <c r="H263" s="13">
        <v>83322.09</v>
      </c>
      <c r="I263" s="14">
        <v>79709.649999999994</v>
      </c>
      <c r="J263" s="14">
        <v>3612.44</v>
      </c>
      <c r="K263" s="15">
        <v>4.53E-2</v>
      </c>
      <c r="L263" s="13">
        <v>29162.73</v>
      </c>
      <c r="M263" s="14">
        <v>27426.11</v>
      </c>
      <c r="N263" s="14">
        <v>1736.62</v>
      </c>
      <c r="O263" s="15">
        <v>6.3299999999999995E-2</v>
      </c>
      <c r="P263" s="13">
        <v>888.77</v>
      </c>
      <c r="Q263" s="14">
        <v>828.06</v>
      </c>
      <c r="R263" s="14">
        <v>60.71</v>
      </c>
      <c r="S263" s="15">
        <v>7.3300000000000004E-2</v>
      </c>
      <c r="T263" s="13">
        <v>53270.59</v>
      </c>
      <c r="U263" s="14">
        <v>50430.35</v>
      </c>
      <c r="V263" s="14">
        <v>2840.24</v>
      </c>
      <c r="W263" s="15">
        <v>5.6300000000000003E-2</v>
      </c>
      <c r="X263" s="13">
        <v>36365.339999999997</v>
      </c>
      <c r="Y263" s="14">
        <v>34071.64</v>
      </c>
      <c r="Z263" s="14">
        <v>2293.6999999999998</v>
      </c>
      <c r="AA263" s="15">
        <v>6.7299999999999999E-2</v>
      </c>
      <c r="AB263" s="13">
        <v>16905.25</v>
      </c>
      <c r="AC263" s="14">
        <v>15504.85</v>
      </c>
      <c r="AD263" s="14">
        <v>1400.4</v>
      </c>
      <c r="AE263" s="15">
        <v>9.0300000000000005E-2</v>
      </c>
      <c r="AF263" s="2"/>
      <c r="AM263" s="4"/>
    </row>
    <row r="264" spans="1:39" x14ac:dyDescent="0.35">
      <c r="A264" s="11" t="s">
        <v>92</v>
      </c>
      <c r="B264" s="12" t="s">
        <v>83</v>
      </c>
      <c r="C264" s="12" t="s">
        <v>76</v>
      </c>
      <c r="D264" s="13">
        <v>17305089.09</v>
      </c>
      <c r="E264" s="14">
        <v>17731714.129999999</v>
      </c>
      <c r="F264" s="14">
        <v>-426625.04</v>
      </c>
      <c r="G264" s="15">
        <v>-2.41E-2</v>
      </c>
      <c r="H264" s="13">
        <v>181703.44</v>
      </c>
      <c r="I264" s="14">
        <v>184669.23</v>
      </c>
      <c r="J264" s="14">
        <v>-2965.79</v>
      </c>
      <c r="K264" s="15">
        <v>-1.61E-2</v>
      </c>
      <c r="L264" s="13">
        <v>50876.959999999999</v>
      </c>
      <c r="M264" s="14">
        <v>50778.45</v>
      </c>
      <c r="N264" s="14">
        <v>98.51</v>
      </c>
      <c r="O264" s="15">
        <v>1.9E-3</v>
      </c>
      <c r="P264" s="13">
        <v>1384.41</v>
      </c>
      <c r="Q264" s="14">
        <v>1368.08</v>
      </c>
      <c r="R264" s="14">
        <v>16.329999999999998</v>
      </c>
      <c r="S264" s="15">
        <v>1.1900000000000001E-2</v>
      </c>
      <c r="T264" s="13">
        <v>129442.07</v>
      </c>
      <c r="U264" s="14">
        <v>130100.38</v>
      </c>
      <c r="V264" s="14">
        <v>-658.31</v>
      </c>
      <c r="W264" s="15">
        <v>-5.1000000000000004E-3</v>
      </c>
      <c r="X264" s="13">
        <v>79303.19</v>
      </c>
      <c r="Y264" s="14">
        <v>78834.91</v>
      </c>
      <c r="Z264" s="14">
        <v>468.28</v>
      </c>
      <c r="AA264" s="15">
        <v>5.8999999999999999E-3</v>
      </c>
      <c r="AB264" s="13">
        <v>50138.879999999997</v>
      </c>
      <c r="AC264" s="14">
        <v>48728.67</v>
      </c>
      <c r="AD264" s="14">
        <v>1410.21</v>
      </c>
      <c r="AE264" s="15">
        <v>2.8899999999999999E-2</v>
      </c>
      <c r="AF264" s="2"/>
      <c r="AM264" s="4"/>
    </row>
    <row r="265" spans="1:39" x14ac:dyDescent="0.35">
      <c r="A265" s="11" t="s">
        <v>92</v>
      </c>
      <c r="B265" s="12" t="s">
        <v>83</v>
      </c>
      <c r="C265" s="12" t="s">
        <v>77</v>
      </c>
      <c r="D265" s="13">
        <v>26167399.760000002</v>
      </c>
      <c r="E265" s="14">
        <v>25090996.030000001</v>
      </c>
      <c r="F265" s="14">
        <v>1076403.73</v>
      </c>
      <c r="G265" s="15">
        <v>4.2900000000000001E-2</v>
      </c>
      <c r="H265" s="13">
        <v>170088.1</v>
      </c>
      <c r="I265" s="14">
        <v>161849.94</v>
      </c>
      <c r="J265" s="14">
        <v>8238.16</v>
      </c>
      <c r="K265" s="15">
        <v>5.0900000000000001E-2</v>
      </c>
      <c r="L265" s="13">
        <v>54428.19</v>
      </c>
      <c r="M265" s="14">
        <v>50919.81</v>
      </c>
      <c r="N265" s="14">
        <v>3508.38</v>
      </c>
      <c r="O265" s="15">
        <v>6.8900000000000003E-2</v>
      </c>
      <c r="P265" s="13">
        <v>2093.39</v>
      </c>
      <c r="Q265" s="14">
        <v>1940.3</v>
      </c>
      <c r="R265" s="14">
        <v>153.09</v>
      </c>
      <c r="S265" s="15">
        <v>7.8899999999999998E-2</v>
      </c>
      <c r="T265" s="13">
        <v>113566.51</v>
      </c>
      <c r="U265" s="14">
        <v>106946.52</v>
      </c>
      <c r="V265" s="14">
        <v>6619.99</v>
      </c>
      <c r="W265" s="15">
        <v>6.1899999999999997E-2</v>
      </c>
      <c r="X265" s="13">
        <v>74233.759999999995</v>
      </c>
      <c r="Y265" s="14">
        <v>69189.820000000007</v>
      </c>
      <c r="Z265" s="14">
        <v>5043.9399999999996</v>
      </c>
      <c r="AA265" s="15">
        <v>7.2900000000000006E-2</v>
      </c>
      <c r="AB265" s="13">
        <v>39332.75</v>
      </c>
      <c r="AC265" s="14">
        <v>35890.82</v>
      </c>
      <c r="AD265" s="14">
        <v>3441.93</v>
      </c>
      <c r="AE265" s="15">
        <v>9.5899999999999999E-2</v>
      </c>
      <c r="AF265" s="2"/>
      <c r="AM265" s="4"/>
    </row>
    <row r="266" spans="1:39" x14ac:dyDescent="0.35">
      <c r="A266" s="11" t="s">
        <v>92</v>
      </c>
      <c r="B266" s="12" t="s">
        <v>83</v>
      </c>
      <c r="C266" s="12" t="s">
        <v>78</v>
      </c>
      <c r="D266" s="13">
        <v>7090530.7000000002</v>
      </c>
      <c r="E266" s="14">
        <v>7503683.5099999998</v>
      </c>
      <c r="F266" s="14">
        <v>-413152.81</v>
      </c>
      <c r="G266" s="15">
        <v>-5.5100000000000003E-2</v>
      </c>
      <c r="H266" s="13">
        <v>21271.59</v>
      </c>
      <c r="I266" s="14">
        <v>22322.07</v>
      </c>
      <c r="J266" s="14">
        <v>-1050.48</v>
      </c>
      <c r="K266" s="15">
        <v>-4.7100000000000003E-2</v>
      </c>
      <c r="L266" s="13">
        <v>3828.89</v>
      </c>
      <c r="M266" s="14">
        <v>3943.49</v>
      </c>
      <c r="N266" s="14">
        <v>-114.6</v>
      </c>
      <c r="O266" s="15">
        <v>-2.9100000000000001E-2</v>
      </c>
      <c r="P266" s="13">
        <v>567.24</v>
      </c>
      <c r="Q266" s="14">
        <v>578.26</v>
      </c>
      <c r="R266" s="14">
        <v>-11.02</v>
      </c>
      <c r="S266" s="15">
        <v>-1.9099999999999999E-2</v>
      </c>
      <c r="T266" s="13">
        <v>16875.46</v>
      </c>
      <c r="U266" s="14">
        <v>17506.75</v>
      </c>
      <c r="V266" s="14">
        <v>-631.29</v>
      </c>
      <c r="W266" s="15">
        <v>-3.61E-2</v>
      </c>
      <c r="X266" s="13">
        <v>9283.84</v>
      </c>
      <c r="Y266" s="14">
        <v>9522.4699999999993</v>
      </c>
      <c r="Z266" s="14">
        <v>-238.63</v>
      </c>
      <c r="AA266" s="15">
        <v>-2.5100000000000001E-2</v>
      </c>
      <c r="AB266" s="13">
        <v>7591.62</v>
      </c>
      <c r="AC266" s="14">
        <v>7607.29</v>
      </c>
      <c r="AD266" s="14">
        <v>-15.67</v>
      </c>
      <c r="AE266" s="15">
        <v>-2.0999999999999999E-3</v>
      </c>
      <c r="AF266" s="2"/>
      <c r="AM266" s="4"/>
    </row>
    <row r="267" spans="1:39" x14ac:dyDescent="0.35">
      <c r="A267" s="11" t="s">
        <v>92</v>
      </c>
      <c r="B267" s="12" t="s">
        <v>83</v>
      </c>
      <c r="C267" s="12" t="s">
        <v>79</v>
      </c>
      <c r="D267" s="13">
        <v>10445014.15</v>
      </c>
      <c r="E267" s="14">
        <v>10221970.75</v>
      </c>
      <c r="F267" s="14">
        <v>223043.4</v>
      </c>
      <c r="G267" s="15">
        <v>2.18E-2</v>
      </c>
      <c r="H267" s="13">
        <v>47002.559999999998</v>
      </c>
      <c r="I267" s="14">
        <v>45641.53</v>
      </c>
      <c r="J267" s="14">
        <v>1361.03</v>
      </c>
      <c r="K267" s="15">
        <v>2.98E-2</v>
      </c>
      <c r="L267" s="13">
        <v>10340.56</v>
      </c>
      <c r="M267" s="14">
        <v>9868.64</v>
      </c>
      <c r="N267" s="14">
        <v>471.92</v>
      </c>
      <c r="O267" s="15">
        <v>4.7800000000000002E-2</v>
      </c>
      <c r="P267" s="13">
        <v>835.6</v>
      </c>
      <c r="Q267" s="14">
        <v>789.93</v>
      </c>
      <c r="R267" s="14">
        <v>45.67</v>
      </c>
      <c r="S267" s="15">
        <v>5.7799999999999997E-2</v>
      </c>
      <c r="T267" s="13">
        <v>35826.400000000001</v>
      </c>
      <c r="U267" s="14">
        <v>34421.32</v>
      </c>
      <c r="V267" s="14">
        <v>1405.08</v>
      </c>
      <c r="W267" s="15">
        <v>4.0800000000000003E-2</v>
      </c>
      <c r="X267" s="13">
        <v>20513.939999999999</v>
      </c>
      <c r="Y267" s="14">
        <v>19503.28</v>
      </c>
      <c r="Z267" s="14">
        <v>1010.66</v>
      </c>
      <c r="AA267" s="15">
        <v>5.1799999999999999E-2</v>
      </c>
      <c r="AB267" s="13">
        <v>15312.46</v>
      </c>
      <c r="AC267" s="14">
        <v>14246.54</v>
      </c>
      <c r="AD267" s="14">
        <v>1065.93</v>
      </c>
      <c r="AE267" s="15">
        <v>7.4800000000000005E-2</v>
      </c>
      <c r="AF267" s="2"/>
      <c r="AM267" s="4"/>
    </row>
    <row r="268" spans="1:39" x14ac:dyDescent="0.35">
      <c r="A268" s="11" t="s">
        <v>92</v>
      </c>
      <c r="B268" s="12" t="s">
        <v>84</v>
      </c>
      <c r="C268" s="12" t="s">
        <v>75</v>
      </c>
      <c r="D268" s="13">
        <v>26738288.43</v>
      </c>
      <c r="E268" s="14">
        <v>25221945.09</v>
      </c>
      <c r="F268" s="14">
        <v>1516343.34</v>
      </c>
      <c r="G268" s="15">
        <v>6.0100000000000001E-2</v>
      </c>
      <c r="H268" s="13">
        <v>200537.16</v>
      </c>
      <c r="I268" s="14">
        <v>187747.78</v>
      </c>
      <c r="J268" s="14">
        <v>12789.38</v>
      </c>
      <c r="K268" s="15">
        <v>6.8099999999999994E-2</v>
      </c>
      <c r="L268" s="13">
        <v>70188.009999999995</v>
      </c>
      <c r="M268" s="14">
        <v>64622.7</v>
      </c>
      <c r="N268" s="14">
        <v>5565.31</v>
      </c>
      <c r="O268" s="15">
        <v>8.6099999999999996E-2</v>
      </c>
      <c r="P268" s="13">
        <v>1871.68</v>
      </c>
      <c r="Q268" s="14">
        <v>1707.55</v>
      </c>
      <c r="R268" s="14">
        <v>164.13</v>
      </c>
      <c r="S268" s="15">
        <v>9.6100000000000005E-2</v>
      </c>
      <c r="T268" s="13">
        <v>128477.48</v>
      </c>
      <c r="U268" s="14">
        <v>119057.64</v>
      </c>
      <c r="V268" s="14">
        <v>9419.84</v>
      </c>
      <c r="W268" s="15">
        <v>7.9100000000000004E-2</v>
      </c>
      <c r="X268" s="13">
        <v>87523.04</v>
      </c>
      <c r="Y268" s="14">
        <v>80287.520000000004</v>
      </c>
      <c r="Z268" s="14">
        <v>7235.51</v>
      </c>
      <c r="AA268" s="15">
        <v>9.01E-2</v>
      </c>
      <c r="AB268" s="13">
        <v>40954.44</v>
      </c>
      <c r="AC268" s="14">
        <v>36792.480000000003</v>
      </c>
      <c r="AD268" s="14">
        <v>4161.97</v>
      </c>
      <c r="AE268" s="15">
        <v>0.11310000000000001</v>
      </c>
      <c r="AF268" s="2"/>
      <c r="AM268" s="4"/>
    </row>
    <row r="269" spans="1:39" x14ac:dyDescent="0.35">
      <c r="A269" s="11" t="s">
        <v>92</v>
      </c>
      <c r="B269" s="12" t="s">
        <v>84</v>
      </c>
      <c r="C269" s="12" t="s">
        <v>76</v>
      </c>
      <c r="D269" s="13">
        <v>41641827.340000004</v>
      </c>
      <c r="E269" s="14">
        <v>41694362.240000002</v>
      </c>
      <c r="F269" s="14">
        <v>-52534.9</v>
      </c>
      <c r="G269" s="15">
        <v>-1.2999999999999999E-3</v>
      </c>
      <c r="H269" s="13">
        <v>437239.19</v>
      </c>
      <c r="I269" s="14">
        <v>434311.93</v>
      </c>
      <c r="J269" s="14">
        <v>2927.26</v>
      </c>
      <c r="K269" s="15">
        <v>6.7000000000000002E-3</v>
      </c>
      <c r="L269" s="13">
        <v>122426.97</v>
      </c>
      <c r="M269" s="14">
        <v>119471.25</v>
      </c>
      <c r="N269" s="14">
        <v>2955.72</v>
      </c>
      <c r="O269" s="15">
        <v>2.47E-2</v>
      </c>
      <c r="P269" s="13">
        <v>2914.93</v>
      </c>
      <c r="Q269" s="14">
        <v>2817.07</v>
      </c>
      <c r="R269" s="14">
        <v>97.86</v>
      </c>
      <c r="S269" s="15">
        <v>3.4700000000000002E-2</v>
      </c>
      <c r="T269" s="13">
        <v>311897.28999999998</v>
      </c>
      <c r="U269" s="14">
        <v>306460.68</v>
      </c>
      <c r="V269" s="14">
        <v>5436.61</v>
      </c>
      <c r="W269" s="15">
        <v>1.77E-2</v>
      </c>
      <c r="X269" s="13">
        <v>190829.97</v>
      </c>
      <c r="Y269" s="14">
        <v>185498.74</v>
      </c>
      <c r="Z269" s="14">
        <v>5331.23</v>
      </c>
      <c r="AA269" s="15">
        <v>2.87E-2</v>
      </c>
      <c r="AB269" s="13">
        <v>121067.32</v>
      </c>
      <c r="AC269" s="14">
        <v>115111.45</v>
      </c>
      <c r="AD269" s="14">
        <v>5955.87</v>
      </c>
      <c r="AE269" s="15">
        <v>5.1700000000000003E-2</v>
      </c>
      <c r="AF269" s="2"/>
      <c r="AM269" s="4"/>
    </row>
    <row r="270" spans="1:39" x14ac:dyDescent="0.35">
      <c r="A270" s="11" t="s">
        <v>92</v>
      </c>
      <c r="B270" s="12" t="s">
        <v>84</v>
      </c>
      <c r="C270" s="12" t="s">
        <v>77</v>
      </c>
      <c r="D270" s="13">
        <v>62978932.25</v>
      </c>
      <c r="E270" s="14">
        <v>59096305.009999998</v>
      </c>
      <c r="F270" s="14">
        <v>3882627.24</v>
      </c>
      <c r="G270" s="15">
        <v>6.5699999999999995E-2</v>
      </c>
      <c r="H270" s="13">
        <v>409363.06</v>
      </c>
      <c r="I270" s="14">
        <v>381263.91</v>
      </c>
      <c r="J270" s="14">
        <v>28099.15</v>
      </c>
      <c r="K270" s="15">
        <v>7.3700000000000002E-2</v>
      </c>
      <c r="L270" s="13">
        <v>130996.18</v>
      </c>
      <c r="M270" s="14">
        <v>119992.84</v>
      </c>
      <c r="N270" s="14">
        <v>11003.34</v>
      </c>
      <c r="O270" s="15">
        <v>9.1700000000000004E-2</v>
      </c>
      <c r="P270" s="13">
        <v>4408.53</v>
      </c>
      <c r="Q270" s="14">
        <v>4001.57</v>
      </c>
      <c r="R270" s="14">
        <v>406.96</v>
      </c>
      <c r="S270" s="15">
        <v>0.1017</v>
      </c>
      <c r="T270" s="13">
        <v>273958.36</v>
      </c>
      <c r="U270" s="14">
        <v>252566.02</v>
      </c>
      <c r="V270" s="14">
        <v>21392.34</v>
      </c>
      <c r="W270" s="15">
        <v>8.4699999999999998E-2</v>
      </c>
      <c r="X270" s="13">
        <v>178663.63</v>
      </c>
      <c r="Y270" s="14">
        <v>163058.9</v>
      </c>
      <c r="Z270" s="14">
        <v>15604.74</v>
      </c>
      <c r="AA270" s="15">
        <v>9.5699999999999993E-2</v>
      </c>
      <c r="AB270" s="13">
        <v>95294.73</v>
      </c>
      <c r="AC270" s="14">
        <v>85183.45</v>
      </c>
      <c r="AD270" s="14">
        <v>10111.280000000001</v>
      </c>
      <c r="AE270" s="15">
        <v>0.1187</v>
      </c>
      <c r="AF270" s="2"/>
      <c r="AM270" s="4"/>
    </row>
    <row r="271" spans="1:39" x14ac:dyDescent="0.35">
      <c r="A271" s="11" t="s">
        <v>92</v>
      </c>
      <c r="B271" s="12" t="s">
        <v>84</v>
      </c>
      <c r="C271" s="12" t="s">
        <v>78</v>
      </c>
      <c r="D271" s="13">
        <v>17062186.370000001</v>
      </c>
      <c r="E271" s="14">
        <v>17630961.18</v>
      </c>
      <c r="F271" s="14">
        <v>-568774.81000000006</v>
      </c>
      <c r="G271" s="15">
        <v>-3.2300000000000002E-2</v>
      </c>
      <c r="H271" s="13">
        <v>51186.559999999998</v>
      </c>
      <c r="I271" s="14">
        <v>52459.22</v>
      </c>
      <c r="J271" s="14">
        <v>-1272.6600000000001</v>
      </c>
      <c r="K271" s="15">
        <v>-2.4299999999999999E-2</v>
      </c>
      <c r="L271" s="13">
        <v>9213.58</v>
      </c>
      <c r="M271" s="14">
        <v>9271.6200000000008</v>
      </c>
      <c r="N271" s="14">
        <v>-58.04</v>
      </c>
      <c r="O271" s="15">
        <v>-6.3E-3</v>
      </c>
      <c r="P271" s="13">
        <v>1194.3499999999999</v>
      </c>
      <c r="Q271" s="14">
        <v>1189.9000000000001</v>
      </c>
      <c r="R271" s="14">
        <v>4.45</v>
      </c>
      <c r="S271" s="15">
        <v>3.7000000000000002E-3</v>
      </c>
      <c r="T271" s="13">
        <v>40778.629999999997</v>
      </c>
      <c r="U271" s="14">
        <v>41326.620000000003</v>
      </c>
      <c r="V271" s="14">
        <v>-547.99</v>
      </c>
      <c r="W271" s="15">
        <v>-1.3299999999999999E-2</v>
      </c>
      <c r="X271" s="13">
        <v>22340.01</v>
      </c>
      <c r="Y271" s="14">
        <v>22390.62</v>
      </c>
      <c r="Z271" s="14">
        <v>-50.6</v>
      </c>
      <c r="AA271" s="15">
        <v>-2.3E-3</v>
      </c>
      <c r="AB271" s="13">
        <v>18438.62</v>
      </c>
      <c r="AC271" s="14">
        <v>18063.97</v>
      </c>
      <c r="AD271" s="14">
        <v>374.65</v>
      </c>
      <c r="AE271" s="15">
        <v>2.07E-2</v>
      </c>
      <c r="AF271" s="2"/>
      <c r="AM271" s="4"/>
    </row>
    <row r="272" spans="1:39" x14ac:dyDescent="0.35">
      <c r="A272" s="11" t="s">
        <v>92</v>
      </c>
      <c r="B272" s="12" t="s">
        <v>84</v>
      </c>
      <c r="C272" s="12" t="s">
        <v>79</v>
      </c>
      <c r="D272" s="13">
        <v>25134194.559999999</v>
      </c>
      <c r="E272" s="14">
        <v>24060610.140000001</v>
      </c>
      <c r="F272" s="14">
        <v>1073584.42</v>
      </c>
      <c r="G272" s="15">
        <v>4.4600000000000001E-2</v>
      </c>
      <c r="H272" s="13">
        <v>113103.88</v>
      </c>
      <c r="I272" s="14">
        <v>107449.87</v>
      </c>
      <c r="J272" s="14">
        <v>5654.01</v>
      </c>
      <c r="K272" s="15">
        <v>5.2600000000000001E-2</v>
      </c>
      <c r="L272" s="13">
        <v>24882.85</v>
      </c>
      <c r="M272" s="14">
        <v>23241.53</v>
      </c>
      <c r="N272" s="14">
        <v>1641.32</v>
      </c>
      <c r="O272" s="15">
        <v>7.0599999999999996E-2</v>
      </c>
      <c r="P272" s="13">
        <v>1759.39</v>
      </c>
      <c r="Q272" s="14">
        <v>1628.13</v>
      </c>
      <c r="R272" s="14">
        <v>131.26</v>
      </c>
      <c r="S272" s="15">
        <v>8.0600000000000005E-2</v>
      </c>
      <c r="T272" s="13">
        <v>86461.63</v>
      </c>
      <c r="U272" s="14">
        <v>81289.960000000006</v>
      </c>
      <c r="V272" s="14">
        <v>5171.67</v>
      </c>
      <c r="W272" s="15">
        <v>6.3600000000000004E-2</v>
      </c>
      <c r="X272" s="13">
        <v>49363.39</v>
      </c>
      <c r="Y272" s="14">
        <v>45935.67</v>
      </c>
      <c r="Z272" s="14">
        <v>3427.72</v>
      </c>
      <c r="AA272" s="15">
        <v>7.46E-2</v>
      </c>
      <c r="AB272" s="13">
        <v>37098.239999999998</v>
      </c>
      <c r="AC272" s="14">
        <v>33798.800000000003</v>
      </c>
      <c r="AD272" s="14">
        <v>3299.44</v>
      </c>
      <c r="AE272" s="15">
        <v>9.7600000000000006E-2</v>
      </c>
      <c r="AF272" s="2"/>
      <c r="AM272" s="4"/>
    </row>
    <row r="273" spans="1:39" x14ac:dyDescent="0.35">
      <c r="A273" s="16" t="s">
        <v>93</v>
      </c>
      <c r="B273" s="17" t="s">
        <v>74</v>
      </c>
      <c r="C273" s="17" t="s">
        <v>75</v>
      </c>
      <c r="D273" s="18">
        <v>18261351.789999999</v>
      </c>
      <c r="E273" s="19">
        <v>18929565.449999999</v>
      </c>
      <c r="F273" s="19">
        <v>-668213.66</v>
      </c>
      <c r="G273" s="20">
        <v>-3.5299999999999998E-2</v>
      </c>
      <c r="H273" s="18">
        <v>136960.14000000001</v>
      </c>
      <c r="I273" s="19">
        <v>140804.09</v>
      </c>
      <c r="J273" s="19">
        <v>-3843.95</v>
      </c>
      <c r="K273" s="20">
        <v>-2.7300000000000001E-2</v>
      </c>
      <c r="L273" s="18">
        <v>47936.05</v>
      </c>
      <c r="M273" s="19">
        <v>48386.04</v>
      </c>
      <c r="N273" s="19">
        <v>-449.99</v>
      </c>
      <c r="O273" s="20">
        <v>-9.2999999999999992E-3</v>
      </c>
      <c r="P273" s="18">
        <v>3287.04</v>
      </c>
      <c r="Q273" s="19">
        <v>3284.74</v>
      </c>
      <c r="R273" s="19">
        <v>2.2999999999999998</v>
      </c>
      <c r="S273" s="20">
        <v>6.9999999999999999E-4</v>
      </c>
      <c r="T273" s="18">
        <v>85737.05</v>
      </c>
      <c r="U273" s="19">
        <v>87157.72</v>
      </c>
      <c r="V273" s="19">
        <v>-1420.67</v>
      </c>
      <c r="W273" s="20">
        <v>-1.6299999999999999E-2</v>
      </c>
      <c r="X273" s="18">
        <v>56100.74</v>
      </c>
      <c r="Y273" s="19">
        <v>56399.66</v>
      </c>
      <c r="Z273" s="19">
        <v>-298.92</v>
      </c>
      <c r="AA273" s="20">
        <v>-5.3E-3</v>
      </c>
      <c r="AB273" s="18">
        <v>29636.31</v>
      </c>
      <c r="AC273" s="19">
        <v>29120.87</v>
      </c>
      <c r="AD273" s="19">
        <v>515.44000000000005</v>
      </c>
      <c r="AE273" s="20">
        <v>1.77E-2</v>
      </c>
      <c r="AF273" s="2"/>
      <c r="AM273" s="4"/>
    </row>
    <row r="274" spans="1:39" x14ac:dyDescent="0.35">
      <c r="A274" s="16" t="s">
        <v>93</v>
      </c>
      <c r="B274" s="17" t="s">
        <v>74</v>
      </c>
      <c r="C274" s="17" t="s">
        <v>76</v>
      </c>
      <c r="D274" s="18">
        <v>28378221.93</v>
      </c>
      <c r="E274" s="19">
        <v>27606885.550000001</v>
      </c>
      <c r="F274" s="19">
        <v>771336.38</v>
      </c>
      <c r="G274" s="20">
        <v>2.7900000000000001E-2</v>
      </c>
      <c r="H274" s="18">
        <v>297971.33</v>
      </c>
      <c r="I274" s="19">
        <v>287633.77</v>
      </c>
      <c r="J274" s="19">
        <v>10337.56</v>
      </c>
      <c r="K274" s="20">
        <v>3.5900000000000001E-2</v>
      </c>
      <c r="L274" s="18">
        <v>83431.97</v>
      </c>
      <c r="M274" s="19">
        <v>79161.97</v>
      </c>
      <c r="N274" s="19">
        <v>4270</v>
      </c>
      <c r="O274" s="20">
        <v>5.3900000000000003E-2</v>
      </c>
      <c r="P274" s="18">
        <v>5108.08</v>
      </c>
      <c r="Q274" s="19">
        <v>4801.1000000000004</v>
      </c>
      <c r="R274" s="19">
        <v>306.98</v>
      </c>
      <c r="S274" s="20">
        <v>6.3899999999999998E-2</v>
      </c>
      <c r="T274" s="18">
        <v>209431.28</v>
      </c>
      <c r="U274" s="19">
        <v>200041.34</v>
      </c>
      <c r="V274" s="19">
        <v>9389.94</v>
      </c>
      <c r="W274" s="20">
        <v>4.6899999999999997E-2</v>
      </c>
      <c r="X274" s="18">
        <v>122053.12</v>
      </c>
      <c r="Y274" s="19">
        <v>115368.66</v>
      </c>
      <c r="Z274" s="19">
        <v>6684.46</v>
      </c>
      <c r="AA274" s="20">
        <v>5.79E-2</v>
      </c>
      <c r="AB274" s="18">
        <v>87378.16</v>
      </c>
      <c r="AC274" s="19">
        <v>80835.34</v>
      </c>
      <c r="AD274" s="19">
        <v>6542.81</v>
      </c>
      <c r="AE274" s="20">
        <v>8.09E-2</v>
      </c>
      <c r="AF274" s="2"/>
      <c r="AM274" s="4"/>
    </row>
    <row r="275" spans="1:39" x14ac:dyDescent="0.35">
      <c r="A275" s="16" t="s">
        <v>93</v>
      </c>
      <c r="B275" s="17" t="s">
        <v>74</v>
      </c>
      <c r="C275" s="17" t="s">
        <v>77</v>
      </c>
      <c r="D275" s="18">
        <v>43539070.280000001</v>
      </c>
      <c r="E275" s="19">
        <v>44701304.189999998</v>
      </c>
      <c r="F275" s="19">
        <v>-1162233.9099999999</v>
      </c>
      <c r="G275" s="20">
        <v>-2.5999999999999999E-2</v>
      </c>
      <c r="H275" s="18">
        <v>283003.96000000002</v>
      </c>
      <c r="I275" s="19">
        <v>288191.40999999997</v>
      </c>
      <c r="J275" s="19">
        <v>-5187.45</v>
      </c>
      <c r="K275" s="20">
        <v>-1.7999999999999999E-2</v>
      </c>
      <c r="L275" s="18">
        <v>90561.27</v>
      </c>
      <c r="M275" s="19">
        <v>90561.27</v>
      </c>
      <c r="N275" s="19">
        <v>0</v>
      </c>
      <c r="O275" s="20">
        <v>0</v>
      </c>
      <c r="P275" s="18">
        <v>7837.03</v>
      </c>
      <c r="Q275" s="19">
        <v>7759.44</v>
      </c>
      <c r="R275" s="19">
        <v>77.59</v>
      </c>
      <c r="S275" s="20">
        <v>0.01</v>
      </c>
      <c r="T275" s="18">
        <v>184605.66</v>
      </c>
      <c r="U275" s="19">
        <v>185907.01</v>
      </c>
      <c r="V275" s="19">
        <v>-1301.3499999999999</v>
      </c>
      <c r="W275" s="20">
        <v>-7.0000000000000001E-3</v>
      </c>
      <c r="X275" s="18">
        <v>115922.29</v>
      </c>
      <c r="Y275" s="19">
        <v>115460.44</v>
      </c>
      <c r="Z275" s="19">
        <v>461.84</v>
      </c>
      <c r="AA275" s="20">
        <v>4.0000000000000001E-3</v>
      </c>
      <c r="AB275" s="18">
        <v>68683.37</v>
      </c>
      <c r="AC275" s="19">
        <v>66877.679999999993</v>
      </c>
      <c r="AD275" s="19">
        <v>1805.7</v>
      </c>
      <c r="AE275" s="20">
        <v>2.7E-2</v>
      </c>
      <c r="AF275" s="2"/>
      <c r="AM275" s="4"/>
    </row>
    <row r="276" spans="1:39" x14ac:dyDescent="0.35">
      <c r="A276" s="16" t="s">
        <v>93</v>
      </c>
      <c r="B276" s="17" t="s">
        <v>74</v>
      </c>
      <c r="C276" s="17" t="s">
        <v>78</v>
      </c>
      <c r="D276" s="18">
        <v>11626198.689999999</v>
      </c>
      <c r="E276" s="19">
        <v>11392649.380000001</v>
      </c>
      <c r="F276" s="19">
        <v>233549.31</v>
      </c>
      <c r="G276" s="20">
        <v>2.0500000000000001E-2</v>
      </c>
      <c r="H276" s="18">
        <v>34878.6</v>
      </c>
      <c r="I276" s="19">
        <v>33912.11</v>
      </c>
      <c r="J276" s="19">
        <v>966.49</v>
      </c>
      <c r="K276" s="20">
        <v>2.8500000000000001E-2</v>
      </c>
      <c r="L276" s="18">
        <v>6278.15</v>
      </c>
      <c r="M276" s="19">
        <v>5999.19</v>
      </c>
      <c r="N276" s="19">
        <v>278.95999999999998</v>
      </c>
      <c r="O276" s="20">
        <v>4.65E-2</v>
      </c>
      <c r="P276" s="18">
        <v>2092.7199999999998</v>
      </c>
      <c r="Q276" s="19">
        <v>1980.8</v>
      </c>
      <c r="R276" s="19">
        <v>111.92</v>
      </c>
      <c r="S276" s="20">
        <v>5.6500000000000002E-2</v>
      </c>
      <c r="T276" s="18">
        <v>26507.73</v>
      </c>
      <c r="U276" s="19">
        <v>25500.46</v>
      </c>
      <c r="V276" s="19">
        <v>1007.27</v>
      </c>
      <c r="W276" s="20">
        <v>3.95E-2</v>
      </c>
      <c r="X276" s="18">
        <v>14286.75</v>
      </c>
      <c r="Y276" s="19">
        <v>13599.95</v>
      </c>
      <c r="Z276" s="19">
        <v>686.8</v>
      </c>
      <c r="AA276" s="20">
        <v>5.0500000000000003E-2</v>
      </c>
      <c r="AB276" s="18">
        <v>12220.98</v>
      </c>
      <c r="AC276" s="19">
        <v>11384.24</v>
      </c>
      <c r="AD276" s="19">
        <v>836.74</v>
      </c>
      <c r="AE276" s="20">
        <v>7.3499999999999996E-2</v>
      </c>
      <c r="AF276" s="2"/>
      <c r="AM276" s="4"/>
    </row>
    <row r="277" spans="1:39" x14ac:dyDescent="0.35">
      <c r="A277" s="16" t="s">
        <v>93</v>
      </c>
      <c r="B277" s="17" t="s">
        <v>74</v>
      </c>
      <c r="C277" s="17" t="s">
        <v>79</v>
      </c>
      <c r="D277" s="18">
        <v>17692571.920000002</v>
      </c>
      <c r="E277" s="19">
        <v>17006528.559999999</v>
      </c>
      <c r="F277" s="19">
        <v>686043.36</v>
      </c>
      <c r="G277" s="20">
        <v>4.0300000000000002E-2</v>
      </c>
      <c r="H277" s="18">
        <v>79616.570000000007</v>
      </c>
      <c r="I277" s="19">
        <v>75945.37</v>
      </c>
      <c r="J277" s="19">
        <v>3671.2</v>
      </c>
      <c r="K277" s="20">
        <v>4.8300000000000003E-2</v>
      </c>
      <c r="L277" s="18">
        <v>17515.650000000001</v>
      </c>
      <c r="M277" s="19">
        <v>16425.95</v>
      </c>
      <c r="N277" s="19">
        <v>1089.7</v>
      </c>
      <c r="O277" s="20">
        <v>6.6299999999999998E-2</v>
      </c>
      <c r="P277" s="18">
        <v>3184.66</v>
      </c>
      <c r="Q277" s="19">
        <v>2958.79</v>
      </c>
      <c r="R277" s="19">
        <v>225.87</v>
      </c>
      <c r="S277" s="20">
        <v>7.6300000000000007E-2</v>
      </c>
      <c r="T277" s="18">
        <v>58916.26</v>
      </c>
      <c r="U277" s="19">
        <v>55616.01</v>
      </c>
      <c r="V277" s="19">
        <v>3300.25</v>
      </c>
      <c r="W277" s="20">
        <v>5.9299999999999999E-2</v>
      </c>
      <c r="X277" s="18">
        <v>32612.03</v>
      </c>
      <c r="Y277" s="19">
        <v>30468.85</v>
      </c>
      <c r="Z277" s="19">
        <v>2143.1799999999998</v>
      </c>
      <c r="AA277" s="20">
        <v>7.0300000000000001E-2</v>
      </c>
      <c r="AB277" s="18">
        <v>26304.23</v>
      </c>
      <c r="AC277" s="19">
        <v>24058.6</v>
      </c>
      <c r="AD277" s="19">
        <v>2245.63</v>
      </c>
      <c r="AE277" s="20">
        <v>9.3299999999999994E-2</v>
      </c>
      <c r="AF277" s="2"/>
      <c r="AM277" s="4"/>
    </row>
    <row r="278" spans="1:39" x14ac:dyDescent="0.35">
      <c r="A278" s="16" t="s">
        <v>93</v>
      </c>
      <c r="B278" s="17" t="s">
        <v>80</v>
      </c>
      <c r="C278" s="17" t="s">
        <v>75</v>
      </c>
      <c r="D278" s="18">
        <v>8358312.8700000001</v>
      </c>
      <c r="E278" s="19">
        <v>8562967.8000000007</v>
      </c>
      <c r="F278" s="19">
        <v>-204654.93</v>
      </c>
      <c r="G278" s="20">
        <v>-2.3900000000000001E-2</v>
      </c>
      <c r="H278" s="18">
        <v>62687.35</v>
      </c>
      <c r="I278" s="19">
        <v>63700.18</v>
      </c>
      <c r="J278" s="19">
        <v>-1012.83</v>
      </c>
      <c r="K278" s="20">
        <v>-1.5900000000000001E-2</v>
      </c>
      <c r="L278" s="18">
        <v>21940.57</v>
      </c>
      <c r="M278" s="19">
        <v>21894.59</v>
      </c>
      <c r="N278" s="19">
        <v>45.98</v>
      </c>
      <c r="O278" s="20">
        <v>2.0999999999999999E-3</v>
      </c>
      <c r="P278" s="18">
        <v>752.25</v>
      </c>
      <c r="Q278" s="19">
        <v>743.26</v>
      </c>
      <c r="R278" s="19">
        <v>8.99</v>
      </c>
      <c r="S278" s="20">
        <v>1.21E-2</v>
      </c>
      <c r="T278" s="18">
        <v>39994.53</v>
      </c>
      <c r="U278" s="19">
        <v>40191.47</v>
      </c>
      <c r="V278" s="19">
        <v>-196.94</v>
      </c>
      <c r="W278" s="20">
        <v>-4.8999999999999998E-3</v>
      </c>
      <c r="X278" s="18">
        <v>25677.59</v>
      </c>
      <c r="Y278" s="19">
        <v>25521.91</v>
      </c>
      <c r="Z278" s="19">
        <v>155.68</v>
      </c>
      <c r="AA278" s="20">
        <v>6.1000000000000004E-3</v>
      </c>
      <c r="AB278" s="18">
        <v>14316.94</v>
      </c>
      <c r="AC278" s="19">
        <v>13912.09</v>
      </c>
      <c r="AD278" s="19">
        <v>404.84</v>
      </c>
      <c r="AE278" s="20">
        <v>2.9100000000000001E-2</v>
      </c>
      <c r="AF278" s="2"/>
      <c r="AM278" s="4"/>
    </row>
    <row r="279" spans="1:39" x14ac:dyDescent="0.35">
      <c r="A279" s="16" t="s">
        <v>93</v>
      </c>
      <c r="B279" s="17" t="s">
        <v>80</v>
      </c>
      <c r="C279" s="17" t="s">
        <v>76</v>
      </c>
      <c r="D279" s="18">
        <v>12978305.82</v>
      </c>
      <c r="E279" s="19">
        <v>12487064.689999999</v>
      </c>
      <c r="F279" s="19">
        <v>491241.13</v>
      </c>
      <c r="G279" s="20">
        <v>3.9300000000000002E-2</v>
      </c>
      <c r="H279" s="18">
        <v>136272.21</v>
      </c>
      <c r="I279" s="19">
        <v>130112.68</v>
      </c>
      <c r="J279" s="19">
        <v>6159.53</v>
      </c>
      <c r="K279" s="20">
        <v>4.7300000000000002E-2</v>
      </c>
      <c r="L279" s="18">
        <v>38156.22</v>
      </c>
      <c r="M279" s="19">
        <v>35816</v>
      </c>
      <c r="N279" s="19">
        <v>2340.2199999999998</v>
      </c>
      <c r="O279" s="20">
        <v>6.5299999999999997E-2</v>
      </c>
      <c r="P279" s="18">
        <v>1168.05</v>
      </c>
      <c r="Q279" s="19">
        <v>1086.21</v>
      </c>
      <c r="R279" s="19">
        <v>81.84</v>
      </c>
      <c r="S279" s="20">
        <v>7.5300000000000006E-2</v>
      </c>
      <c r="T279" s="18">
        <v>96947.94</v>
      </c>
      <c r="U279" s="19">
        <v>91603.78</v>
      </c>
      <c r="V279" s="19">
        <v>5344.16</v>
      </c>
      <c r="W279" s="20">
        <v>5.8299999999999998E-2</v>
      </c>
      <c r="X279" s="18">
        <v>55818.96</v>
      </c>
      <c r="Y279" s="19">
        <v>52199.45</v>
      </c>
      <c r="Z279" s="19">
        <v>3619.51</v>
      </c>
      <c r="AA279" s="20">
        <v>6.93E-2</v>
      </c>
      <c r="AB279" s="18">
        <v>41128.980000000003</v>
      </c>
      <c r="AC279" s="19">
        <v>37652.18</v>
      </c>
      <c r="AD279" s="19">
        <v>3476.8</v>
      </c>
      <c r="AE279" s="20">
        <v>9.2299999999999993E-2</v>
      </c>
      <c r="AF279" s="2"/>
      <c r="AM279" s="4"/>
    </row>
    <row r="280" spans="1:39" x14ac:dyDescent="0.35">
      <c r="A280" s="16" t="s">
        <v>93</v>
      </c>
      <c r="B280" s="17" t="s">
        <v>80</v>
      </c>
      <c r="C280" s="17" t="s">
        <v>77</v>
      </c>
      <c r="D280" s="18">
        <v>19928052.18</v>
      </c>
      <c r="E280" s="19">
        <v>20223312.539999999</v>
      </c>
      <c r="F280" s="19">
        <v>-295260.36</v>
      </c>
      <c r="G280" s="20">
        <v>-1.46E-2</v>
      </c>
      <c r="H280" s="18">
        <v>129532.34</v>
      </c>
      <c r="I280" s="19">
        <v>130392.93</v>
      </c>
      <c r="J280" s="19">
        <v>-860.59</v>
      </c>
      <c r="K280" s="20">
        <v>-6.6E-3</v>
      </c>
      <c r="L280" s="18">
        <v>41450.35</v>
      </c>
      <c r="M280" s="19">
        <v>40983.14</v>
      </c>
      <c r="N280" s="19">
        <v>467.21</v>
      </c>
      <c r="O280" s="20">
        <v>1.14E-2</v>
      </c>
      <c r="P280" s="18">
        <v>1793.52</v>
      </c>
      <c r="Q280" s="19">
        <v>1755.94</v>
      </c>
      <c r="R280" s="19">
        <v>37.58</v>
      </c>
      <c r="S280" s="20">
        <v>2.1399999999999999E-2</v>
      </c>
      <c r="T280" s="18">
        <v>86288.47</v>
      </c>
      <c r="U280" s="19">
        <v>85910.46</v>
      </c>
      <c r="V280" s="19">
        <v>378.01</v>
      </c>
      <c r="W280" s="20">
        <v>4.4000000000000003E-3</v>
      </c>
      <c r="X280" s="18">
        <v>53058.21</v>
      </c>
      <c r="Y280" s="19">
        <v>52253.51</v>
      </c>
      <c r="Z280" s="19">
        <v>804.7</v>
      </c>
      <c r="AA280" s="20">
        <v>1.54E-2</v>
      </c>
      <c r="AB280" s="18">
        <v>33230.26</v>
      </c>
      <c r="AC280" s="19">
        <v>32001.4</v>
      </c>
      <c r="AD280" s="19">
        <v>1228.8499999999999</v>
      </c>
      <c r="AE280" s="20">
        <v>3.8399999999999997E-2</v>
      </c>
      <c r="AF280" s="2"/>
      <c r="AM280" s="4"/>
    </row>
    <row r="281" spans="1:39" x14ac:dyDescent="0.35">
      <c r="A281" s="16" t="s">
        <v>93</v>
      </c>
      <c r="B281" s="17" t="s">
        <v>80</v>
      </c>
      <c r="C281" s="17" t="s">
        <v>78</v>
      </c>
      <c r="D281" s="18">
        <v>5317047.79</v>
      </c>
      <c r="E281" s="19">
        <v>5152677.38</v>
      </c>
      <c r="F281" s="19">
        <v>164370.41</v>
      </c>
      <c r="G281" s="20">
        <v>3.1899999999999998E-2</v>
      </c>
      <c r="H281" s="18">
        <v>15951.14</v>
      </c>
      <c r="I281" s="19">
        <v>15339.11</v>
      </c>
      <c r="J281" s="19">
        <v>612.03</v>
      </c>
      <c r="K281" s="20">
        <v>3.9899999999999998E-2</v>
      </c>
      <c r="L281" s="18">
        <v>2871.21</v>
      </c>
      <c r="M281" s="19">
        <v>2714.07</v>
      </c>
      <c r="N281" s="19">
        <v>157.13999999999999</v>
      </c>
      <c r="O281" s="20">
        <v>5.79E-2</v>
      </c>
      <c r="P281" s="18">
        <v>478.53</v>
      </c>
      <c r="Q281" s="19">
        <v>448.1</v>
      </c>
      <c r="R281" s="19">
        <v>30.43</v>
      </c>
      <c r="S281" s="20">
        <v>6.7900000000000002E-2</v>
      </c>
      <c r="T281" s="18">
        <v>12601.4</v>
      </c>
      <c r="U281" s="19">
        <v>11991.06</v>
      </c>
      <c r="V281" s="19">
        <v>610.34</v>
      </c>
      <c r="W281" s="20">
        <v>5.0900000000000001E-2</v>
      </c>
      <c r="X281" s="18">
        <v>6533.8</v>
      </c>
      <c r="Y281" s="19">
        <v>6152.94</v>
      </c>
      <c r="Z281" s="19">
        <v>380.87</v>
      </c>
      <c r="AA281" s="20">
        <v>6.1899999999999997E-2</v>
      </c>
      <c r="AB281" s="18">
        <v>6067.6</v>
      </c>
      <c r="AC281" s="19">
        <v>5592.77</v>
      </c>
      <c r="AD281" s="19">
        <v>474.83</v>
      </c>
      <c r="AE281" s="20">
        <v>8.4900000000000003E-2</v>
      </c>
      <c r="AF281" s="2"/>
      <c r="AM281" s="4"/>
    </row>
    <row r="282" spans="1:39" x14ac:dyDescent="0.35">
      <c r="A282" s="16" t="s">
        <v>93</v>
      </c>
      <c r="B282" s="17" t="s">
        <v>80</v>
      </c>
      <c r="C282" s="17" t="s">
        <v>79</v>
      </c>
      <c r="D282" s="18">
        <v>8091402.2599999998</v>
      </c>
      <c r="E282" s="19">
        <v>7693348.4100000001</v>
      </c>
      <c r="F282" s="19">
        <v>398053.85</v>
      </c>
      <c r="G282" s="20">
        <v>5.1700000000000003E-2</v>
      </c>
      <c r="H282" s="18">
        <v>36411.31</v>
      </c>
      <c r="I282" s="19">
        <v>34358.720000000001</v>
      </c>
      <c r="J282" s="19">
        <v>2052.59</v>
      </c>
      <c r="K282" s="20">
        <v>5.9700000000000003E-2</v>
      </c>
      <c r="L282" s="18">
        <v>8010.49</v>
      </c>
      <c r="M282" s="19">
        <v>7432.67</v>
      </c>
      <c r="N282" s="19">
        <v>577.82000000000005</v>
      </c>
      <c r="O282" s="20">
        <v>7.7700000000000005E-2</v>
      </c>
      <c r="P282" s="18">
        <v>728.23</v>
      </c>
      <c r="Q282" s="19">
        <v>669.49</v>
      </c>
      <c r="R282" s="19">
        <v>58.74</v>
      </c>
      <c r="S282" s="20">
        <v>8.77E-2</v>
      </c>
      <c r="T282" s="18">
        <v>27672.6</v>
      </c>
      <c r="U282" s="19">
        <v>25844.37</v>
      </c>
      <c r="V282" s="19">
        <v>1828.23</v>
      </c>
      <c r="W282" s="20">
        <v>7.0699999999999999E-2</v>
      </c>
      <c r="X282" s="18">
        <v>14914.57</v>
      </c>
      <c r="Y282" s="19">
        <v>13787.57</v>
      </c>
      <c r="Z282" s="19">
        <v>1127</v>
      </c>
      <c r="AA282" s="20">
        <v>8.1699999999999995E-2</v>
      </c>
      <c r="AB282" s="18">
        <v>12758.03</v>
      </c>
      <c r="AC282" s="19">
        <v>11548.45</v>
      </c>
      <c r="AD282" s="19">
        <v>1209.58</v>
      </c>
      <c r="AE282" s="20">
        <v>0.1047</v>
      </c>
      <c r="AF282" s="2"/>
      <c r="AM282" s="4"/>
    </row>
    <row r="283" spans="1:39" x14ac:dyDescent="0.35">
      <c r="A283" s="16" t="s">
        <v>93</v>
      </c>
      <c r="B283" s="17" t="s">
        <v>81</v>
      </c>
      <c r="C283" s="17" t="s">
        <v>75</v>
      </c>
      <c r="D283" s="18">
        <v>12769594.460000001</v>
      </c>
      <c r="E283" s="19">
        <v>13373823.82</v>
      </c>
      <c r="F283" s="19">
        <v>-604229.36</v>
      </c>
      <c r="G283" s="20">
        <v>-4.5199999999999997E-2</v>
      </c>
      <c r="H283" s="18">
        <v>95771.96</v>
      </c>
      <c r="I283" s="19">
        <v>99470.26</v>
      </c>
      <c r="J283" s="19">
        <v>-3698.3</v>
      </c>
      <c r="K283" s="20">
        <v>-3.7199999999999997E-2</v>
      </c>
      <c r="L283" s="18">
        <v>33520.19</v>
      </c>
      <c r="M283" s="19">
        <v>34175.68</v>
      </c>
      <c r="N283" s="19">
        <v>-655.49</v>
      </c>
      <c r="O283" s="20">
        <v>-1.9199999999999998E-2</v>
      </c>
      <c r="P283" s="18">
        <v>2553.92</v>
      </c>
      <c r="Q283" s="19">
        <v>2577.58</v>
      </c>
      <c r="R283" s="19">
        <v>-23.66</v>
      </c>
      <c r="S283" s="20">
        <v>-9.1999999999999998E-3</v>
      </c>
      <c r="T283" s="18">
        <v>59697.85</v>
      </c>
      <c r="U283" s="19">
        <v>61302.76</v>
      </c>
      <c r="V283" s="19">
        <v>-1604.91</v>
      </c>
      <c r="W283" s="20">
        <v>-2.6200000000000001E-2</v>
      </c>
      <c r="X283" s="18">
        <v>39229.5</v>
      </c>
      <c r="Y283" s="19">
        <v>39834.19</v>
      </c>
      <c r="Z283" s="19">
        <v>-604.67999999999995</v>
      </c>
      <c r="AA283" s="20">
        <v>-1.52E-2</v>
      </c>
      <c r="AB283" s="18">
        <v>20468.349999999999</v>
      </c>
      <c r="AC283" s="19">
        <v>20309.53</v>
      </c>
      <c r="AD283" s="19">
        <v>158.82</v>
      </c>
      <c r="AE283" s="20">
        <v>7.7999999999999996E-3</v>
      </c>
      <c r="AF283" s="2"/>
      <c r="AM283" s="4"/>
    </row>
    <row r="284" spans="1:39" x14ac:dyDescent="0.35">
      <c r="A284" s="16" t="s">
        <v>93</v>
      </c>
      <c r="B284" s="17" t="s">
        <v>81</v>
      </c>
      <c r="C284" s="17" t="s">
        <v>76</v>
      </c>
      <c r="D284" s="18">
        <v>19851844.579999998</v>
      </c>
      <c r="E284" s="19">
        <v>19499680.350000001</v>
      </c>
      <c r="F284" s="19">
        <v>352164.23</v>
      </c>
      <c r="G284" s="20">
        <v>1.8100000000000002E-2</v>
      </c>
      <c r="H284" s="18">
        <v>208444.37</v>
      </c>
      <c r="I284" s="19">
        <v>203150.27</v>
      </c>
      <c r="J284" s="19">
        <v>5294.1</v>
      </c>
      <c r="K284" s="20">
        <v>2.6100000000000002E-2</v>
      </c>
      <c r="L284" s="18">
        <v>58364.42</v>
      </c>
      <c r="M284" s="19">
        <v>55901.4</v>
      </c>
      <c r="N284" s="19">
        <v>2463.02</v>
      </c>
      <c r="O284" s="20">
        <v>4.41E-2</v>
      </c>
      <c r="P284" s="18">
        <v>3970.37</v>
      </c>
      <c r="Q284" s="19">
        <v>3766.74</v>
      </c>
      <c r="R284" s="19">
        <v>203.63</v>
      </c>
      <c r="S284" s="20">
        <v>5.4100000000000002E-2</v>
      </c>
      <c r="T284" s="18">
        <v>146109.57999999999</v>
      </c>
      <c r="U284" s="19">
        <v>140888.26</v>
      </c>
      <c r="V284" s="19">
        <v>5221.32</v>
      </c>
      <c r="W284" s="20">
        <v>3.7100000000000001E-2</v>
      </c>
      <c r="X284" s="18">
        <v>85381.66</v>
      </c>
      <c r="Y284" s="19">
        <v>81466.38</v>
      </c>
      <c r="Z284" s="19">
        <v>3915.27</v>
      </c>
      <c r="AA284" s="20">
        <v>4.8099999999999997E-2</v>
      </c>
      <c r="AB284" s="18">
        <v>60727.92</v>
      </c>
      <c r="AC284" s="19">
        <v>56698.9</v>
      </c>
      <c r="AD284" s="19">
        <v>4029.02</v>
      </c>
      <c r="AE284" s="20">
        <v>7.1099999999999997E-2</v>
      </c>
      <c r="AF284" s="2"/>
      <c r="AM284" s="4"/>
    </row>
    <row r="285" spans="1:39" x14ac:dyDescent="0.35">
      <c r="A285" s="16" t="s">
        <v>93</v>
      </c>
      <c r="B285" s="17" t="s">
        <v>81</v>
      </c>
      <c r="C285" s="17" t="s">
        <v>77</v>
      </c>
      <c r="D285" s="18">
        <v>30445515.59</v>
      </c>
      <c r="E285" s="19">
        <v>31578554.109999999</v>
      </c>
      <c r="F285" s="19">
        <v>-1133038.52</v>
      </c>
      <c r="G285" s="20">
        <v>-3.5900000000000001E-2</v>
      </c>
      <c r="H285" s="18">
        <v>197895.85</v>
      </c>
      <c r="I285" s="19">
        <v>203571.42</v>
      </c>
      <c r="J285" s="19">
        <v>-5675.57</v>
      </c>
      <c r="K285" s="20">
        <v>-2.7900000000000001E-2</v>
      </c>
      <c r="L285" s="18">
        <v>63326.67</v>
      </c>
      <c r="M285" s="19">
        <v>63958.58</v>
      </c>
      <c r="N285" s="19">
        <v>-631.91</v>
      </c>
      <c r="O285" s="20">
        <v>-9.9000000000000008E-3</v>
      </c>
      <c r="P285" s="18">
        <v>6089.1</v>
      </c>
      <c r="Q285" s="19">
        <v>6088.37</v>
      </c>
      <c r="R285" s="19">
        <v>0.73</v>
      </c>
      <c r="S285" s="20">
        <v>1E-4</v>
      </c>
      <c r="T285" s="18">
        <v>128480.08</v>
      </c>
      <c r="U285" s="19">
        <v>130686.06</v>
      </c>
      <c r="V285" s="19">
        <v>-2205.98</v>
      </c>
      <c r="W285" s="20">
        <v>-1.6899999999999998E-2</v>
      </c>
      <c r="X285" s="18">
        <v>81060.84</v>
      </c>
      <c r="Y285" s="19">
        <v>81540.3</v>
      </c>
      <c r="Z285" s="19">
        <v>-479.46</v>
      </c>
      <c r="AA285" s="20">
        <v>-5.8999999999999999E-3</v>
      </c>
      <c r="AB285" s="18">
        <v>47419.24</v>
      </c>
      <c r="AC285" s="19">
        <v>46621.09</v>
      </c>
      <c r="AD285" s="19">
        <v>798.15</v>
      </c>
      <c r="AE285" s="20">
        <v>1.7100000000000001E-2</v>
      </c>
      <c r="AF285" s="2"/>
      <c r="AM285" s="4"/>
    </row>
    <row r="286" spans="1:39" x14ac:dyDescent="0.35">
      <c r="A286" s="16" t="s">
        <v>93</v>
      </c>
      <c r="B286" s="17" t="s">
        <v>81</v>
      </c>
      <c r="C286" s="17" t="s">
        <v>78</v>
      </c>
      <c r="D286" s="18">
        <v>8133049.7000000002</v>
      </c>
      <c r="E286" s="19">
        <v>8047584.3499999996</v>
      </c>
      <c r="F286" s="19">
        <v>85465.35</v>
      </c>
      <c r="G286" s="20">
        <v>1.06E-2</v>
      </c>
      <c r="H286" s="18">
        <v>24399.15</v>
      </c>
      <c r="I286" s="19">
        <v>23953.14</v>
      </c>
      <c r="J286" s="19">
        <v>446.01</v>
      </c>
      <c r="K286" s="20">
        <v>1.8599999999999998E-2</v>
      </c>
      <c r="L286" s="18">
        <v>4391.8500000000004</v>
      </c>
      <c r="M286" s="19">
        <v>4236.7</v>
      </c>
      <c r="N286" s="19">
        <v>155.15</v>
      </c>
      <c r="O286" s="20">
        <v>3.6600000000000001E-2</v>
      </c>
      <c r="P286" s="18">
        <v>1626.61</v>
      </c>
      <c r="Q286" s="19">
        <v>1554.16</v>
      </c>
      <c r="R286" s="19">
        <v>72.45</v>
      </c>
      <c r="S286" s="20">
        <v>4.6600000000000003E-2</v>
      </c>
      <c r="T286" s="18">
        <v>18380.689999999999</v>
      </c>
      <c r="U286" s="19">
        <v>17851.919999999998</v>
      </c>
      <c r="V286" s="19">
        <v>528.77</v>
      </c>
      <c r="W286" s="20">
        <v>2.9600000000000001E-2</v>
      </c>
      <c r="X286" s="18">
        <v>9994.2199999999993</v>
      </c>
      <c r="Y286" s="19">
        <v>9604.11</v>
      </c>
      <c r="Z286" s="19">
        <v>390.12</v>
      </c>
      <c r="AA286" s="20">
        <v>4.0599999999999997E-2</v>
      </c>
      <c r="AB286" s="18">
        <v>8386.4699999999993</v>
      </c>
      <c r="AC286" s="19">
        <v>7884.83</v>
      </c>
      <c r="AD286" s="19">
        <v>501.63</v>
      </c>
      <c r="AE286" s="20">
        <v>6.3600000000000004E-2</v>
      </c>
      <c r="AF286" s="2"/>
      <c r="AM286" s="4"/>
    </row>
    <row r="287" spans="1:39" x14ac:dyDescent="0.35">
      <c r="A287" s="16" t="s">
        <v>93</v>
      </c>
      <c r="B287" s="17" t="s">
        <v>81</v>
      </c>
      <c r="C287" s="17" t="s">
        <v>79</v>
      </c>
      <c r="D287" s="18">
        <v>12376751.039999999</v>
      </c>
      <c r="E287" s="19">
        <v>12010899.050000001</v>
      </c>
      <c r="F287" s="19">
        <v>365851.99</v>
      </c>
      <c r="G287" s="20">
        <v>3.0499999999999999E-2</v>
      </c>
      <c r="H287" s="18">
        <v>55695.38</v>
      </c>
      <c r="I287" s="19">
        <v>53632.67</v>
      </c>
      <c r="J287" s="19">
        <v>2062.71</v>
      </c>
      <c r="K287" s="20">
        <v>3.85E-2</v>
      </c>
      <c r="L287" s="18">
        <v>12252.98</v>
      </c>
      <c r="M287" s="19">
        <v>11598.15</v>
      </c>
      <c r="N287" s="19">
        <v>654.83000000000004</v>
      </c>
      <c r="O287" s="20">
        <v>5.6500000000000002E-2</v>
      </c>
      <c r="P287" s="18">
        <v>2475.35</v>
      </c>
      <c r="Q287" s="19">
        <v>2321.09</v>
      </c>
      <c r="R287" s="19">
        <v>154.26</v>
      </c>
      <c r="S287" s="20">
        <v>6.6500000000000004E-2</v>
      </c>
      <c r="T287" s="18">
        <v>40967.050000000003</v>
      </c>
      <c r="U287" s="19">
        <v>39036.31</v>
      </c>
      <c r="V287" s="19">
        <v>1930.74</v>
      </c>
      <c r="W287" s="20">
        <v>4.9500000000000002E-2</v>
      </c>
      <c r="X287" s="18">
        <v>22813.59</v>
      </c>
      <c r="Y287" s="19">
        <v>21512.92</v>
      </c>
      <c r="Z287" s="19">
        <v>1300.67</v>
      </c>
      <c r="AA287" s="20">
        <v>6.0499999999999998E-2</v>
      </c>
      <c r="AB287" s="18">
        <v>18153.46</v>
      </c>
      <c r="AC287" s="19">
        <v>16755.080000000002</v>
      </c>
      <c r="AD287" s="19">
        <v>1398.38</v>
      </c>
      <c r="AE287" s="20">
        <v>8.3500000000000005E-2</v>
      </c>
      <c r="AF287" s="2"/>
      <c r="AM287" s="4"/>
    </row>
    <row r="288" spans="1:39" x14ac:dyDescent="0.35">
      <c r="A288" s="16" t="s">
        <v>93</v>
      </c>
      <c r="B288" s="17" t="s">
        <v>82</v>
      </c>
      <c r="C288" s="17" t="s">
        <v>75</v>
      </c>
      <c r="D288" s="18">
        <v>14965977.970000001</v>
      </c>
      <c r="E288" s="19">
        <v>15605816.439999999</v>
      </c>
      <c r="F288" s="19">
        <v>-639838.47</v>
      </c>
      <c r="G288" s="20">
        <v>-4.1000000000000002E-2</v>
      </c>
      <c r="H288" s="18">
        <v>112244.83</v>
      </c>
      <c r="I288" s="19">
        <v>116075.32</v>
      </c>
      <c r="J288" s="19">
        <v>-3830.49</v>
      </c>
      <c r="K288" s="20">
        <v>-3.3000000000000002E-2</v>
      </c>
      <c r="L288" s="18">
        <v>39285.69</v>
      </c>
      <c r="M288" s="19">
        <v>39883.949999999997</v>
      </c>
      <c r="N288" s="19">
        <v>-598.26</v>
      </c>
      <c r="O288" s="20">
        <v>-1.4999999999999999E-2</v>
      </c>
      <c r="P288" s="18">
        <v>2244.9</v>
      </c>
      <c r="Q288" s="19">
        <v>2256.1799999999998</v>
      </c>
      <c r="R288" s="19">
        <v>-11.28</v>
      </c>
      <c r="S288" s="20">
        <v>-5.0000000000000001E-3</v>
      </c>
      <c r="T288" s="18">
        <v>70714.25</v>
      </c>
      <c r="U288" s="19">
        <v>72304.960000000006</v>
      </c>
      <c r="V288" s="19">
        <v>-1590.71</v>
      </c>
      <c r="W288" s="20">
        <v>-2.1999999999999999E-2</v>
      </c>
      <c r="X288" s="18">
        <v>45977.01</v>
      </c>
      <c r="Y288" s="19">
        <v>46488.39</v>
      </c>
      <c r="Z288" s="19">
        <v>-511.37</v>
      </c>
      <c r="AA288" s="20">
        <v>-1.0999999999999999E-2</v>
      </c>
      <c r="AB288" s="18">
        <v>24737.24</v>
      </c>
      <c r="AC288" s="19">
        <v>24443.91</v>
      </c>
      <c r="AD288" s="19">
        <v>293.33</v>
      </c>
      <c r="AE288" s="20">
        <v>1.2E-2</v>
      </c>
      <c r="AF288" s="2"/>
      <c r="AM288" s="4"/>
    </row>
    <row r="289" spans="1:39" x14ac:dyDescent="0.35">
      <c r="A289" s="16" t="s">
        <v>93</v>
      </c>
      <c r="B289" s="17" t="s">
        <v>82</v>
      </c>
      <c r="C289" s="17" t="s">
        <v>76</v>
      </c>
      <c r="D289" s="18">
        <v>23261810.469999999</v>
      </c>
      <c r="E289" s="19">
        <v>22755723.190000001</v>
      </c>
      <c r="F289" s="19">
        <v>506087.28</v>
      </c>
      <c r="G289" s="20">
        <v>2.2200000000000001E-2</v>
      </c>
      <c r="H289" s="18">
        <v>244249.01</v>
      </c>
      <c r="I289" s="19">
        <v>237079.72</v>
      </c>
      <c r="J289" s="19">
        <v>7169.29</v>
      </c>
      <c r="K289" s="20">
        <v>3.0200000000000001E-2</v>
      </c>
      <c r="L289" s="18">
        <v>68389.72</v>
      </c>
      <c r="M289" s="19">
        <v>65242.43</v>
      </c>
      <c r="N289" s="19">
        <v>3147.29</v>
      </c>
      <c r="O289" s="20">
        <v>4.82E-2</v>
      </c>
      <c r="P289" s="18">
        <v>3489.27</v>
      </c>
      <c r="Q289" s="19">
        <v>3297.24</v>
      </c>
      <c r="R289" s="19">
        <v>192.03</v>
      </c>
      <c r="S289" s="20">
        <v>5.8200000000000002E-2</v>
      </c>
      <c r="T289" s="18">
        <v>172370.02</v>
      </c>
      <c r="U289" s="19">
        <v>165543.03</v>
      </c>
      <c r="V289" s="19">
        <v>6826.99</v>
      </c>
      <c r="W289" s="20">
        <v>4.1200000000000001E-2</v>
      </c>
      <c r="X289" s="18">
        <v>100047.73</v>
      </c>
      <c r="Y289" s="19">
        <v>95080.71</v>
      </c>
      <c r="Z289" s="19">
        <v>4967.0200000000004</v>
      </c>
      <c r="AA289" s="20">
        <v>5.2200000000000003E-2</v>
      </c>
      <c r="AB289" s="18">
        <v>72322.289999999994</v>
      </c>
      <c r="AC289" s="19">
        <v>67261.53</v>
      </c>
      <c r="AD289" s="19">
        <v>5060.76</v>
      </c>
      <c r="AE289" s="20">
        <v>7.5200000000000003E-2</v>
      </c>
      <c r="AF289" s="2"/>
      <c r="AM289" s="4"/>
    </row>
    <row r="290" spans="1:39" x14ac:dyDescent="0.35">
      <c r="A290" s="16" t="s">
        <v>93</v>
      </c>
      <c r="B290" s="17" t="s">
        <v>82</v>
      </c>
      <c r="C290" s="17" t="s">
        <v>77</v>
      </c>
      <c r="D290" s="18">
        <v>35682175.890000001</v>
      </c>
      <c r="E290" s="19">
        <v>36850331.399999999</v>
      </c>
      <c r="F290" s="19">
        <v>-1168155.51</v>
      </c>
      <c r="G290" s="20">
        <v>-3.1699999999999999E-2</v>
      </c>
      <c r="H290" s="18">
        <v>231934.14</v>
      </c>
      <c r="I290" s="19">
        <v>237564.42</v>
      </c>
      <c r="J290" s="19">
        <v>-5630.28</v>
      </c>
      <c r="K290" s="20">
        <v>-2.3699999999999999E-2</v>
      </c>
      <c r="L290" s="18">
        <v>74218.929999999993</v>
      </c>
      <c r="M290" s="19">
        <v>74644.399999999994</v>
      </c>
      <c r="N290" s="19">
        <v>-425.47</v>
      </c>
      <c r="O290" s="20">
        <v>-5.7000000000000002E-3</v>
      </c>
      <c r="P290" s="18">
        <v>5352.33</v>
      </c>
      <c r="Q290" s="19">
        <v>5329.41</v>
      </c>
      <c r="R290" s="19">
        <v>22.92</v>
      </c>
      <c r="S290" s="20">
        <v>4.3E-3</v>
      </c>
      <c r="T290" s="18">
        <v>152362.89000000001</v>
      </c>
      <c r="U290" s="19">
        <v>154322.79</v>
      </c>
      <c r="V290" s="19">
        <v>-1959.9</v>
      </c>
      <c r="W290" s="20">
        <v>-1.2699999999999999E-2</v>
      </c>
      <c r="X290" s="18">
        <v>95003.39</v>
      </c>
      <c r="Y290" s="19">
        <v>95165.17</v>
      </c>
      <c r="Z290" s="19">
        <v>-161.78</v>
      </c>
      <c r="AA290" s="20">
        <v>-1.6999999999999999E-3</v>
      </c>
      <c r="AB290" s="18">
        <v>57359.5</v>
      </c>
      <c r="AC290" s="19">
        <v>56163.22</v>
      </c>
      <c r="AD290" s="19">
        <v>1196.28</v>
      </c>
      <c r="AE290" s="20">
        <v>2.1299999999999999E-2</v>
      </c>
      <c r="AF290" s="2"/>
      <c r="AM290" s="4"/>
    </row>
    <row r="291" spans="1:39" x14ac:dyDescent="0.35">
      <c r="A291" s="16" t="s">
        <v>93</v>
      </c>
      <c r="B291" s="17" t="s">
        <v>82</v>
      </c>
      <c r="C291" s="17" t="s">
        <v>78</v>
      </c>
      <c r="D291" s="18">
        <v>9530069.6099999994</v>
      </c>
      <c r="E291" s="19">
        <v>9391081.5999999996</v>
      </c>
      <c r="F291" s="19">
        <v>138988.01</v>
      </c>
      <c r="G291" s="20">
        <v>1.4800000000000001E-2</v>
      </c>
      <c r="H291" s="18">
        <v>28590.21</v>
      </c>
      <c r="I291" s="19">
        <v>27952.880000000001</v>
      </c>
      <c r="J291" s="19">
        <v>637.33000000000004</v>
      </c>
      <c r="K291" s="20">
        <v>2.2800000000000001E-2</v>
      </c>
      <c r="L291" s="18">
        <v>5146.24</v>
      </c>
      <c r="M291" s="19">
        <v>4944.5</v>
      </c>
      <c r="N291" s="19">
        <v>201.74</v>
      </c>
      <c r="O291" s="20">
        <v>4.0800000000000003E-2</v>
      </c>
      <c r="P291" s="18">
        <v>1429.51</v>
      </c>
      <c r="Q291" s="19">
        <v>1360.4</v>
      </c>
      <c r="R291" s="19">
        <v>69.11</v>
      </c>
      <c r="S291" s="20">
        <v>5.0799999999999998E-2</v>
      </c>
      <c r="T291" s="18">
        <v>22014.46</v>
      </c>
      <c r="U291" s="19">
        <v>21294.7</v>
      </c>
      <c r="V291" s="19">
        <v>719.76</v>
      </c>
      <c r="W291" s="20">
        <v>3.3799999999999997E-2</v>
      </c>
      <c r="X291" s="18">
        <v>11710.94</v>
      </c>
      <c r="Y291" s="19">
        <v>11208.79</v>
      </c>
      <c r="Z291" s="19">
        <v>502.15</v>
      </c>
      <c r="AA291" s="20">
        <v>4.48E-2</v>
      </c>
      <c r="AB291" s="18">
        <v>10303.52</v>
      </c>
      <c r="AC291" s="19">
        <v>9649.2999999999993</v>
      </c>
      <c r="AD291" s="19">
        <v>654.22</v>
      </c>
      <c r="AE291" s="20">
        <v>6.7799999999999999E-2</v>
      </c>
      <c r="AF291" s="2"/>
      <c r="AM291" s="4"/>
    </row>
    <row r="292" spans="1:39" x14ac:dyDescent="0.35">
      <c r="A292" s="16" t="s">
        <v>93</v>
      </c>
      <c r="B292" s="17" t="s">
        <v>82</v>
      </c>
      <c r="C292" s="17" t="s">
        <v>79</v>
      </c>
      <c r="D292" s="18">
        <v>14502714.640000001</v>
      </c>
      <c r="E292" s="19">
        <v>14017160.210000001</v>
      </c>
      <c r="F292" s="19">
        <v>485554.43</v>
      </c>
      <c r="G292" s="20">
        <v>3.4599999999999999E-2</v>
      </c>
      <c r="H292" s="18">
        <v>65262.22</v>
      </c>
      <c r="I292" s="19">
        <v>62593.24</v>
      </c>
      <c r="J292" s="19">
        <v>2668.98</v>
      </c>
      <c r="K292" s="20">
        <v>4.2599999999999999E-2</v>
      </c>
      <c r="L292" s="18">
        <v>14357.69</v>
      </c>
      <c r="M292" s="19">
        <v>13536.82</v>
      </c>
      <c r="N292" s="19">
        <v>820.87</v>
      </c>
      <c r="O292" s="20">
        <v>6.0600000000000001E-2</v>
      </c>
      <c r="P292" s="18">
        <v>2175.41</v>
      </c>
      <c r="Q292" s="19">
        <v>2031.88</v>
      </c>
      <c r="R292" s="19">
        <v>143.53</v>
      </c>
      <c r="S292" s="20">
        <v>7.0599999999999996E-2</v>
      </c>
      <c r="T292" s="18">
        <v>48729.120000000003</v>
      </c>
      <c r="U292" s="19">
        <v>46248.36</v>
      </c>
      <c r="V292" s="19">
        <v>2480.7600000000002</v>
      </c>
      <c r="W292" s="20">
        <v>5.3600000000000002E-2</v>
      </c>
      <c r="X292" s="18">
        <v>26732.3</v>
      </c>
      <c r="Y292" s="19">
        <v>25109.24</v>
      </c>
      <c r="Z292" s="19">
        <v>1623.06</v>
      </c>
      <c r="AA292" s="20">
        <v>6.4600000000000005E-2</v>
      </c>
      <c r="AB292" s="18">
        <v>21996.82</v>
      </c>
      <c r="AC292" s="19">
        <v>20224.36</v>
      </c>
      <c r="AD292" s="19">
        <v>1772.46</v>
      </c>
      <c r="AE292" s="20">
        <v>8.7599999999999997E-2</v>
      </c>
      <c r="AF292" s="2"/>
      <c r="AM292" s="4"/>
    </row>
    <row r="293" spans="1:39" x14ac:dyDescent="0.35">
      <c r="A293" s="16" t="s">
        <v>93</v>
      </c>
      <c r="B293" s="17" t="s">
        <v>83</v>
      </c>
      <c r="C293" s="17" t="s">
        <v>75</v>
      </c>
      <c r="D293" s="18">
        <v>11502752.810000001</v>
      </c>
      <c r="E293" s="19">
        <v>11697873.34</v>
      </c>
      <c r="F293" s="19">
        <v>-195120.53</v>
      </c>
      <c r="G293" s="20">
        <v>-1.67E-2</v>
      </c>
      <c r="H293" s="18">
        <v>86270.65</v>
      </c>
      <c r="I293" s="19">
        <v>87026.04</v>
      </c>
      <c r="J293" s="19">
        <v>-755.39</v>
      </c>
      <c r="K293" s="20">
        <v>-8.6999999999999994E-3</v>
      </c>
      <c r="L293" s="18">
        <v>30194.73</v>
      </c>
      <c r="M293" s="19">
        <v>29915.91</v>
      </c>
      <c r="N293" s="19">
        <v>278.82</v>
      </c>
      <c r="O293" s="20">
        <v>9.2999999999999992E-3</v>
      </c>
      <c r="P293" s="18">
        <v>920.22</v>
      </c>
      <c r="Q293" s="19">
        <v>902.78</v>
      </c>
      <c r="R293" s="19">
        <v>17.440000000000001</v>
      </c>
      <c r="S293" s="20">
        <v>1.9300000000000001E-2</v>
      </c>
      <c r="T293" s="18">
        <v>55155.7</v>
      </c>
      <c r="U293" s="19">
        <v>55028.03</v>
      </c>
      <c r="V293" s="19">
        <v>127.67</v>
      </c>
      <c r="W293" s="20">
        <v>2.3E-3</v>
      </c>
      <c r="X293" s="18">
        <v>35337.64</v>
      </c>
      <c r="Y293" s="19">
        <v>34873.129999999997</v>
      </c>
      <c r="Z293" s="19">
        <v>464.51</v>
      </c>
      <c r="AA293" s="20">
        <v>1.3299999999999999E-2</v>
      </c>
      <c r="AB293" s="18">
        <v>19818.060000000001</v>
      </c>
      <c r="AC293" s="19">
        <v>19123.5</v>
      </c>
      <c r="AD293" s="19">
        <v>694.57</v>
      </c>
      <c r="AE293" s="20">
        <v>3.6299999999999999E-2</v>
      </c>
      <c r="AF293" s="2"/>
      <c r="AM293" s="4"/>
    </row>
    <row r="294" spans="1:39" x14ac:dyDescent="0.35">
      <c r="A294" s="16" t="s">
        <v>93</v>
      </c>
      <c r="B294" s="17" t="s">
        <v>83</v>
      </c>
      <c r="C294" s="17" t="s">
        <v>76</v>
      </c>
      <c r="D294" s="18">
        <v>17868137.359999999</v>
      </c>
      <c r="E294" s="19">
        <v>17073208.760000002</v>
      </c>
      <c r="F294" s="19">
        <v>794928.6</v>
      </c>
      <c r="G294" s="20">
        <v>4.6600000000000003E-2</v>
      </c>
      <c r="H294" s="18">
        <v>187615.44</v>
      </c>
      <c r="I294" s="19">
        <v>177908.74</v>
      </c>
      <c r="J294" s="19">
        <v>9706.7000000000007</v>
      </c>
      <c r="K294" s="20">
        <v>5.4600000000000003E-2</v>
      </c>
      <c r="L294" s="18">
        <v>52532.32</v>
      </c>
      <c r="M294" s="19">
        <v>48978.44</v>
      </c>
      <c r="N294" s="19">
        <v>3553.88</v>
      </c>
      <c r="O294" s="20">
        <v>7.2599999999999998E-2</v>
      </c>
      <c r="P294" s="18">
        <v>1429.45</v>
      </c>
      <c r="Q294" s="19">
        <v>1320.43</v>
      </c>
      <c r="R294" s="19">
        <v>109.02</v>
      </c>
      <c r="S294" s="20">
        <v>8.2600000000000007E-2</v>
      </c>
      <c r="T294" s="18">
        <v>133653.67000000001</v>
      </c>
      <c r="U294" s="19">
        <v>125430.45</v>
      </c>
      <c r="V294" s="19">
        <v>8223.2199999999993</v>
      </c>
      <c r="W294" s="20">
        <v>6.5600000000000006E-2</v>
      </c>
      <c r="X294" s="18">
        <v>76849.850000000006</v>
      </c>
      <c r="Y294" s="19">
        <v>71384.639999999999</v>
      </c>
      <c r="Z294" s="19">
        <v>5465.21</v>
      </c>
      <c r="AA294" s="20">
        <v>7.6600000000000001E-2</v>
      </c>
      <c r="AB294" s="18">
        <v>56803.82</v>
      </c>
      <c r="AC294" s="19">
        <v>51660.5</v>
      </c>
      <c r="AD294" s="19">
        <v>5143.32</v>
      </c>
      <c r="AE294" s="20">
        <v>9.9599999999999994E-2</v>
      </c>
      <c r="AF294" s="2"/>
      <c r="AM294" s="4"/>
    </row>
    <row r="295" spans="1:39" x14ac:dyDescent="0.35">
      <c r="A295" s="16" t="s">
        <v>93</v>
      </c>
      <c r="B295" s="17" t="s">
        <v>83</v>
      </c>
      <c r="C295" s="17" t="s">
        <v>77</v>
      </c>
      <c r="D295" s="18">
        <v>27425087.07</v>
      </c>
      <c r="E295" s="19">
        <v>27628989.010000002</v>
      </c>
      <c r="F295" s="19">
        <v>-203901.94</v>
      </c>
      <c r="G295" s="20">
        <v>-7.4000000000000003E-3</v>
      </c>
      <c r="H295" s="18">
        <v>178263.07</v>
      </c>
      <c r="I295" s="19">
        <v>178152.62</v>
      </c>
      <c r="J295" s="19">
        <v>110.45</v>
      </c>
      <c r="K295" s="20">
        <v>5.9999999999999995E-4</v>
      </c>
      <c r="L295" s="18">
        <v>57044.18</v>
      </c>
      <c r="M295" s="19">
        <v>56001.43</v>
      </c>
      <c r="N295" s="19">
        <v>1042.75</v>
      </c>
      <c r="O295" s="20">
        <v>1.8599999999999998E-2</v>
      </c>
      <c r="P295" s="18">
        <v>2194.0100000000002</v>
      </c>
      <c r="Q295" s="19">
        <v>2132.96</v>
      </c>
      <c r="R295" s="19">
        <v>61.05</v>
      </c>
      <c r="S295" s="20">
        <v>2.86E-2</v>
      </c>
      <c r="T295" s="18">
        <v>119024.88</v>
      </c>
      <c r="U295" s="19">
        <v>117657.7</v>
      </c>
      <c r="V295" s="19">
        <v>1367.18</v>
      </c>
      <c r="W295" s="20">
        <v>1.1599999999999999E-2</v>
      </c>
      <c r="X295" s="18">
        <v>73018.990000000005</v>
      </c>
      <c r="Y295" s="19">
        <v>71403.83</v>
      </c>
      <c r="Z295" s="19">
        <v>1615.15</v>
      </c>
      <c r="AA295" s="20">
        <v>2.2599999999999999E-2</v>
      </c>
      <c r="AB295" s="18">
        <v>46005.89</v>
      </c>
      <c r="AC295" s="19">
        <v>43998.67</v>
      </c>
      <c r="AD295" s="19">
        <v>2007.22</v>
      </c>
      <c r="AE295" s="20">
        <v>4.5600000000000002E-2</v>
      </c>
      <c r="AF295" s="2"/>
      <c r="AM295" s="4"/>
    </row>
    <row r="296" spans="1:39" x14ac:dyDescent="0.35">
      <c r="A296" s="16" t="s">
        <v>93</v>
      </c>
      <c r="B296" s="17" t="s">
        <v>83</v>
      </c>
      <c r="C296" s="17" t="s">
        <v>78</v>
      </c>
      <c r="D296" s="18">
        <v>7320349.9400000004</v>
      </c>
      <c r="E296" s="19">
        <v>7044758.9699999997</v>
      </c>
      <c r="F296" s="19">
        <v>275590.96999999997</v>
      </c>
      <c r="G296" s="20">
        <v>3.9100000000000003E-2</v>
      </c>
      <c r="H296" s="18">
        <v>21961.05</v>
      </c>
      <c r="I296" s="19">
        <v>20972.81</v>
      </c>
      <c r="J296" s="19">
        <v>988.24</v>
      </c>
      <c r="K296" s="20">
        <v>4.7100000000000003E-2</v>
      </c>
      <c r="L296" s="18">
        <v>3952.99</v>
      </c>
      <c r="M296" s="19">
        <v>3711.31</v>
      </c>
      <c r="N296" s="19">
        <v>241.68</v>
      </c>
      <c r="O296" s="20">
        <v>6.5100000000000005E-2</v>
      </c>
      <c r="P296" s="18">
        <v>585.63</v>
      </c>
      <c r="Q296" s="19">
        <v>544.71</v>
      </c>
      <c r="R296" s="19">
        <v>40.92</v>
      </c>
      <c r="S296" s="20">
        <v>7.51E-2</v>
      </c>
      <c r="T296" s="18">
        <v>17422.43</v>
      </c>
      <c r="U296" s="19">
        <v>16465.46</v>
      </c>
      <c r="V296" s="19">
        <v>956.97</v>
      </c>
      <c r="W296" s="20">
        <v>5.8099999999999999E-2</v>
      </c>
      <c r="X296" s="18">
        <v>8995.5499999999993</v>
      </c>
      <c r="Y296" s="19">
        <v>8413.9699999999993</v>
      </c>
      <c r="Z296" s="19">
        <v>581.57000000000005</v>
      </c>
      <c r="AA296" s="20">
        <v>6.9099999999999995E-2</v>
      </c>
      <c r="AB296" s="18">
        <v>8426.8799999999992</v>
      </c>
      <c r="AC296" s="19">
        <v>7716.08</v>
      </c>
      <c r="AD296" s="19">
        <v>710.81</v>
      </c>
      <c r="AE296" s="20">
        <v>9.2100000000000001E-2</v>
      </c>
      <c r="AF296" s="2"/>
      <c r="AM296" s="4"/>
    </row>
    <row r="297" spans="1:39" x14ac:dyDescent="0.35">
      <c r="A297" s="16" t="s">
        <v>93</v>
      </c>
      <c r="B297" s="17" t="s">
        <v>83</v>
      </c>
      <c r="C297" s="17" t="s">
        <v>79</v>
      </c>
      <c r="D297" s="18">
        <v>11139996.93</v>
      </c>
      <c r="E297" s="19">
        <v>10519752.33</v>
      </c>
      <c r="F297" s="19">
        <v>620244.6</v>
      </c>
      <c r="G297" s="20">
        <v>5.8999999999999997E-2</v>
      </c>
      <c r="H297" s="18">
        <v>50129.99</v>
      </c>
      <c r="I297" s="19">
        <v>46983.95</v>
      </c>
      <c r="J297" s="19">
        <v>3146.04</v>
      </c>
      <c r="K297" s="20">
        <v>6.7000000000000004E-2</v>
      </c>
      <c r="L297" s="18">
        <v>11028.6</v>
      </c>
      <c r="M297" s="19">
        <v>10164.98</v>
      </c>
      <c r="N297" s="19">
        <v>863.62</v>
      </c>
      <c r="O297" s="20">
        <v>8.5000000000000006E-2</v>
      </c>
      <c r="P297" s="18">
        <v>891.2</v>
      </c>
      <c r="Q297" s="19">
        <v>813.91</v>
      </c>
      <c r="R297" s="19">
        <v>77.290000000000006</v>
      </c>
      <c r="S297" s="20">
        <v>9.5000000000000001E-2</v>
      </c>
      <c r="T297" s="18">
        <v>38210.19</v>
      </c>
      <c r="U297" s="19">
        <v>35446.76</v>
      </c>
      <c r="V297" s="19">
        <v>2763.43</v>
      </c>
      <c r="W297" s="20">
        <v>7.8E-2</v>
      </c>
      <c r="X297" s="18">
        <v>20533.93</v>
      </c>
      <c r="Y297" s="19">
        <v>18856.46</v>
      </c>
      <c r="Z297" s="19">
        <v>1677.47</v>
      </c>
      <c r="AA297" s="20">
        <v>8.8999999999999996E-2</v>
      </c>
      <c r="AB297" s="18">
        <v>17676.259999999998</v>
      </c>
      <c r="AC297" s="19">
        <v>15896.49</v>
      </c>
      <c r="AD297" s="19">
        <v>1779.77</v>
      </c>
      <c r="AE297" s="20">
        <v>0.112</v>
      </c>
      <c r="AF297" s="2"/>
      <c r="AM297" s="4"/>
    </row>
    <row r="298" spans="1:39" x14ac:dyDescent="0.35">
      <c r="A298" s="16" t="s">
        <v>93</v>
      </c>
      <c r="B298" s="17" t="s">
        <v>84</v>
      </c>
      <c r="C298" s="17" t="s">
        <v>75</v>
      </c>
      <c r="D298" s="18">
        <v>27553282.859999999</v>
      </c>
      <c r="E298" s="19">
        <v>28151214.66</v>
      </c>
      <c r="F298" s="19">
        <v>-597931.80000000005</v>
      </c>
      <c r="G298" s="20">
        <v>-2.12E-2</v>
      </c>
      <c r="H298" s="18">
        <v>206649.62</v>
      </c>
      <c r="I298" s="19">
        <v>209422.37</v>
      </c>
      <c r="J298" s="19">
        <v>-2772.75</v>
      </c>
      <c r="K298" s="20">
        <v>-1.32E-2</v>
      </c>
      <c r="L298" s="18">
        <v>72327.37</v>
      </c>
      <c r="M298" s="19">
        <v>71984.72</v>
      </c>
      <c r="N298" s="19">
        <v>342.65</v>
      </c>
      <c r="O298" s="20">
        <v>4.7999999999999996E-3</v>
      </c>
      <c r="P298" s="18">
        <v>1928.73</v>
      </c>
      <c r="Q298" s="19">
        <v>1900.68</v>
      </c>
      <c r="R298" s="19">
        <v>28.05</v>
      </c>
      <c r="S298" s="20">
        <v>1.4800000000000001E-2</v>
      </c>
      <c r="T298" s="18">
        <v>132393.51999999999</v>
      </c>
      <c r="U298" s="19">
        <v>132690.75</v>
      </c>
      <c r="V298" s="19">
        <v>-297.23</v>
      </c>
      <c r="W298" s="20">
        <v>-2.2000000000000001E-3</v>
      </c>
      <c r="X298" s="18">
        <v>84646.51</v>
      </c>
      <c r="Y298" s="19">
        <v>83911.44</v>
      </c>
      <c r="Z298" s="19">
        <v>735.06</v>
      </c>
      <c r="AA298" s="20">
        <v>8.8000000000000005E-3</v>
      </c>
      <c r="AB298" s="18">
        <v>47747.01</v>
      </c>
      <c r="AC298" s="19">
        <v>46277.25</v>
      </c>
      <c r="AD298" s="19">
        <v>1469.77</v>
      </c>
      <c r="AE298" s="20">
        <v>3.1800000000000002E-2</v>
      </c>
      <c r="AF298" s="2"/>
      <c r="AM298" s="4"/>
    </row>
    <row r="299" spans="1:39" x14ac:dyDescent="0.35">
      <c r="A299" s="16" t="s">
        <v>93</v>
      </c>
      <c r="B299" s="17" t="s">
        <v>84</v>
      </c>
      <c r="C299" s="17" t="s">
        <v>76</v>
      </c>
      <c r="D299" s="18">
        <v>42791963.399999999</v>
      </c>
      <c r="E299" s="19">
        <v>41067143.380000003</v>
      </c>
      <c r="F299" s="19">
        <v>1724820.02</v>
      </c>
      <c r="G299" s="20">
        <v>4.2000000000000003E-2</v>
      </c>
      <c r="H299" s="18">
        <v>449315.62</v>
      </c>
      <c r="I299" s="19">
        <v>427919.64</v>
      </c>
      <c r="J299" s="19">
        <v>21395.98</v>
      </c>
      <c r="K299" s="20">
        <v>0.05</v>
      </c>
      <c r="L299" s="18">
        <v>125808.37</v>
      </c>
      <c r="M299" s="19">
        <v>117798.1</v>
      </c>
      <c r="N299" s="19">
        <v>8010.27</v>
      </c>
      <c r="O299" s="20">
        <v>6.8000000000000005E-2</v>
      </c>
      <c r="P299" s="18">
        <v>2995.44</v>
      </c>
      <c r="Q299" s="19">
        <v>2778.7</v>
      </c>
      <c r="R299" s="19">
        <v>216.74</v>
      </c>
      <c r="S299" s="20">
        <v>7.8E-2</v>
      </c>
      <c r="T299" s="18">
        <v>320511.81</v>
      </c>
      <c r="U299" s="19">
        <v>302084.65000000002</v>
      </c>
      <c r="V299" s="19">
        <v>18427.16</v>
      </c>
      <c r="W299" s="20">
        <v>6.0999999999999999E-2</v>
      </c>
      <c r="X299" s="18">
        <v>184045.81</v>
      </c>
      <c r="Y299" s="19">
        <v>171684.53</v>
      </c>
      <c r="Z299" s="19">
        <v>12361.29</v>
      </c>
      <c r="AA299" s="20">
        <v>7.1999999999999995E-2</v>
      </c>
      <c r="AB299" s="18">
        <v>136466</v>
      </c>
      <c r="AC299" s="19">
        <v>124626.48</v>
      </c>
      <c r="AD299" s="19">
        <v>11839.52</v>
      </c>
      <c r="AE299" s="20">
        <v>9.5000000000000001E-2</v>
      </c>
      <c r="AF299" s="2"/>
      <c r="AM299" s="4"/>
    </row>
    <row r="300" spans="1:39" x14ac:dyDescent="0.35">
      <c r="A300" s="16" t="s">
        <v>93</v>
      </c>
      <c r="B300" s="17" t="s">
        <v>84</v>
      </c>
      <c r="C300" s="17" t="s">
        <v>77</v>
      </c>
      <c r="D300" s="18">
        <v>65693073.140000001</v>
      </c>
      <c r="E300" s="19">
        <v>66486927.049999997</v>
      </c>
      <c r="F300" s="19">
        <v>-793853.91</v>
      </c>
      <c r="G300" s="20">
        <v>-1.1900000000000001E-2</v>
      </c>
      <c r="H300" s="18">
        <v>427004.98</v>
      </c>
      <c r="I300" s="19">
        <v>428694.03</v>
      </c>
      <c r="J300" s="19">
        <v>-1689.05</v>
      </c>
      <c r="K300" s="20">
        <v>-3.8999999999999998E-3</v>
      </c>
      <c r="L300" s="18">
        <v>136641.59</v>
      </c>
      <c r="M300" s="19">
        <v>134747.04999999999</v>
      </c>
      <c r="N300" s="19">
        <v>1894.54</v>
      </c>
      <c r="O300" s="20">
        <v>1.41E-2</v>
      </c>
      <c r="P300" s="18">
        <v>4598.5200000000004</v>
      </c>
      <c r="Q300" s="19">
        <v>4490.4799999999996</v>
      </c>
      <c r="R300" s="19">
        <v>108.04</v>
      </c>
      <c r="S300" s="20">
        <v>2.41E-2</v>
      </c>
      <c r="T300" s="18">
        <v>285764.87</v>
      </c>
      <c r="U300" s="19">
        <v>283761.51</v>
      </c>
      <c r="V300" s="19">
        <v>2003.36</v>
      </c>
      <c r="W300" s="20">
        <v>7.1000000000000004E-3</v>
      </c>
      <c r="X300" s="18">
        <v>174907.07</v>
      </c>
      <c r="Y300" s="19">
        <v>171804.28</v>
      </c>
      <c r="Z300" s="19">
        <v>3102.79</v>
      </c>
      <c r="AA300" s="20">
        <v>1.8100000000000002E-2</v>
      </c>
      <c r="AB300" s="18">
        <v>110857.8</v>
      </c>
      <c r="AC300" s="19">
        <v>106485.51</v>
      </c>
      <c r="AD300" s="19">
        <v>4372.29</v>
      </c>
      <c r="AE300" s="20">
        <v>4.1099999999999998E-2</v>
      </c>
      <c r="AF300" s="2"/>
      <c r="AM300" s="4"/>
    </row>
    <row r="301" spans="1:39" x14ac:dyDescent="0.35">
      <c r="A301" s="16" t="s">
        <v>93</v>
      </c>
      <c r="B301" s="17" t="s">
        <v>84</v>
      </c>
      <c r="C301" s="17" t="s">
        <v>78</v>
      </c>
      <c r="D301" s="18">
        <v>17531326.32</v>
      </c>
      <c r="E301" s="19">
        <v>16945683.5</v>
      </c>
      <c r="F301" s="19">
        <v>585642.81999999995</v>
      </c>
      <c r="G301" s="20">
        <v>3.4599999999999999E-2</v>
      </c>
      <c r="H301" s="18">
        <v>52593.98</v>
      </c>
      <c r="I301" s="19">
        <v>50446.96</v>
      </c>
      <c r="J301" s="19">
        <v>2147.02</v>
      </c>
      <c r="K301" s="20">
        <v>4.2599999999999999E-2</v>
      </c>
      <c r="L301" s="18">
        <v>9466.92</v>
      </c>
      <c r="M301" s="19">
        <v>8926.34</v>
      </c>
      <c r="N301" s="19">
        <v>540.58000000000004</v>
      </c>
      <c r="O301" s="20">
        <v>6.0600000000000001E-2</v>
      </c>
      <c r="P301" s="18">
        <v>1227.19</v>
      </c>
      <c r="Q301" s="19">
        <v>1146.31</v>
      </c>
      <c r="R301" s="19">
        <v>80.88</v>
      </c>
      <c r="S301" s="20">
        <v>7.0599999999999996E-2</v>
      </c>
      <c r="T301" s="18">
        <v>41899.870000000003</v>
      </c>
      <c r="U301" s="19">
        <v>39769.800000000003</v>
      </c>
      <c r="V301" s="19">
        <v>2130.0700000000002</v>
      </c>
      <c r="W301" s="20">
        <v>5.3600000000000002E-2</v>
      </c>
      <c r="X301" s="18">
        <v>21543.21</v>
      </c>
      <c r="Y301" s="19">
        <v>20236.73</v>
      </c>
      <c r="Z301" s="19">
        <v>1306.48</v>
      </c>
      <c r="AA301" s="20">
        <v>6.4600000000000005E-2</v>
      </c>
      <c r="AB301" s="18">
        <v>20356.66</v>
      </c>
      <c r="AC301" s="19">
        <v>18717.73</v>
      </c>
      <c r="AD301" s="19">
        <v>1638.92</v>
      </c>
      <c r="AE301" s="20">
        <v>8.7599999999999997E-2</v>
      </c>
      <c r="AF301" s="2"/>
      <c r="AM301" s="4"/>
    </row>
    <row r="302" spans="1:39" x14ac:dyDescent="0.35">
      <c r="A302" s="16" t="s">
        <v>93</v>
      </c>
      <c r="B302" s="17" t="s">
        <v>84</v>
      </c>
      <c r="C302" s="17" t="s">
        <v>79</v>
      </c>
      <c r="D302" s="18">
        <v>26678905.100000001</v>
      </c>
      <c r="E302" s="19">
        <v>25302451.73</v>
      </c>
      <c r="F302" s="19">
        <v>1376453.37</v>
      </c>
      <c r="G302" s="20">
        <v>5.4399999999999997E-2</v>
      </c>
      <c r="H302" s="18">
        <v>120055.07</v>
      </c>
      <c r="I302" s="19">
        <v>113003.64</v>
      </c>
      <c r="J302" s="19">
        <v>7051.43</v>
      </c>
      <c r="K302" s="20">
        <v>6.2399999999999997E-2</v>
      </c>
      <c r="L302" s="18">
        <v>26412.12</v>
      </c>
      <c r="M302" s="19">
        <v>24446.61</v>
      </c>
      <c r="N302" s="19">
        <v>1965.51</v>
      </c>
      <c r="O302" s="20">
        <v>8.0399999999999999E-2</v>
      </c>
      <c r="P302" s="18">
        <v>1867.52</v>
      </c>
      <c r="Q302" s="19">
        <v>1712.69</v>
      </c>
      <c r="R302" s="19">
        <v>154.83000000000001</v>
      </c>
      <c r="S302" s="20">
        <v>9.0399999999999994E-2</v>
      </c>
      <c r="T302" s="18">
        <v>91775.43</v>
      </c>
      <c r="U302" s="19">
        <v>85499.75</v>
      </c>
      <c r="V302" s="19">
        <v>6275.68</v>
      </c>
      <c r="W302" s="20">
        <v>7.3400000000000007E-2</v>
      </c>
      <c r="X302" s="18">
        <v>49176.2</v>
      </c>
      <c r="Y302" s="19">
        <v>45348.76</v>
      </c>
      <c r="Z302" s="19">
        <v>3827.44</v>
      </c>
      <c r="AA302" s="20">
        <v>8.4400000000000003E-2</v>
      </c>
      <c r="AB302" s="18">
        <v>42599.23</v>
      </c>
      <c r="AC302" s="19">
        <v>38467.79</v>
      </c>
      <c r="AD302" s="19">
        <v>4131.4399999999996</v>
      </c>
      <c r="AE302" s="20">
        <v>0.1074</v>
      </c>
      <c r="AF302" s="2"/>
      <c r="AM302" s="4"/>
    </row>
    <row r="303" spans="1:39" x14ac:dyDescent="0.35">
      <c r="A303" s="11" t="s">
        <v>94</v>
      </c>
      <c r="B303" s="12" t="s">
        <v>74</v>
      </c>
      <c r="C303" s="12" t="s">
        <v>75</v>
      </c>
      <c r="D303" s="13">
        <v>19320462.440000001</v>
      </c>
      <c r="E303" s="14">
        <v>18303518.93</v>
      </c>
      <c r="F303" s="14">
        <v>1016943.51</v>
      </c>
      <c r="G303" s="15">
        <v>5.5599999999999997E-2</v>
      </c>
      <c r="H303" s="13">
        <v>144903.47</v>
      </c>
      <c r="I303" s="14">
        <v>136243.81</v>
      </c>
      <c r="J303" s="14">
        <v>8659.66</v>
      </c>
      <c r="K303" s="15">
        <v>6.3600000000000004E-2</v>
      </c>
      <c r="L303" s="13">
        <v>50716.21</v>
      </c>
      <c r="M303" s="14">
        <v>46891.72</v>
      </c>
      <c r="N303" s="14">
        <v>3824.49</v>
      </c>
      <c r="O303" s="15">
        <v>8.1600000000000006E-2</v>
      </c>
      <c r="P303" s="13">
        <v>3477.68</v>
      </c>
      <c r="Q303" s="14">
        <v>3185.97</v>
      </c>
      <c r="R303" s="14">
        <v>291.70999999999998</v>
      </c>
      <c r="S303" s="15">
        <v>9.1600000000000001E-2</v>
      </c>
      <c r="T303" s="13">
        <v>90709.57</v>
      </c>
      <c r="U303" s="14">
        <v>84415.55</v>
      </c>
      <c r="V303" s="14">
        <v>6294.02</v>
      </c>
      <c r="W303" s="15">
        <v>7.46E-2</v>
      </c>
      <c r="X303" s="13">
        <v>60368.98</v>
      </c>
      <c r="Y303" s="14">
        <v>55610.91</v>
      </c>
      <c r="Z303" s="14">
        <v>4758.07</v>
      </c>
      <c r="AA303" s="15">
        <v>8.5599999999999996E-2</v>
      </c>
      <c r="AB303" s="13">
        <v>30340.59</v>
      </c>
      <c r="AC303" s="14">
        <v>27369.37</v>
      </c>
      <c r="AD303" s="14">
        <v>2971.22</v>
      </c>
      <c r="AE303" s="15">
        <v>0.1086</v>
      </c>
      <c r="AF303" s="2"/>
      <c r="AM303" s="4"/>
    </row>
    <row r="304" spans="1:39" x14ac:dyDescent="0.35">
      <c r="A304" s="11" t="s">
        <v>94</v>
      </c>
      <c r="B304" s="12" t="s">
        <v>74</v>
      </c>
      <c r="C304" s="12" t="s">
        <v>76</v>
      </c>
      <c r="D304" s="13">
        <v>29577049.48</v>
      </c>
      <c r="E304" s="14">
        <v>27081738.129999999</v>
      </c>
      <c r="F304" s="14">
        <v>2495311.35</v>
      </c>
      <c r="G304" s="15">
        <v>9.2100000000000001E-2</v>
      </c>
      <c r="H304" s="13">
        <v>310559.02</v>
      </c>
      <c r="I304" s="14">
        <v>282290.45</v>
      </c>
      <c r="J304" s="14">
        <v>28268.57</v>
      </c>
      <c r="K304" s="15">
        <v>0.10009999999999999</v>
      </c>
      <c r="L304" s="13">
        <v>86956.53</v>
      </c>
      <c r="M304" s="14">
        <v>77768.91</v>
      </c>
      <c r="N304" s="14">
        <v>9187.6200000000008</v>
      </c>
      <c r="O304" s="15">
        <v>0.1181</v>
      </c>
      <c r="P304" s="13">
        <v>5323.87</v>
      </c>
      <c r="Q304" s="14">
        <v>4719.16</v>
      </c>
      <c r="R304" s="14">
        <v>604.71</v>
      </c>
      <c r="S304" s="15">
        <v>0.12809999999999999</v>
      </c>
      <c r="T304" s="13">
        <v>218278.63</v>
      </c>
      <c r="U304" s="14">
        <v>196445.66</v>
      </c>
      <c r="V304" s="14">
        <v>21832.97</v>
      </c>
      <c r="W304" s="15">
        <v>0.1111</v>
      </c>
      <c r="X304" s="13">
        <v>129383.6</v>
      </c>
      <c r="Y304" s="14">
        <v>115300.76</v>
      </c>
      <c r="Z304" s="14">
        <v>14082.84</v>
      </c>
      <c r="AA304" s="15">
        <v>0.1221</v>
      </c>
      <c r="AB304" s="13">
        <v>88895.03</v>
      </c>
      <c r="AC304" s="14">
        <v>77628.09</v>
      </c>
      <c r="AD304" s="14">
        <v>11266.94</v>
      </c>
      <c r="AE304" s="15">
        <v>0.14510000000000001</v>
      </c>
      <c r="AF304" s="2"/>
      <c r="AM304" s="4"/>
    </row>
    <row r="305" spans="1:39" x14ac:dyDescent="0.35">
      <c r="A305" s="11" t="s">
        <v>94</v>
      </c>
      <c r="B305" s="12" t="s">
        <v>74</v>
      </c>
      <c r="C305" s="12" t="s">
        <v>77</v>
      </c>
      <c r="D305" s="13">
        <v>46921613.289999999</v>
      </c>
      <c r="E305" s="14">
        <v>44063645.259999998</v>
      </c>
      <c r="F305" s="14">
        <v>2857968.03</v>
      </c>
      <c r="G305" s="15">
        <v>6.4899999999999999E-2</v>
      </c>
      <c r="H305" s="13">
        <v>304990.49</v>
      </c>
      <c r="I305" s="14">
        <v>284278</v>
      </c>
      <c r="J305" s="14">
        <v>20712.490000000002</v>
      </c>
      <c r="K305" s="15">
        <v>7.2900000000000006E-2</v>
      </c>
      <c r="L305" s="13">
        <v>97596.96</v>
      </c>
      <c r="M305" s="14">
        <v>89467.91</v>
      </c>
      <c r="N305" s="14">
        <v>8129.05</v>
      </c>
      <c r="O305" s="15">
        <v>9.0899999999999995E-2</v>
      </c>
      <c r="P305" s="13">
        <v>8445.89</v>
      </c>
      <c r="Q305" s="14">
        <v>7672.08</v>
      </c>
      <c r="R305" s="14">
        <v>773.81</v>
      </c>
      <c r="S305" s="15">
        <v>0.1009</v>
      </c>
      <c r="T305" s="13">
        <v>198947.64</v>
      </c>
      <c r="U305" s="14">
        <v>183554.74</v>
      </c>
      <c r="V305" s="14">
        <v>15392.9</v>
      </c>
      <c r="W305" s="15">
        <v>8.3900000000000002E-2</v>
      </c>
      <c r="X305" s="13">
        <v>127063.66</v>
      </c>
      <c r="Y305" s="14">
        <v>116054.71</v>
      </c>
      <c r="Z305" s="14">
        <v>11008.95</v>
      </c>
      <c r="AA305" s="15">
        <v>9.4899999999999998E-2</v>
      </c>
      <c r="AB305" s="13">
        <v>71883.98</v>
      </c>
      <c r="AC305" s="14">
        <v>64304.99</v>
      </c>
      <c r="AD305" s="14">
        <v>7578.99</v>
      </c>
      <c r="AE305" s="15">
        <v>0.1179</v>
      </c>
      <c r="AF305" s="2"/>
      <c r="AM305" s="4"/>
    </row>
    <row r="306" spans="1:39" x14ac:dyDescent="0.35">
      <c r="A306" s="11" t="s">
        <v>94</v>
      </c>
      <c r="B306" s="12" t="s">
        <v>74</v>
      </c>
      <c r="C306" s="12" t="s">
        <v>78</v>
      </c>
      <c r="D306" s="13">
        <v>12308888.470000001</v>
      </c>
      <c r="E306" s="14">
        <v>11445869.880000001</v>
      </c>
      <c r="F306" s="14">
        <v>863018.59</v>
      </c>
      <c r="G306" s="15">
        <v>7.5399999999999995E-2</v>
      </c>
      <c r="H306" s="13">
        <v>36926.67</v>
      </c>
      <c r="I306" s="14">
        <v>34084.06</v>
      </c>
      <c r="J306" s="14">
        <v>2842.61</v>
      </c>
      <c r="K306" s="15">
        <v>8.3400000000000002E-2</v>
      </c>
      <c r="L306" s="13">
        <v>6646.8</v>
      </c>
      <c r="M306" s="14">
        <v>6034.86</v>
      </c>
      <c r="N306" s="14">
        <v>611.94000000000005</v>
      </c>
      <c r="O306" s="15">
        <v>0.1014</v>
      </c>
      <c r="P306" s="13">
        <v>2215.6</v>
      </c>
      <c r="Q306" s="14">
        <v>1993.52</v>
      </c>
      <c r="R306" s="14">
        <v>222.08</v>
      </c>
      <c r="S306" s="15">
        <v>0.1114</v>
      </c>
      <c r="T306" s="13">
        <v>28064.27</v>
      </c>
      <c r="U306" s="14">
        <v>25643.52</v>
      </c>
      <c r="V306" s="14">
        <v>2420.75</v>
      </c>
      <c r="W306" s="15">
        <v>9.4399999999999998E-2</v>
      </c>
      <c r="X306" s="13">
        <v>15384.21</v>
      </c>
      <c r="Y306" s="14">
        <v>13917.32</v>
      </c>
      <c r="Z306" s="14">
        <v>1466.89</v>
      </c>
      <c r="AA306" s="15">
        <v>0.10539999999999999</v>
      </c>
      <c r="AB306" s="13">
        <v>12680.06</v>
      </c>
      <c r="AC306" s="14">
        <v>11237.2</v>
      </c>
      <c r="AD306" s="14">
        <v>1442.86</v>
      </c>
      <c r="AE306" s="15">
        <v>0.12839999999999999</v>
      </c>
      <c r="AF306" s="2"/>
      <c r="AM306" s="4"/>
    </row>
    <row r="307" spans="1:39" x14ac:dyDescent="0.35">
      <c r="A307" s="11" t="s">
        <v>94</v>
      </c>
      <c r="B307" s="12" t="s">
        <v>74</v>
      </c>
      <c r="C307" s="12" t="s">
        <v>79</v>
      </c>
      <c r="D307" s="13">
        <v>19090682.280000001</v>
      </c>
      <c r="E307" s="14">
        <v>19036238.640000001</v>
      </c>
      <c r="F307" s="14">
        <v>54443.64</v>
      </c>
      <c r="G307" s="15">
        <v>2.8999999999999998E-3</v>
      </c>
      <c r="H307" s="13">
        <v>85908.07</v>
      </c>
      <c r="I307" s="14">
        <v>84985.13</v>
      </c>
      <c r="J307" s="14">
        <v>922.94</v>
      </c>
      <c r="K307" s="15">
        <v>1.09E-2</v>
      </c>
      <c r="L307" s="13">
        <v>18899.78</v>
      </c>
      <c r="M307" s="14">
        <v>18369.63</v>
      </c>
      <c r="N307" s="14">
        <v>530.15</v>
      </c>
      <c r="O307" s="15">
        <v>2.8899999999999999E-2</v>
      </c>
      <c r="P307" s="13">
        <v>3436.32</v>
      </c>
      <c r="Q307" s="14">
        <v>3307.78</v>
      </c>
      <c r="R307" s="14">
        <v>128.54</v>
      </c>
      <c r="S307" s="15">
        <v>3.8899999999999997E-2</v>
      </c>
      <c r="T307" s="13">
        <v>63571.97</v>
      </c>
      <c r="U307" s="14">
        <v>62212.02</v>
      </c>
      <c r="V307" s="14">
        <v>1359.95</v>
      </c>
      <c r="W307" s="15">
        <v>2.1899999999999999E-2</v>
      </c>
      <c r="X307" s="13">
        <v>35790.61</v>
      </c>
      <c r="Y307" s="14">
        <v>34651.94</v>
      </c>
      <c r="Z307" s="14">
        <v>1138.6600000000001</v>
      </c>
      <c r="AA307" s="15">
        <v>3.2899999999999999E-2</v>
      </c>
      <c r="AB307" s="13">
        <v>27781.360000000001</v>
      </c>
      <c r="AC307" s="14">
        <v>26311.599999999999</v>
      </c>
      <c r="AD307" s="14">
        <v>1469.77</v>
      </c>
      <c r="AE307" s="15">
        <v>5.5899999999999998E-2</v>
      </c>
      <c r="AF307" s="2"/>
      <c r="AM307" s="4"/>
    </row>
    <row r="308" spans="1:39" x14ac:dyDescent="0.35">
      <c r="A308" s="11" t="s">
        <v>94</v>
      </c>
      <c r="B308" s="12" t="s">
        <v>80</v>
      </c>
      <c r="C308" s="12" t="s">
        <v>75</v>
      </c>
      <c r="D308" s="13">
        <v>8677006.0500000007</v>
      </c>
      <c r="E308" s="14">
        <v>8291928.8700000001</v>
      </c>
      <c r="F308" s="14">
        <v>385077.18</v>
      </c>
      <c r="G308" s="15">
        <v>4.6399999999999997E-2</v>
      </c>
      <c r="H308" s="13">
        <v>65077.55</v>
      </c>
      <c r="I308" s="14">
        <v>61717.64</v>
      </c>
      <c r="J308" s="14">
        <v>3359.91</v>
      </c>
      <c r="K308" s="15">
        <v>5.4399999999999997E-2</v>
      </c>
      <c r="L308" s="13">
        <v>22777.14</v>
      </c>
      <c r="M308" s="14">
        <v>21238.61</v>
      </c>
      <c r="N308" s="14">
        <v>1538.53</v>
      </c>
      <c r="O308" s="15">
        <v>7.2400000000000006E-2</v>
      </c>
      <c r="P308" s="13">
        <v>780.93</v>
      </c>
      <c r="Q308" s="14">
        <v>721.45</v>
      </c>
      <c r="R308" s="14">
        <v>59.48</v>
      </c>
      <c r="S308" s="15">
        <v>8.2400000000000001E-2</v>
      </c>
      <c r="T308" s="13">
        <v>41519.47</v>
      </c>
      <c r="U308" s="14">
        <v>38969.32</v>
      </c>
      <c r="V308" s="14">
        <v>2550.15</v>
      </c>
      <c r="W308" s="15">
        <v>6.54E-2</v>
      </c>
      <c r="X308" s="13">
        <v>27112.29</v>
      </c>
      <c r="Y308" s="14">
        <v>25187</v>
      </c>
      <c r="Z308" s="14">
        <v>1925.29</v>
      </c>
      <c r="AA308" s="15">
        <v>7.6399999999999996E-2</v>
      </c>
      <c r="AB308" s="13">
        <v>14407.18</v>
      </c>
      <c r="AC308" s="14">
        <v>13104.1</v>
      </c>
      <c r="AD308" s="14">
        <v>1303.07</v>
      </c>
      <c r="AE308" s="15">
        <v>9.9400000000000002E-2</v>
      </c>
      <c r="AF308" s="2"/>
      <c r="AM308" s="4"/>
    </row>
    <row r="309" spans="1:39" x14ac:dyDescent="0.35">
      <c r="A309" s="11" t="s">
        <v>94</v>
      </c>
      <c r="B309" s="12" t="s">
        <v>80</v>
      </c>
      <c r="C309" s="12" t="s">
        <v>76</v>
      </c>
      <c r="D309" s="13">
        <v>13271351.279999999</v>
      </c>
      <c r="E309" s="14">
        <v>12254022.34</v>
      </c>
      <c r="F309" s="14">
        <v>1017328.94</v>
      </c>
      <c r="G309" s="15">
        <v>8.3000000000000004E-2</v>
      </c>
      <c r="H309" s="13">
        <v>139349.19</v>
      </c>
      <c r="I309" s="14">
        <v>127723.77</v>
      </c>
      <c r="J309" s="14">
        <v>11625.42</v>
      </c>
      <c r="K309" s="15">
        <v>9.0999999999999998E-2</v>
      </c>
      <c r="L309" s="13">
        <v>39017.769999999997</v>
      </c>
      <c r="M309" s="14">
        <v>35182.21</v>
      </c>
      <c r="N309" s="14">
        <v>3835.56</v>
      </c>
      <c r="O309" s="15">
        <v>0.109</v>
      </c>
      <c r="P309" s="13">
        <v>1194.42</v>
      </c>
      <c r="Q309" s="14">
        <v>1067.3800000000001</v>
      </c>
      <c r="R309" s="14">
        <v>127.04</v>
      </c>
      <c r="S309" s="15">
        <v>0.11899999999999999</v>
      </c>
      <c r="T309" s="13">
        <v>99136.99</v>
      </c>
      <c r="U309" s="14">
        <v>89959.34</v>
      </c>
      <c r="V309" s="14">
        <v>9177.65</v>
      </c>
      <c r="W309" s="15">
        <v>0.10199999999999999</v>
      </c>
      <c r="X309" s="13">
        <v>58054.99</v>
      </c>
      <c r="Y309" s="14">
        <v>52159.88</v>
      </c>
      <c r="Z309" s="14">
        <v>5895.11</v>
      </c>
      <c r="AA309" s="15">
        <v>0.113</v>
      </c>
      <c r="AB309" s="13">
        <v>41082</v>
      </c>
      <c r="AC309" s="14">
        <v>36163.1</v>
      </c>
      <c r="AD309" s="14">
        <v>4918.8999999999996</v>
      </c>
      <c r="AE309" s="15">
        <v>0.13600000000000001</v>
      </c>
      <c r="AF309" s="2"/>
      <c r="AM309" s="4"/>
    </row>
    <row r="310" spans="1:39" x14ac:dyDescent="0.35">
      <c r="A310" s="11" t="s">
        <v>94</v>
      </c>
      <c r="B310" s="12" t="s">
        <v>80</v>
      </c>
      <c r="C310" s="12" t="s">
        <v>77</v>
      </c>
      <c r="D310" s="13">
        <v>21072949.149999999</v>
      </c>
      <c r="E310" s="14">
        <v>19960358.75</v>
      </c>
      <c r="F310" s="14">
        <v>1112590.3999999999</v>
      </c>
      <c r="G310" s="15">
        <v>5.57E-2</v>
      </c>
      <c r="H310" s="13">
        <v>136974.17000000001</v>
      </c>
      <c r="I310" s="14">
        <v>128766.59</v>
      </c>
      <c r="J310" s="14">
        <v>8207.58</v>
      </c>
      <c r="K310" s="15">
        <v>6.3700000000000007E-2</v>
      </c>
      <c r="L310" s="13">
        <v>43831.73</v>
      </c>
      <c r="M310" s="14">
        <v>40519.65</v>
      </c>
      <c r="N310" s="14">
        <v>3312.08</v>
      </c>
      <c r="O310" s="15">
        <v>8.1699999999999995E-2</v>
      </c>
      <c r="P310" s="13">
        <v>1896.57</v>
      </c>
      <c r="Q310" s="14">
        <v>1737.2</v>
      </c>
      <c r="R310" s="14">
        <v>159.37</v>
      </c>
      <c r="S310" s="15">
        <v>9.1700000000000004E-2</v>
      </c>
      <c r="T310" s="13">
        <v>91245.87</v>
      </c>
      <c r="U310" s="14">
        <v>84900.41</v>
      </c>
      <c r="V310" s="14">
        <v>6345.46</v>
      </c>
      <c r="W310" s="15">
        <v>7.4700000000000003E-2</v>
      </c>
      <c r="X310" s="13">
        <v>57065.52</v>
      </c>
      <c r="Y310" s="14">
        <v>52559.1</v>
      </c>
      <c r="Z310" s="14">
        <v>4506.42</v>
      </c>
      <c r="AA310" s="15">
        <v>8.5699999999999998E-2</v>
      </c>
      <c r="AB310" s="13">
        <v>34180.35</v>
      </c>
      <c r="AC310" s="14">
        <v>30828.1</v>
      </c>
      <c r="AD310" s="14">
        <v>3352.25</v>
      </c>
      <c r="AE310" s="15">
        <v>0.1087</v>
      </c>
      <c r="AF310" s="2"/>
      <c r="AM310" s="4"/>
    </row>
    <row r="311" spans="1:39" x14ac:dyDescent="0.35">
      <c r="A311" s="11" t="s">
        <v>94</v>
      </c>
      <c r="B311" s="12" t="s">
        <v>80</v>
      </c>
      <c r="C311" s="12" t="s">
        <v>78</v>
      </c>
      <c r="D311" s="13">
        <v>5523052.0199999996</v>
      </c>
      <c r="E311" s="14">
        <v>5179738.92</v>
      </c>
      <c r="F311" s="14">
        <v>343313.1</v>
      </c>
      <c r="G311" s="15">
        <v>6.6299999999999998E-2</v>
      </c>
      <c r="H311" s="13">
        <v>16569.16</v>
      </c>
      <c r="I311" s="14">
        <v>15423.5</v>
      </c>
      <c r="J311" s="14">
        <v>1145.6600000000001</v>
      </c>
      <c r="K311" s="15">
        <v>7.4300000000000005E-2</v>
      </c>
      <c r="L311" s="13">
        <v>2982.45</v>
      </c>
      <c r="M311" s="14">
        <v>2730.48</v>
      </c>
      <c r="N311" s="14">
        <v>251.97</v>
      </c>
      <c r="O311" s="15">
        <v>9.2299999999999993E-2</v>
      </c>
      <c r="P311" s="13">
        <v>497.07</v>
      </c>
      <c r="Q311" s="14">
        <v>450.95</v>
      </c>
      <c r="R311" s="14">
        <v>46.12</v>
      </c>
      <c r="S311" s="15">
        <v>0.1023</v>
      </c>
      <c r="T311" s="13">
        <v>13089.63</v>
      </c>
      <c r="U311" s="14">
        <v>12061.06</v>
      </c>
      <c r="V311" s="14">
        <v>1028.57</v>
      </c>
      <c r="W311" s="15">
        <v>8.5300000000000001E-2</v>
      </c>
      <c r="X311" s="13">
        <v>6902.96</v>
      </c>
      <c r="Y311" s="14">
        <v>6296.72</v>
      </c>
      <c r="Z311" s="14">
        <v>606.25</v>
      </c>
      <c r="AA311" s="15">
        <v>9.6299999999999997E-2</v>
      </c>
      <c r="AB311" s="13">
        <v>6186.67</v>
      </c>
      <c r="AC311" s="14">
        <v>5527.36</v>
      </c>
      <c r="AD311" s="14">
        <v>659.3</v>
      </c>
      <c r="AE311" s="15">
        <v>0.1193</v>
      </c>
      <c r="AF311" s="2"/>
      <c r="AM311" s="4"/>
    </row>
    <row r="312" spans="1:39" x14ac:dyDescent="0.35">
      <c r="A312" s="11" t="s">
        <v>94</v>
      </c>
      <c r="B312" s="12" t="s">
        <v>80</v>
      </c>
      <c r="C312" s="12" t="s">
        <v>79</v>
      </c>
      <c r="D312" s="13">
        <v>8566072.5199999996</v>
      </c>
      <c r="E312" s="14">
        <v>8620033.9299999997</v>
      </c>
      <c r="F312" s="14">
        <v>-53961.41</v>
      </c>
      <c r="G312" s="15">
        <v>-6.3E-3</v>
      </c>
      <c r="H312" s="13">
        <v>38547.33</v>
      </c>
      <c r="I312" s="14">
        <v>38480.370000000003</v>
      </c>
      <c r="J312" s="14">
        <v>66.959999999999994</v>
      </c>
      <c r="K312" s="15">
        <v>1.6999999999999999E-3</v>
      </c>
      <c r="L312" s="13">
        <v>8480.41</v>
      </c>
      <c r="M312" s="14">
        <v>8316.25</v>
      </c>
      <c r="N312" s="14">
        <v>164.16</v>
      </c>
      <c r="O312" s="15">
        <v>1.9699999999999999E-2</v>
      </c>
      <c r="P312" s="13">
        <v>770.95</v>
      </c>
      <c r="Q312" s="14">
        <v>748.68</v>
      </c>
      <c r="R312" s="14">
        <v>22.27</v>
      </c>
      <c r="S312" s="15">
        <v>2.9700000000000001E-2</v>
      </c>
      <c r="T312" s="13">
        <v>29295.97</v>
      </c>
      <c r="U312" s="14">
        <v>28927.43</v>
      </c>
      <c r="V312" s="14">
        <v>368.54</v>
      </c>
      <c r="W312" s="15">
        <v>1.2699999999999999E-2</v>
      </c>
      <c r="X312" s="13">
        <v>16059.4</v>
      </c>
      <c r="Y312" s="14">
        <v>15686.99</v>
      </c>
      <c r="Z312" s="14">
        <v>372.41</v>
      </c>
      <c r="AA312" s="15">
        <v>2.3699999999999999E-2</v>
      </c>
      <c r="AB312" s="13">
        <v>13236.57</v>
      </c>
      <c r="AC312" s="14">
        <v>12645.52</v>
      </c>
      <c r="AD312" s="14">
        <v>591.04999999999995</v>
      </c>
      <c r="AE312" s="15">
        <v>4.6699999999999998E-2</v>
      </c>
      <c r="AF312" s="2"/>
      <c r="AM312" s="4"/>
    </row>
    <row r="313" spans="1:39" x14ac:dyDescent="0.35">
      <c r="A313" s="11" t="s">
        <v>94</v>
      </c>
      <c r="B313" s="12" t="s">
        <v>81</v>
      </c>
      <c r="C313" s="12" t="s">
        <v>75</v>
      </c>
      <c r="D313" s="13">
        <v>13637053.859999999</v>
      </c>
      <c r="E313" s="14">
        <v>12863688.880000001</v>
      </c>
      <c r="F313" s="14">
        <v>773364.98</v>
      </c>
      <c r="G313" s="15">
        <v>6.0100000000000001E-2</v>
      </c>
      <c r="H313" s="13">
        <v>102277.9</v>
      </c>
      <c r="I313" s="14">
        <v>95755.06</v>
      </c>
      <c r="J313" s="14">
        <v>6522.84</v>
      </c>
      <c r="K313" s="15">
        <v>6.8099999999999994E-2</v>
      </c>
      <c r="L313" s="13">
        <v>35797.269999999997</v>
      </c>
      <c r="M313" s="14">
        <v>32958.85</v>
      </c>
      <c r="N313" s="14">
        <v>2838.42</v>
      </c>
      <c r="O313" s="15">
        <v>8.6099999999999996E-2</v>
      </c>
      <c r="P313" s="13">
        <v>2727.41</v>
      </c>
      <c r="Q313" s="14">
        <v>2488.2399999999998</v>
      </c>
      <c r="R313" s="14">
        <v>239.17</v>
      </c>
      <c r="S313" s="15">
        <v>9.6100000000000005E-2</v>
      </c>
      <c r="T313" s="13">
        <v>63753.23</v>
      </c>
      <c r="U313" s="14">
        <v>59078.91</v>
      </c>
      <c r="V313" s="14">
        <v>4674.32</v>
      </c>
      <c r="W313" s="15">
        <v>7.9100000000000004E-2</v>
      </c>
      <c r="X313" s="13">
        <v>42610.52</v>
      </c>
      <c r="Y313" s="14">
        <v>39087.919999999998</v>
      </c>
      <c r="Z313" s="14">
        <v>3522.6</v>
      </c>
      <c r="AA313" s="15">
        <v>9.01E-2</v>
      </c>
      <c r="AB313" s="13">
        <v>21142.71</v>
      </c>
      <c r="AC313" s="14">
        <v>18994.09</v>
      </c>
      <c r="AD313" s="14">
        <v>2148.61</v>
      </c>
      <c r="AE313" s="15">
        <v>0.11310000000000001</v>
      </c>
      <c r="AF313" s="2"/>
      <c r="AM313" s="4"/>
    </row>
    <row r="314" spans="1:39" x14ac:dyDescent="0.35">
      <c r="A314" s="11" t="s">
        <v>94</v>
      </c>
      <c r="B314" s="12" t="s">
        <v>81</v>
      </c>
      <c r="C314" s="12" t="s">
        <v>76</v>
      </c>
      <c r="D314" s="13">
        <v>20885671.640000001</v>
      </c>
      <c r="E314" s="14">
        <v>19044106.539999999</v>
      </c>
      <c r="F314" s="14">
        <v>1841565.1</v>
      </c>
      <c r="G314" s="15">
        <v>9.6699999999999994E-2</v>
      </c>
      <c r="H314" s="13">
        <v>219299.55</v>
      </c>
      <c r="I314" s="14">
        <v>198515.03</v>
      </c>
      <c r="J314" s="14">
        <v>20784.52</v>
      </c>
      <c r="K314" s="15">
        <v>0.1047</v>
      </c>
      <c r="L314" s="13">
        <v>61403.87</v>
      </c>
      <c r="M314" s="14">
        <v>54693.03</v>
      </c>
      <c r="N314" s="14">
        <v>6710.84</v>
      </c>
      <c r="O314" s="15">
        <v>0.1227</v>
      </c>
      <c r="P314" s="13">
        <v>4177.13</v>
      </c>
      <c r="Q314" s="14">
        <v>3687.76</v>
      </c>
      <c r="R314" s="14">
        <v>489.37</v>
      </c>
      <c r="S314" s="15">
        <v>0.13270000000000001</v>
      </c>
      <c r="T314" s="13">
        <v>153718.54</v>
      </c>
      <c r="U314" s="14">
        <v>137777.66</v>
      </c>
      <c r="V314" s="14">
        <v>15940.88</v>
      </c>
      <c r="W314" s="15">
        <v>0.1157</v>
      </c>
      <c r="X314" s="13">
        <v>91363.520000000004</v>
      </c>
      <c r="Y314" s="14">
        <v>81089.48</v>
      </c>
      <c r="Z314" s="14">
        <v>10274.040000000001</v>
      </c>
      <c r="AA314" s="15">
        <v>0.12670000000000001</v>
      </c>
      <c r="AB314" s="13">
        <v>62355.02</v>
      </c>
      <c r="AC314" s="14">
        <v>54235.91</v>
      </c>
      <c r="AD314" s="14">
        <v>8119.12</v>
      </c>
      <c r="AE314" s="15">
        <v>0.1497</v>
      </c>
      <c r="AF314" s="2"/>
      <c r="AM314" s="4"/>
    </row>
    <row r="315" spans="1:39" x14ac:dyDescent="0.35">
      <c r="A315" s="11" t="s">
        <v>94</v>
      </c>
      <c r="B315" s="12" t="s">
        <v>81</v>
      </c>
      <c r="C315" s="12" t="s">
        <v>77</v>
      </c>
      <c r="D315" s="13">
        <v>33118905.379999999</v>
      </c>
      <c r="E315" s="14">
        <v>30969034.969999999</v>
      </c>
      <c r="F315" s="14">
        <v>2149870.41</v>
      </c>
      <c r="G315" s="15">
        <v>6.9400000000000003E-2</v>
      </c>
      <c r="H315" s="13">
        <v>215272.88</v>
      </c>
      <c r="I315" s="14">
        <v>199804.05</v>
      </c>
      <c r="J315" s="14">
        <v>15468.83</v>
      </c>
      <c r="K315" s="15">
        <v>7.7399999999999997E-2</v>
      </c>
      <c r="L315" s="13">
        <v>68887.320000000007</v>
      </c>
      <c r="M315" s="14">
        <v>62886.67</v>
      </c>
      <c r="N315" s="14">
        <v>6000.65</v>
      </c>
      <c r="O315" s="15">
        <v>9.5399999999999999E-2</v>
      </c>
      <c r="P315" s="13">
        <v>6623.78</v>
      </c>
      <c r="Q315" s="14">
        <v>5992.09</v>
      </c>
      <c r="R315" s="14">
        <v>631.69000000000005</v>
      </c>
      <c r="S315" s="15">
        <v>0.10539999999999999</v>
      </c>
      <c r="T315" s="13">
        <v>139761.78</v>
      </c>
      <c r="U315" s="14">
        <v>128407.95</v>
      </c>
      <c r="V315" s="14">
        <v>11353.83</v>
      </c>
      <c r="W315" s="15">
        <v>8.8400000000000006E-2</v>
      </c>
      <c r="X315" s="13">
        <v>89685.95</v>
      </c>
      <c r="Y315" s="14">
        <v>81575.69</v>
      </c>
      <c r="Z315" s="14">
        <v>8110.26</v>
      </c>
      <c r="AA315" s="15">
        <v>9.9400000000000002E-2</v>
      </c>
      <c r="AB315" s="13">
        <v>50075.83</v>
      </c>
      <c r="AC315" s="14">
        <v>44614.17</v>
      </c>
      <c r="AD315" s="14">
        <v>5461.67</v>
      </c>
      <c r="AE315" s="15">
        <v>0.12239999999999999</v>
      </c>
      <c r="AF315" s="2"/>
      <c r="AM315" s="4"/>
    </row>
    <row r="316" spans="1:39" x14ac:dyDescent="0.35">
      <c r="A316" s="11" t="s">
        <v>94</v>
      </c>
      <c r="B316" s="12" t="s">
        <v>81</v>
      </c>
      <c r="C316" s="12" t="s">
        <v>78</v>
      </c>
      <c r="D316" s="13">
        <v>8691854.2300000004</v>
      </c>
      <c r="E316" s="14">
        <v>8048311.2599999998</v>
      </c>
      <c r="F316" s="14">
        <v>643542.97</v>
      </c>
      <c r="G316" s="15">
        <v>0.08</v>
      </c>
      <c r="H316" s="13">
        <v>26075.56</v>
      </c>
      <c r="I316" s="14">
        <v>23967.39</v>
      </c>
      <c r="J316" s="14">
        <v>2108.17</v>
      </c>
      <c r="K316" s="15">
        <v>8.7999999999999995E-2</v>
      </c>
      <c r="L316" s="13">
        <v>4693.6000000000004</v>
      </c>
      <c r="M316" s="14">
        <v>4243.91</v>
      </c>
      <c r="N316" s="14">
        <v>449.69</v>
      </c>
      <c r="O316" s="15">
        <v>0.106</v>
      </c>
      <c r="P316" s="13">
        <v>1738.37</v>
      </c>
      <c r="Q316" s="14">
        <v>1557.74</v>
      </c>
      <c r="R316" s="14">
        <v>180.63</v>
      </c>
      <c r="S316" s="15">
        <v>0.11600000000000001</v>
      </c>
      <c r="T316" s="13">
        <v>19643.59</v>
      </c>
      <c r="U316" s="14">
        <v>17874.71</v>
      </c>
      <c r="V316" s="14">
        <v>1768.88</v>
      </c>
      <c r="W316" s="15">
        <v>9.9000000000000005E-2</v>
      </c>
      <c r="X316" s="13">
        <v>10863.47</v>
      </c>
      <c r="Y316" s="14">
        <v>9787.27</v>
      </c>
      <c r="Z316" s="14">
        <v>1076.21</v>
      </c>
      <c r="AA316" s="15">
        <v>0.11</v>
      </c>
      <c r="AB316" s="13">
        <v>8780.1200000000008</v>
      </c>
      <c r="AC316" s="14">
        <v>7749.71</v>
      </c>
      <c r="AD316" s="14">
        <v>1030.4000000000001</v>
      </c>
      <c r="AE316" s="15">
        <v>0.13300000000000001</v>
      </c>
      <c r="AF316" s="2"/>
      <c r="AM316" s="4"/>
    </row>
    <row r="317" spans="1:39" x14ac:dyDescent="0.35">
      <c r="A317" s="11" t="s">
        <v>94</v>
      </c>
      <c r="B317" s="12" t="s">
        <v>81</v>
      </c>
      <c r="C317" s="12" t="s">
        <v>79</v>
      </c>
      <c r="D317" s="13">
        <v>13480780.83</v>
      </c>
      <c r="E317" s="14">
        <v>13381490.17</v>
      </c>
      <c r="F317" s="14">
        <v>99290.66</v>
      </c>
      <c r="G317" s="15">
        <v>7.4000000000000003E-3</v>
      </c>
      <c r="H317" s="13">
        <v>60663.51</v>
      </c>
      <c r="I317" s="14">
        <v>59742.28</v>
      </c>
      <c r="J317" s="14">
        <v>921.23</v>
      </c>
      <c r="K317" s="15">
        <v>1.54E-2</v>
      </c>
      <c r="L317" s="13">
        <v>13345.97</v>
      </c>
      <c r="M317" s="14">
        <v>12914.37</v>
      </c>
      <c r="N317" s="14">
        <v>431.6</v>
      </c>
      <c r="O317" s="15">
        <v>3.3399999999999999E-2</v>
      </c>
      <c r="P317" s="13">
        <v>2696.16</v>
      </c>
      <c r="Q317" s="14">
        <v>2583.96</v>
      </c>
      <c r="R317" s="14">
        <v>112.2</v>
      </c>
      <c r="S317" s="15">
        <v>4.3400000000000001E-2</v>
      </c>
      <c r="T317" s="13">
        <v>44621.38</v>
      </c>
      <c r="U317" s="14">
        <v>43472.83</v>
      </c>
      <c r="V317" s="14">
        <v>1148.55</v>
      </c>
      <c r="W317" s="15">
        <v>2.64E-2</v>
      </c>
      <c r="X317" s="13">
        <v>25273.34</v>
      </c>
      <c r="Y317" s="14">
        <v>24361.72</v>
      </c>
      <c r="Z317" s="14">
        <v>911.62</v>
      </c>
      <c r="AA317" s="15">
        <v>3.7400000000000003E-2</v>
      </c>
      <c r="AB317" s="13">
        <v>19348.04</v>
      </c>
      <c r="AC317" s="14">
        <v>18245.64</v>
      </c>
      <c r="AD317" s="14">
        <v>1102.4000000000001</v>
      </c>
      <c r="AE317" s="15">
        <v>6.0400000000000002E-2</v>
      </c>
      <c r="AF317" s="2"/>
      <c r="AM317" s="4"/>
    </row>
    <row r="318" spans="1:39" x14ac:dyDescent="0.35">
      <c r="A318" s="11" t="s">
        <v>94</v>
      </c>
      <c r="B318" s="12" t="s">
        <v>82</v>
      </c>
      <c r="C318" s="12" t="s">
        <v>75</v>
      </c>
      <c r="D318" s="13">
        <v>15908303.42</v>
      </c>
      <c r="E318" s="14">
        <v>15174755.73</v>
      </c>
      <c r="F318" s="14">
        <v>733547.69</v>
      </c>
      <c r="G318" s="15">
        <v>4.8300000000000003E-2</v>
      </c>
      <c r="H318" s="13">
        <v>119312.28</v>
      </c>
      <c r="I318" s="14">
        <v>112948.75</v>
      </c>
      <c r="J318" s="14">
        <v>6363.53</v>
      </c>
      <c r="K318" s="15">
        <v>5.6300000000000003E-2</v>
      </c>
      <c r="L318" s="13">
        <v>41759.300000000003</v>
      </c>
      <c r="M318" s="14">
        <v>38869.72</v>
      </c>
      <c r="N318" s="14">
        <v>2889.58</v>
      </c>
      <c r="O318" s="15">
        <v>7.4300000000000005E-2</v>
      </c>
      <c r="P318" s="13">
        <v>2386.25</v>
      </c>
      <c r="Q318" s="14">
        <v>2200.65</v>
      </c>
      <c r="R318" s="14">
        <v>185.6</v>
      </c>
      <c r="S318" s="15">
        <v>8.43E-2</v>
      </c>
      <c r="T318" s="13">
        <v>75166.73</v>
      </c>
      <c r="U318" s="14">
        <v>70424.350000000006</v>
      </c>
      <c r="V318" s="14">
        <v>4742.38</v>
      </c>
      <c r="W318" s="15">
        <v>6.7299999999999999E-2</v>
      </c>
      <c r="X318" s="13">
        <v>49707.31</v>
      </c>
      <c r="Y318" s="14">
        <v>46096.13</v>
      </c>
      <c r="Z318" s="14">
        <v>3611.17</v>
      </c>
      <c r="AA318" s="15">
        <v>7.8299999999999995E-2</v>
      </c>
      <c r="AB318" s="13">
        <v>25459.42</v>
      </c>
      <c r="AC318" s="14">
        <v>23116.77</v>
      </c>
      <c r="AD318" s="14">
        <v>2342.65</v>
      </c>
      <c r="AE318" s="15">
        <v>0.1013</v>
      </c>
      <c r="AF318" s="2"/>
      <c r="AM318" s="4"/>
    </row>
    <row r="319" spans="1:39" x14ac:dyDescent="0.35">
      <c r="A319" s="11" t="s">
        <v>94</v>
      </c>
      <c r="B319" s="12" t="s">
        <v>82</v>
      </c>
      <c r="C319" s="12" t="s">
        <v>76</v>
      </c>
      <c r="D319" s="13">
        <v>24358857.93</v>
      </c>
      <c r="E319" s="14">
        <v>22452215.77</v>
      </c>
      <c r="F319" s="14">
        <v>1906642.16</v>
      </c>
      <c r="G319" s="15">
        <v>8.4900000000000003E-2</v>
      </c>
      <c r="H319" s="13">
        <v>255768.01</v>
      </c>
      <c r="I319" s="14">
        <v>234022.63</v>
      </c>
      <c r="J319" s="14">
        <v>21745.38</v>
      </c>
      <c r="K319" s="15">
        <v>9.2899999999999996E-2</v>
      </c>
      <c r="L319" s="13">
        <v>71615.039999999994</v>
      </c>
      <c r="M319" s="14">
        <v>64464.62</v>
      </c>
      <c r="N319" s="14">
        <v>7150.42</v>
      </c>
      <c r="O319" s="15">
        <v>0.1109</v>
      </c>
      <c r="P319" s="13">
        <v>3653.83</v>
      </c>
      <c r="Q319" s="14">
        <v>3259.67</v>
      </c>
      <c r="R319" s="14">
        <v>394.16</v>
      </c>
      <c r="S319" s="15">
        <v>0.12089999999999999</v>
      </c>
      <c r="T319" s="13">
        <v>180499.14</v>
      </c>
      <c r="U319" s="14">
        <v>163507.45000000001</v>
      </c>
      <c r="V319" s="14">
        <v>16991.689999999999</v>
      </c>
      <c r="W319" s="15">
        <v>0.10390000000000001</v>
      </c>
      <c r="X319" s="13">
        <v>106556.83</v>
      </c>
      <c r="Y319" s="14">
        <v>95573.52</v>
      </c>
      <c r="Z319" s="14">
        <v>10983.31</v>
      </c>
      <c r="AA319" s="15">
        <v>0.1149</v>
      </c>
      <c r="AB319" s="13">
        <v>73942.31</v>
      </c>
      <c r="AC319" s="14">
        <v>64980.23</v>
      </c>
      <c r="AD319" s="14">
        <v>8962.07</v>
      </c>
      <c r="AE319" s="15">
        <v>0.13789999999999999</v>
      </c>
      <c r="AF319" s="2"/>
      <c r="AM319" s="4"/>
    </row>
    <row r="320" spans="1:39" x14ac:dyDescent="0.35">
      <c r="A320" s="11" t="s">
        <v>94</v>
      </c>
      <c r="B320" s="12" t="s">
        <v>82</v>
      </c>
      <c r="C320" s="12" t="s">
        <v>77</v>
      </c>
      <c r="D320" s="13">
        <v>38634854.810000002</v>
      </c>
      <c r="E320" s="14">
        <v>36529305.630000003</v>
      </c>
      <c r="F320" s="14">
        <v>2105549.1800000002</v>
      </c>
      <c r="G320" s="15">
        <v>5.7599999999999998E-2</v>
      </c>
      <c r="H320" s="13">
        <v>251126.56</v>
      </c>
      <c r="I320" s="14">
        <v>235657.97</v>
      </c>
      <c r="J320" s="14">
        <v>15468.59</v>
      </c>
      <c r="K320" s="15">
        <v>6.5600000000000006E-2</v>
      </c>
      <c r="L320" s="13">
        <v>80360.5</v>
      </c>
      <c r="M320" s="14">
        <v>74157.929999999993</v>
      </c>
      <c r="N320" s="14">
        <v>6202.57</v>
      </c>
      <c r="O320" s="15">
        <v>8.3599999999999994E-2</v>
      </c>
      <c r="P320" s="13">
        <v>5795.23</v>
      </c>
      <c r="Q320" s="14">
        <v>5299.03</v>
      </c>
      <c r="R320" s="14">
        <v>496.2</v>
      </c>
      <c r="S320" s="15">
        <v>9.3600000000000003E-2</v>
      </c>
      <c r="T320" s="13">
        <v>164970.82999999999</v>
      </c>
      <c r="U320" s="14">
        <v>153227.48000000001</v>
      </c>
      <c r="V320" s="14">
        <v>11743.35</v>
      </c>
      <c r="W320" s="15">
        <v>7.6600000000000001E-2</v>
      </c>
      <c r="X320" s="13">
        <v>104623.13</v>
      </c>
      <c r="Y320" s="14">
        <v>96192.8</v>
      </c>
      <c r="Z320" s="14">
        <v>8430.34</v>
      </c>
      <c r="AA320" s="15">
        <v>8.7599999999999997E-2</v>
      </c>
      <c r="AB320" s="13">
        <v>60347.7</v>
      </c>
      <c r="AC320" s="14">
        <v>54335.96</v>
      </c>
      <c r="AD320" s="14">
        <v>6011.73</v>
      </c>
      <c r="AE320" s="15">
        <v>0.1106</v>
      </c>
      <c r="AF320" s="2"/>
      <c r="AM320" s="4"/>
    </row>
    <row r="321" spans="1:39" x14ac:dyDescent="0.35">
      <c r="A321" s="11" t="s">
        <v>94</v>
      </c>
      <c r="B321" s="12" t="s">
        <v>82</v>
      </c>
      <c r="C321" s="12" t="s">
        <v>78</v>
      </c>
      <c r="D321" s="13">
        <v>10137267.6</v>
      </c>
      <c r="E321" s="14">
        <v>9490224.1199999992</v>
      </c>
      <c r="F321" s="14">
        <v>647043.48</v>
      </c>
      <c r="G321" s="15">
        <v>6.8199999999999997E-2</v>
      </c>
      <c r="H321" s="13">
        <v>30411.8</v>
      </c>
      <c r="I321" s="14">
        <v>28259.03</v>
      </c>
      <c r="J321" s="14">
        <v>2152.77</v>
      </c>
      <c r="K321" s="15">
        <v>7.6200000000000004E-2</v>
      </c>
      <c r="L321" s="13">
        <v>5474.12</v>
      </c>
      <c r="M321" s="14">
        <v>5002.9399999999996</v>
      </c>
      <c r="N321" s="14">
        <v>471.18</v>
      </c>
      <c r="O321" s="15">
        <v>9.4200000000000006E-2</v>
      </c>
      <c r="P321" s="13">
        <v>1520.59</v>
      </c>
      <c r="Q321" s="14">
        <v>1377.12</v>
      </c>
      <c r="R321" s="14">
        <v>143.47</v>
      </c>
      <c r="S321" s="15">
        <v>0.1042</v>
      </c>
      <c r="T321" s="13">
        <v>23417.09</v>
      </c>
      <c r="U321" s="14">
        <v>21539.29</v>
      </c>
      <c r="V321" s="14">
        <v>1877.8</v>
      </c>
      <c r="W321" s="15">
        <v>8.72E-2</v>
      </c>
      <c r="X321" s="13">
        <v>12670.02</v>
      </c>
      <c r="Y321" s="14">
        <v>11537.29</v>
      </c>
      <c r="Z321" s="14">
        <v>1132.73</v>
      </c>
      <c r="AA321" s="15">
        <v>9.8199999999999996E-2</v>
      </c>
      <c r="AB321" s="13">
        <v>10747.07</v>
      </c>
      <c r="AC321" s="14">
        <v>9585.5</v>
      </c>
      <c r="AD321" s="14">
        <v>1161.57</v>
      </c>
      <c r="AE321" s="15">
        <v>0.1212</v>
      </c>
      <c r="AF321" s="2"/>
      <c r="AM321" s="4"/>
    </row>
    <row r="322" spans="1:39" x14ac:dyDescent="0.35">
      <c r="A322" s="11" t="s">
        <v>94</v>
      </c>
      <c r="B322" s="12" t="s">
        <v>82</v>
      </c>
      <c r="C322" s="12" t="s">
        <v>79</v>
      </c>
      <c r="D322" s="13">
        <v>15722569.550000001</v>
      </c>
      <c r="E322" s="14">
        <v>15791420.140000001</v>
      </c>
      <c r="F322" s="14">
        <v>-68850.59</v>
      </c>
      <c r="G322" s="15">
        <v>-4.4000000000000003E-3</v>
      </c>
      <c r="H322" s="13">
        <v>70751.56</v>
      </c>
      <c r="I322" s="14">
        <v>70494.960000000006</v>
      </c>
      <c r="J322" s="14">
        <v>256.60000000000002</v>
      </c>
      <c r="K322" s="15">
        <v>3.5999999999999999E-3</v>
      </c>
      <c r="L322" s="13">
        <v>15565.34</v>
      </c>
      <c r="M322" s="14">
        <v>15235.64</v>
      </c>
      <c r="N322" s="14">
        <v>329.7</v>
      </c>
      <c r="O322" s="15">
        <v>2.1600000000000001E-2</v>
      </c>
      <c r="P322" s="13">
        <v>2358.39</v>
      </c>
      <c r="Q322" s="14">
        <v>2286.06</v>
      </c>
      <c r="R322" s="14">
        <v>72.33</v>
      </c>
      <c r="S322" s="15">
        <v>3.1600000000000003E-2</v>
      </c>
      <c r="T322" s="13">
        <v>52827.83</v>
      </c>
      <c r="U322" s="14">
        <v>52065.59</v>
      </c>
      <c r="V322" s="14">
        <v>762.24</v>
      </c>
      <c r="W322" s="15">
        <v>1.46E-2</v>
      </c>
      <c r="X322" s="13">
        <v>29476.17</v>
      </c>
      <c r="Y322" s="14">
        <v>28739.3</v>
      </c>
      <c r="Z322" s="14">
        <v>736.88</v>
      </c>
      <c r="AA322" s="15">
        <v>2.5600000000000001E-2</v>
      </c>
      <c r="AB322" s="13">
        <v>23351.66</v>
      </c>
      <c r="AC322" s="14">
        <v>22268.52</v>
      </c>
      <c r="AD322" s="14">
        <v>1083.1400000000001</v>
      </c>
      <c r="AE322" s="15">
        <v>4.8599999999999997E-2</v>
      </c>
      <c r="AF322" s="2"/>
      <c r="AM322" s="4"/>
    </row>
    <row r="323" spans="1:39" x14ac:dyDescent="0.35">
      <c r="A323" s="11" t="s">
        <v>94</v>
      </c>
      <c r="B323" s="12" t="s">
        <v>83</v>
      </c>
      <c r="C323" s="12" t="s">
        <v>75</v>
      </c>
      <c r="D323" s="13">
        <v>12055611.189999999</v>
      </c>
      <c r="E323" s="14">
        <v>11441652.140000001</v>
      </c>
      <c r="F323" s="14">
        <v>613959.05000000005</v>
      </c>
      <c r="G323" s="15">
        <v>5.3699999999999998E-2</v>
      </c>
      <c r="H323" s="13">
        <v>90417.08</v>
      </c>
      <c r="I323" s="14">
        <v>85165.759999999995</v>
      </c>
      <c r="J323" s="14">
        <v>5251.32</v>
      </c>
      <c r="K323" s="15">
        <v>6.1699999999999998E-2</v>
      </c>
      <c r="L323" s="13">
        <v>31645.98</v>
      </c>
      <c r="M323" s="14">
        <v>29311.06</v>
      </c>
      <c r="N323" s="14">
        <v>2334.92</v>
      </c>
      <c r="O323" s="15">
        <v>7.9699999999999993E-2</v>
      </c>
      <c r="P323" s="13">
        <v>964.45</v>
      </c>
      <c r="Q323" s="14">
        <v>885.09</v>
      </c>
      <c r="R323" s="14">
        <v>79.36</v>
      </c>
      <c r="S323" s="15">
        <v>8.9700000000000002E-2</v>
      </c>
      <c r="T323" s="13">
        <v>57806.66</v>
      </c>
      <c r="U323" s="14">
        <v>53890.94</v>
      </c>
      <c r="V323" s="14">
        <v>3915.72</v>
      </c>
      <c r="W323" s="15">
        <v>7.2700000000000001E-2</v>
      </c>
      <c r="X323" s="13">
        <v>37669.129999999997</v>
      </c>
      <c r="Y323" s="14">
        <v>34761.019999999997</v>
      </c>
      <c r="Z323" s="14">
        <v>2908.11</v>
      </c>
      <c r="AA323" s="15">
        <v>8.3699999999999997E-2</v>
      </c>
      <c r="AB323" s="13">
        <v>20137.53</v>
      </c>
      <c r="AC323" s="14">
        <v>18196.68</v>
      </c>
      <c r="AD323" s="14">
        <v>1940.86</v>
      </c>
      <c r="AE323" s="15">
        <v>0.1067</v>
      </c>
      <c r="AF323" s="2"/>
      <c r="AM323" s="4"/>
    </row>
    <row r="324" spans="1:39" x14ac:dyDescent="0.35">
      <c r="A324" s="11" t="s">
        <v>94</v>
      </c>
      <c r="B324" s="12" t="s">
        <v>83</v>
      </c>
      <c r="C324" s="12" t="s">
        <v>76</v>
      </c>
      <c r="D324" s="13">
        <v>18447281.850000001</v>
      </c>
      <c r="E324" s="14">
        <v>16920386.199999999</v>
      </c>
      <c r="F324" s="14">
        <v>1526895.65</v>
      </c>
      <c r="G324" s="15">
        <v>9.0200000000000002E-2</v>
      </c>
      <c r="H324" s="13">
        <v>193696.46</v>
      </c>
      <c r="I324" s="14">
        <v>176369.88</v>
      </c>
      <c r="J324" s="14">
        <v>17326.580000000002</v>
      </c>
      <c r="K324" s="15">
        <v>9.8199999999999996E-2</v>
      </c>
      <c r="L324" s="13">
        <v>54235.01</v>
      </c>
      <c r="M324" s="14">
        <v>48587.23</v>
      </c>
      <c r="N324" s="14">
        <v>5647.78</v>
      </c>
      <c r="O324" s="15">
        <v>0.1162</v>
      </c>
      <c r="P324" s="13">
        <v>1475.78</v>
      </c>
      <c r="Q324" s="14">
        <v>1310.3599999999999</v>
      </c>
      <c r="R324" s="14">
        <v>165.42</v>
      </c>
      <c r="S324" s="15">
        <v>0.12620000000000001</v>
      </c>
      <c r="T324" s="13">
        <v>137985.67000000001</v>
      </c>
      <c r="U324" s="14">
        <v>124396.59</v>
      </c>
      <c r="V324" s="14">
        <v>13589.08</v>
      </c>
      <c r="W324" s="15">
        <v>0.10920000000000001</v>
      </c>
      <c r="X324" s="13">
        <v>80696.88</v>
      </c>
      <c r="Y324" s="14">
        <v>72035.350000000006</v>
      </c>
      <c r="Z324" s="14">
        <v>8661.5300000000007</v>
      </c>
      <c r="AA324" s="15">
        <v>0.1202</v>
      </c>
      <c r="AB324" s="13">
        <v>57288.79</v>
      </c>
      <c r="AC324" s="14">
        <v>50110.9</v>
      </c>
      <c r="AD324" s="14">
        <v>7177.89</v>
      </c>
      <c r="AE324" s="15">
        <v>0.14319999999999999</v>
      </c>
      <c r="AF324" s="2"/>
      <c r="AM324" s="4"/>
    </row>
    <row r="325" spans="1:39" x14ac:dyDescent="0.35">
      <c r="A325" s="11" t="s">
        <v>94</v>
      </c>
      <c r="B325" s="12" t="s">
        <v>83</v>
      </c>
      <c r="C325" s="12" t="s">
        <v>77</v>
      </c>
      <c r="D325" s="13">
        <v>29278218.789999999</v>
      </c>
      <c r="E325" s="14">
        <v>27544045.670000002</v>
      </c>
      <c r="F325" s="14">
        <v>1734173.12</v>
      </c>
      <c r="G325" s="15">
        <v>6.3E-2</v>
      </c>
      <c r="H325" s="13">
        <v>190308.42</v>
      </c>
      <c r="I325" s="14">
        <v>177698.91</v>
      </c>
      <c r="J325" s="14">
        <v>12609.51</v>
      </c>
      <c r="K325" s="15">
        <v>7.0999999999999994E-2</v>
      </c>
      <c r="L325" s="13">
        <v>60898.7</v>
      </c>
      <c r="M325" s="14">
        <v>55923.73</v>
      </c>
      <c r="N325" s="14">
        <v>4974.97</v>
      </c>
      <c r="O325" s="15">
        <v>8.8999999999999996E-2</v>
      </c>
      <c r="P325" s="13">
        <v>2342.2600000000002</v>
      </c>
      <c r="Q325" s="14">
        <v>2131.34</v>
      </c>
      <c r="R325" s="14">
        <v>210.92</v>
      </c>
      <c r="S325" s="15">
        <v>9.9000000000000005E-2</v>
      </c>
      <c r="T325" s="13">
        <v>127067.47</v>
      </c>
      <c r="U325" s="14">
        <v>117441.93</v>
      </c>
      <c r="V325" s="14">
        <v>9625.5400000000009</v>
      </c>
      <c r="W325" s="15">
        <v>8.2000000000000003E-2</v>
      </c>
      <c r="X325" s="13">
        <v>79285.37</v>
      </c>
      <c r="Y325" s="14">
        <v>72541.88</v>
      </c>
      <c r="Z325" s="14">
        <v>6743.49</v>
      </c>
      <c r="AA325" s="15">
        <v>9.2999999999999999E-2</v>
      </c>
      <c r="AB325" s="13">
        <v>47782.1</v>
      </c>
      <c r="AC325" s="14">
        <v>42817.03</v>
      </c>
      <c r="AD325" s="14">
        <v>4965.0600000000004</v>
      </c>
      <c r="AE325" s="15">
        <v>0.11600000000000001</v>
      </c>
      <c r="AF325" s="2"/>
      <c r="AM325" s="4"/>
    </row>
    <row r="326" spans="1:39" x14ac:dyDescent="0.35">
      <c r="A326" s="11" t="s">
        <v>94</v>
      </c>
      <c r="B326" s="12" t="s">
        <v>83</v>
      </c>
      <c r="C326" s="12" t="s">
        <v>78</v>
      </c>
      <c r="D326" s="13">
        <v>7677085.4000000004</v>
      </c>
      <c r="E326" s="14">
        <v>7151453.5599999996</v>
      </c>
      <c r="F326" s="14">
        <v>525631.84</v>
      </c>
      <c r="G326" s="15">
        <v>7.3499999999999996E-2</v>
      </c>
      <c r="H326" s="13">
        <v>23031.26</v>
      </c>
      <c r="I326" s="14">
        <v>21295.66</v>
      </c>
      <c r="J326" s="14">
        <v>1735.6</v>
      </c>
      <c r="K326" s="15">
        <v>8.1500000000000003E-2</v>
      </c>
      <c r="L326" s="13">
        <v>4145.63</v>
      </c>
      <c r="M326" s="14">
        <v>3770.47</v>
      </c>
      <c r="N326" s="14">
        <v>375.16</v>
      </c>
      <c r="O326" s="15">
        <v>9.9500000000000005E-2</v>
      </c>
      <c r="P326" s="13">
        <v>614.16999999999996</v>
      </c>
      <c r="Q326" s="14">
        <v>553.55999999999995</v>
      </c>
      <c r="R326" s="14">
        <v>60.61</v>
      </c>
      <c r="S326" s="15">
        <v>0.1095</v>
      </c>
      <c r="T326" s="13">
        <v>18271.46</v>
      </c>
      <c r="U326" s="14">
        <v>16724.45</v>
      </c>
      <c r="V326" s="14">
        <v>1547.01</v>
      </c>
      <c r="W326" s="15">
        <v>9.2499999999999999E-2</v>
      </c>
      <c r="X326" s="13">
        <v>9595.17</v>
      </c>
      <c r="Y326" s="14">
        <v>8695.2199999999993</v>
      </c>
      <c r="Z326" s="14">
        <v>899.95</v>
      </c>
      <c r="AA326" s="15">
        <v>0.10349999999999999</v>
      </c>
      <c r="AB326" s="13">
        <v>8676.2900000000009</v>
      </c>
      <c r="AC326" s="14">
        <v>7701.99</v>
      </c>
      <c r="AD326" s="14">
        <v>974.3</v>
      </c>
      <c r="AE326" s="15">
        <v>0.1265</v>
      </c>
      <c r="AF326" s="2"/>
      <c r="AM326" s="4"/>
    </row>
    <row r="327" spans="1:39" x14ac:dyDescent="0.35">
      <c r="A327" s="11" t="s">
        <v>94</v>
      </c>
      <c r="B327" s="12" t="s">
        <v>83</v>
      </c>
      <c r="C327" s="12" t="s">
        <v>79</v>
      </c>
      <c r="D327" s="13">
        <v>11906907.65</v>
      </c>
      <c r="E327" s="14">
        <v>11895487.98</v>
      </c>
      <c r="F327" s="14">
        <v>11419.67</v>
      </c>
      <c r="G327" s="15">
        <v>1E-3</v>
      </c>
      <c r="H327" s="13">
        <v>53581.08</v>
      </c>
      <c r="I327" s="14">
        <v>53105.26</v>
      </c>
      <c r="J327" s="14">
        <v>475.82</v>
      </c>
      <c r="K327" s="15">
        <v>8.9999999999999993E-3</v>
      </c>
      <c r="L327" s="13">
        <v>11787.84</v>
      </c>
      <c r="M327" s="14">
        <v>11478.38</v>
      </c>
      <c r="N327" s="14">
        <v>309.45999999999998</v>
      </c>
      <c r="O327" s="15">
        <v>2.7E-2</v>
      </c>
      <c r="P327" s="13">
        <v>952.55</v>
      </c>
      <c r="Q327" s="14">
        <v>918.6</v>
      </c>
      <c r="R327" s="14">
        <v>33.950000000000003</v>
      </c>
      <c r="S327" s="15">
        <v>3.6999999999999998E-2</v>
      </c>
      <c r="T327" s="13">
        <v>40840.69</v>
      </c>
      <c r="U327" s="14">
        <v>40041.46</v>
      </c>
      <c r="V327" s="14">
        <v>799.23</v>
      </c>
      <c r="W327" s="15">
        <v>0.02</v>
      </c>
      <c r="X327" s="13">
        <v>22322.69</v>
      </c>
      <c r="Y327" s="14">
        <v>21652.33</v>
      </c>
      <c r="Z327" s="14">
        <v>670.36</v>
      </c>
      <c r="AA327" s="15">
        <v>3.1E-2</v>
      </c>
      <c r="AB327" s="13">
        <v>18518</v>
      </c>
      <c r="AC327" s="14">
        <v>17569.93</v>
      </c>
      <c r="AD327" s="14">
        <v>948.07</v>
      </c>
      <c r="AE327" s="15">
        <v>5.3999999999999999E-2</v>
      </c>
      <c r="AF327" s="2"/>
      <c r="AM327" s="4"/>
    </row>
    <row r="328" spans="1:39" x14ac:dyDescent="0.35">
      <c r="A328" s="11" t="s">
        <v>94</v>
      </c>
      <c r="B328" s="12" t="s">
        <v>84</v>
      </c>
      <c r="C328" s="12" t="s">
        <v>75</v>
      </c>
      <c r="D328" s="13">
        <v>28740719.5</v>
      </c>
      <c r="E328" s="14">
        <v>27169250.079999998</v>
      </c>
      <c r="F328" s="14">
        <v>1571469.42</v>
      </c>
      <c r="G328" s="15">
        <v>5.7799999999999997E-2</v>
      </c>
      <c r="H328" s="13">
        <v>215555.4</v>
      </c>
      <c r="I328" s="14">
        <v>202239.92</v>
      </c>
      <c r="J328" s="14">
        <v>13315.48</v>
      </c>
      <c r="K328" s="15">
        <v>6.5799999999999997E-2</v>
      </c>
      <c r="L328" s="13">
        <v>75444.39</v>
      </c>
      <c r="M328" s="14">
        <v>69608.42</v>
      </c>
      <c r="N328" s="14">
        <v>5835.97</v>
      </c>
      <c r="O328" s="15">
        <v>8.3799999999999999E-2</v>
      </c>
      <c r="P328" s="13">
        <v>2011.85</v>
      </c>
      <c r="Q328" s="14">
        <v>1839.25</v>
      </c>
      <c r="R328" s="14">
        <v>172.6</v>
      </c>
      <c r="S328" s="15">
        <v>9.3799999999999994E-2</v>
      </c>
      <c r="T328" s="13">
        <v>138099.16</v>
      </c>
      <c r="U328" s="14">
        <v>128244.83</v>
      </c>
      <c r="V328" s="14">
        <v>9854.33</v>
      </c>
      <c r="W328" s="15">
        <v>7.6799999999999993E-2</v>
      </c>
      <c r="X328" s="13">
        <v>89803.65</v>
      </c>
      <c r="Y328" s="14">
        <v>82552.259999999995</v>
      </c>
      <c r="Z328" s="14">
        <v>7251.39</v>
      </c>
      <c r="AA328" s="15">
        <v>8.7800000000000003E-2</v>
      </c>
      <c r="AB328" s="13">
        <v>48295.51</v>
      </c>
      <c r="AC328" s="14">
        <v>43476.57</v>
      </c>
      <c r="AD328" s="14">
        <v>4818.9399999999996</v>
      </c>
      <c r="AE328" s="15">
        <v>0.1108</v>
      </c>
      <c r="AF328" s="2"/>
      <c r="AM328" s="4"/>
    </row>
    <row r="329" spans="1:39" x14ac:dyDescent="0.35">
      <c r="A329" s="11" t="s">
        <v>94</v>
      </c>
      <c r="B329" s="12" t="s">
        <v>84</v>
      </c>
      <c r="C329" s="12" t="s">
        <v>76</v>
      </c>
      <c r="D329" s="13">
        <v>43968566.399999999</v>
      </c>
      <c r="E329" s="14">
        <v>40175221.939999998</v>
      </c>
      <c r="F329" s="14">
        <v>3793344.46</v>
      </c>
      <c r="G329" s="15">
        <v>9.4399999999999998E-2</v>
      </c>
      <c r="H329" s="13">
        <v>461669.95</v>
      </c>
      <c r="I329" s="14">
        <v>418778.64</v>
      </c>
      <c r="J329" s="14">
        <v>42891.31</v>
      </c>
      <c r="K329" s="15">
        <v>0.1024</v>
      </c>
      <c r="L329" s="13">
        <v>129267.59</v>
      </c>
      <c r="M329" s="14">
        <v>115374.23</v>
      </c>
      <c r="N329" s="14">
        <v>13893.36</v>
      </c>
      <c r="O329" s="15">
        <v>0.12039999999999999</v>
      </c>
      <c r="P329" s="13">
        <v>3077.8</v>
      </c>
      <c r="Q329" s="14">
        <v>2722.7</v>
      </c>
      <c r="R329" s="14">
        <v>355.1</v>
      </c>
      <c r="S329" s="15">
        <v>0.13039999999999999</v>
      </c>
      <c r="T329" s="13">
        <v>329324.56</v>
      </c>
      <c r="U329" s="14">
        <v>295777.48</v>
      </c>
      <c r="V329" s="14">
        <v>33547.08</v>
      </c>
      <c r="W329" s="15">
        <v>0.1134</v>
      </c>
      <c r="X329" s="13">
        <v>192338.7</v>
      </c>
      <c r="Y329" s="14">
        <v>171055.93</v>
      </c>
      <c r="Z329" s="14">
        <v>21282.78</v>
      </c>
      <c r="AA329" s="15">
        <v>0.1244</v>
      </c>
      <c r="AB329" s="13">
        <v>136985.85999999999</v>
      </c>
      <c r="AC329" s="14">
        <v>119385.98</v>
      </c>
      <c r="AD329" s="14">
        <v>17599.88</v>
      </c>
      <c r="AE329" s="15">
        <v>0.1474</v>
      </c>
      <c r="AF329" s="2"/>
      <c r="AM329" s="4"/>
    </row>
    <row r="330" spans="1:39" x14ac:dyDescent="0.35">
      <c r="A330" s="11" t="s">
        <v>94</v>
      </c>
      <c r="B330" s="12" t="s">
        <v>84</v>
      </c>
      <c r="C330" s="12" t="s">
        <v>77</v>
      </c>
      <c r="D330" s="13">
        <v>69799619.450000003</v>
      </c>
      <c r="E330" s="14">
        <v>65408118.380000003</v>
      </c>
      <c r="F330" s="14">
        <v>4391501.07</v>
      </c>
      <c r="G330" s="15">
        <v>6.7100000000000007E-2</v>
      </c>
      <c r="H330" s="13">
        <v>453697.53</v>
      </c>
      <c r="I330" s="14">
        <v>421989.26</v>
      </c>
      <c r="J330" s="14">
        <v>31708.27</v>
      </c>
      <c r="K330" s="15">
        <v>7.51E-2</v>
      </c>
      <c r="L330" s="13">
        <v>145183.21</v>
      </c>
      <c r="M330" s="14">
        <v>132813.01</v>
      </c>
      <c r="N330" s="14">
        <v>12370.2</v>
      </c>
      <c r="O330" s="15">
        <v>9.3100000000000002E-2</v>
      </c>
      <c r="P330" s="13">
        <v>4885.97</v>
      </c>
      <c r="Q330" s="14">
        <v>4429.1499999999996</v>
      </c>
      <c r="R330" s="14">
        <v>456.82</v>
      </c>
      <c r="S330" s="15">
        <v>0.1031</v>
      </c>
      <c r="T330" s="13">
        <v>303628.34000000003</v>
      </c>
      <c r="U330" s="14">
        <v>279548.07</v>
      </c>
      <c r="V330" s="14">
        <v>24080.27</v>
      </c>
      <c r="W330" s="15">
        <v>8.6099999999999996E-2</v>
      </c>
      <c r="X330" s="13">
        <v>189017.27</v>
      </c>
      <c r="Y330" s="14">
        <v>172281.82</v>
      </c>
      <c r="Z330" s="14">
        <v>16735.46</v>
      </c>
      <c r="AA330" s="15">
        <v>9.7100000000000006E-2</v>
      </c>
      <c r="AB330" s="13">
        <v>114611.07</v>
      </c>
      <c r="AC330" s="14">
        <v>102318.52</v>
      </c>
      <c r="AD330" s="14">
        <v>12292.55</v>
      </c>
      <c r="AE330" s="15">
        <v>0.1201</v>
      </c>
      <c r="AF330" s="2"/>
      <c r="AM330" s="4"/>
    </row>
    <row r="331" spans="1:39" x14ac:dyDescent="0.35">
      <c r="A331" s="11" t="s">
        <v>94</v>
      </c>
      <c r="B331" s="12" t="s">
        <v>84</v>
      </c>
      <c r="C331" s="12" t="s">
        <v>78</v>
      </c>
      <c r="D331" s="13">
        <v>18298112.539999999</v>
      </c>
      <c r="E331" s="14">
        <v>16979170.57</v>
      </c>
      <c r="F331" s="14">
        <v>1318941.97</v>
      </c>
      <c r="G331" s="15">
        <v>7.7700000000000005E-2</v>
      </c>
      <c r="H331" s="13">
        <v>54894.34</v>
      </c>
      <c r="I331" s="14">
        <v>50562.17</v>
      </c>
      <c r="J331" s="14">
        <v>4332.17</v>
      </c>
      <c r="K331" s="15">
        <v>8.5699999999999998E-2</v>
      </c>
      <c r="L331" s="13">
        <v>9880.98</v>
      </c>
      <c r="M331" s="14">
        <v>8952.76</v>
      </c>
      <c r="N331" s="14">
        <v>928.22</v>
      </c>
      <c r="O331" s="15">
        <v>0.1037</v>
      </c>
      <c r="P331" s="13">
        <v>1280.8699999999999</v>
      </c>
      <c r="Q331" s="14">
        <v>1150.1199999999999</v>
      </c>
      <c r="R331" s="14">
        <v>130.75</v>
      </c>
      <c r="S331" s="15">
        <v>0.1137</v>
      </c>
      <c r="T331" s="13">
        <v>43732.49</v>
      </c>
      <c r="U331" s="14">
        <v>39877.17</v>
      </c>
      <c r="V331" s="14">
        <v>3855.32</v>
      </c>
      <c r="W331" s="15">
        <v>9.6699999999999994E-2</v>
      </c>
      <c r="X331" s="13">
        <v>22869.81</v>
      </c>
      <c r="Y331" s="14">
        <v>20646.59</v>
      </c>
      <c r="Z331" s="14">
        <v>2223.2199999999998</v>
      </c>
      <c r="AA331" s="15">
        <v>0.1077</v>
      </c>
      <c r="AB331" s="13">
        <v>20862.68</v>
      </c>
      <c r="AC331" s="14">
        <v>18451.439999999999</v>
      </c>
      <c r="AD331" s="14">
        <v>2411.23</v>
      </c>
      <c r="AE331" s="15">
        <v>0.13070000000000001</v>
      </c>
      <c r="AF331" s="2"/>
      <c r="AM331" s="4"/>
    </row>
    <row r="332" spans="1:39" x14ac:dyDescent="0.35">
      <c r="A332" s="11" t="s">
        <v>94</v>
      </c>
      <c r="B332" s="12" t="s">
        <v>84</v>
      </c>
      <c r="C332" s="12" t="s">
        <v>79</v>
      </c>
      <c r="D332" s="13">
        <v>28379772.379999999</v>
      </c>
      <c r="E332" s="14">
        <v>28234646.300000001</v>
      </c>
      <c r="F332" s="14">
        <v>145126.07999999999</v>
      </c>
      <c r="G332" s="15">
        <v>5.1000000000000004E-3</v>
      </c>
      <c r="H332" s="13">
        <v>127708.98</v>
      </c>
      <c r="I332" s="14">
        <v>126052.65</v>
      </c>
      <c r="J332" s="14">
        <v>1656.33</v>
      </c>
      <c r="K332" s="15">
        <v>1.3100000000000001E-2</v>
      </c>
      <c r="L332" s="13">
        <v>28095.97</v>
      </c>
      <c r="M332" s="14">
        <v>27247.48</v>
      </c>
      <c r="N332" s="14">
        <v>848.49</v>
      </c>
      <c r="O332" s="15">
        <v>3.1099999999999999E-2</v>
      </c>
      <c r="P332" s="13">
        <v>1986.58</v>
      </c>
      <c r="Q332" s="14">
        <v>1908.08</v>
      </c>
      <c r="R332" s="14">
        <v>78.5</v>
      </c>
      <c r="S332" s="15">
        <v>4.1099999999999998E-2</v>
      </c>
      <c r="T332" s="13">
        <v>97626.42</v>
      </c>
      <c r="U332" s="14">
        <v>95325.27</v>
      </c>
      <c r="V332" s="14">
        <v>2301.15</v>
      </c>
      <c r="W332" s="15">
        <v>2.41E-2</v>
      </c>
      <c r="X332" s="13">
        <v>53205.5</v>
      </c>
      <c r="Y332" s="14">
        <v>51399.33</v>
      </c>
      <c r="Z332" s="14">
        <v>1806.17</v>
      </c>
      <c r="AA332" s="15">
        <v>3.5099999999999999E-2</v>
      </c>
      <c r="AB332" s="13">
        <v>44420.92</v>
      </c>
      <c r="AC332" s="14">
        <v>41980.19</v>
      </c>
      <c r="AD332" s="14">
        <v>2440.73</v>
      </c>
      <c r="AE332" s="15">
        <v>5.8099999999999999E-2</v>
      </c>
      <c r="AF332" s="2"/>
      <c r="AM332" s="4"/>
    </row>
    <row r="333" spans="1:39" x14ac:dyDescent="0.35">
      <c r="A333" s="16" t="s">
        <v>95</v>
      </c>
      <c r="B333" s="17" t="s">
        <v>74</v>
      </c>
      <c r="C333" s="17" t="s">
        <v>75</v>
      </c>
      <c r="D333" s="18">
        <v>20821465.899999999</v>
      </c>
      <c r="E333" s="19">
        <v>18530370.850000001</v>
      </c>
      <c r="F333" s="19">
        <v>2291095.0499999998</v>
      </c>
      <c r="G333" s="20">
        <v>0.1236</v>
      </c>
      <c r="H333" s="18">
        <v>156160.99</v>
      </c>
      <c r="I333" s="19">
        <v>137995.29</v>
      </c>
      <c r="J333" s="19">
        <v>18165.7</v>
      </c>
      <c r="K333" s="20">
        <v>0.13159999999999999</v>
      </c>
      <c r="L333" s="18">
        <v>54656.35</v>
      </c>
      <c r="M333" s="19">
        <v>47542.14</v>
      </c>
      <c r="N333" s="19">
        <v>7114.21</v>
      </c>
      <c r="O333" s="20">
        <v>0.14960000000000001</v>
      </c>
      <c r="P333" s="18">
        <v>3747.86</v>
      </c>
      <c r="Q333" s="19">
        <v>3231.92</v>
      </c>
      <c r="R333" s="19">
        <v>515.94000000000005</v>
      </c>
      <c r="S333" s="20">
        <v>0.15959999999999999</v>
      </c>
      <c r="T333" s="18">
        <v>97756.78</v>
      </c>
      <c r="U333" s="19">
        <v>85553.44</v>
      </c>
      <c r="V333" s="19">
        <v>12203.34</v>
      </c>
      <c r="W333" s="20">
        <v>0.1426</v>
      </c>
      <c r="X333" s="18">
        <v>61436.42</v>
      </c>
      <c r="Y333" s="19">
        <v>53254.41</v>
      </c>
      <c r="Z333" s="19">
        <v>8182.01</v>
      </c>
      <c r="AA333" s="20">
        <v>0.15359999999999999</v>
      </c>
      <c r="AB333" s="18">
        <v>36320.36</v>
      </c>
      <c r="AC333" s="19">
        <v>30867.86</v>
      </c>
      <c r="AD333" s="19">
        <v>5452.5</v>
      </c>
      <c r="AE333" s="20">
        <v>0.17660000000000001</v>
      </c>
      <c r="AF333" s="2"/>
      <c r="AM333" s="4"/>
    </row>
    <row r="334" spans="1:39" x14ac:dyDescent="0.35">
      <c r="A334" s="16" t="s">
        <v>95</v>
      </c>
      <c r="B334" s="17" t="s">
        <v>74</v>
      </c>
      <c r="C334" s="17" t="s">
        <v>76</v>
      </c>
      <c r="D334" s="18">
        <v>31313812.260000002</v>
      </c>
      <c r="E334" s="19">
        <v>27340189.170000002</v>
      </c>
      <c r="F334" s="19">
        <v>3973623.09</v>
      </c>
      <c r="G334" s="20">
        <v>0.14530000000000001</v>
      </c>
      <c r="H334" s="18">
        <v>328795.03000000003</v>
      </c>
      <c r="I334" s="19">
        <v>285080.75</v>
      </c>
      <c r="J334" s="19">
        <v>43714.28</v>
      </c>
      <c r="K334" s="20">
        <v>0.15329999999999999</v>
      </c>
      <c r="L334" s="18">
        <v>92062.61</v>
      </c>
      <c r="M334" s="19">
        <v>78595.98</v>
      </c>
      <c r="N334" s="19">
        <v>13466.63</v>
      </c>
      <c r="O334" s="20">
        <v>0.17130000000000001</v>
      </c>
      <c r="P334" s="18">
        <v>5636.49</v>
      </c>
      <c r="Q334" s="19">
        <v>4771.2700000000004</v>
      </c>
      <c r="R334" s="19">
        <v>865.22</v>
      </c>
      <c r="S334" s="20">
        <v>0.18129999999999999</v>
      </c>
      <c r="T334" s="18">
        <v>231095.93</v>
      </c>
      <c r="U334" s="19">
        <v>198478.05</v>
      </c>
      <c r="V334" s="19">
        <v>32617.88</v>
      </c>
      <c r="W334" s="20">
        <v>0.1643</v>
      </c>
      <c r="X334" s="18">
        <v>129353.61</v>
      </c>
      <c r="Y334" s="19">
        <v>110056.33</v>
      </c>
      <c r="Z334" s="19">
        <v>19297.28</v>
      </c>
      <c r="AA334" s="20">
        <v>0.17530000000000001</v>
      </c>
      <c r="AB334" s="18">
        <v>101742.32</v>
      </c>
      <c r="AC334" s="19">
        <v>84902.71</v>
      </c>
      <c r="AD334" s="19">
        <v>16839.599999999999</v>
      </c>
      <c r="AE334" s="20">
        <v>0.1983</v>
      </c>
      <c r="AF334" s="2"/>
      <c r="AM334" s="4"/>
    </row>
    <row r="335" spans="1:39" x14ac:dyDescent="0.35">
      <c r="A335" s="16" t="s">
        <v>95</v>
      </c>
      <c r="B335" s="17" t="s">
        <v>74</v>
      </c>
      <c r="C335" s="17" t="s">
        <v>77</v>
      </c>
      <c r="D335" s="18">
        <v>50934217.549999997</v>
      </c>
      <c r="E335" s="19">
        <v>45130442.630000003</v>
      </c>
      <c r="F335" s="19">
        <v>5803774.9199999999</v>
      </c>
      <c r="G335" s="20">
        <v>0.12859999999999999</v>
      </c>
      <c r="H335" s="18">
        <v>331072.40999999997</v>
      </c>
      <c r="I335" s="19">
        <v>291283.13</v>
      </c>
      <c r="J335" s="19">
        <v>39789.279999999999</v>
      </c>
      <c r="K335" s="20">
        <v>0.1366</v>
      </c>
      <c r="L335" s="18">
        <v>105943.17</v>
      </c>
      <c r="M335" s="19">
        <v>91757.47</v>
      </c>
      <c r="N335" s="19">
        <v>14185.7</v>
      </c>
      <c r="O335" s="20">
        <v>0.15459999999999999</v>
      </c>
      <c r="P335" s="18">
        <v>9168.16</v>
      </c>
      <c r="Q335" s="19">
        <v>7872.37</v>
      </c>
      <c r="R335" s="19">
        <v>1295.79</v>
      </c>
      <c r="S335" s="20">
        <v>0.1646</v>
      </c>
      <c r="T335" s="18">
        <v>215961.08</v>
      </c>
      <c r="U335" s="19">
        <v>188184.98</v>
      </c>
      <c r="V335" s="19">
        <v>27776.1</v>
      </c>
      <c r="W335" s="20">
        <v>0.14760000000000001</v>
      </c>
      <c r="X335" s="18">
        <v>130249.57</v>
      </c>
      <c r="Y335" s="19">
        <v>112419.79</v>
      </c>
      <c r="Z335" s="19">
        <v>17829.78</v>
      </c>
      <c r="AA335" s="20">
        <v>0.15859999999999999</v>
      </c>
      <c r="AB335" s="18">
        <v>85711.51</v>
      </c>
      <c r="AC335" s="19">
        <v>72538.509999999995</v>
      </c>
      <c r="AD335" s="19">
        <v>13172.99</v>
      </c>
      <c r="AE335" s="20">
        <v>0.18160000000000001</v>
      </c>
      <c r="AF335" s="2"/>
      <c r="AM335" s="4"/>
    </row>
    <row r="336" spans="1:39" x14ac:dyDescent="0.35">
      <c r="A336" s="16" t="s">
        <v>95</v>
      </c>
      <c r="B336" s="17" t="s">
        <v>74</v>
      </c>
      <c r="C336" s="17" t="s">
        <v>78</v>
      </c>
      <c r="D336" s="18">
        <v>13252915.869999999</v>
      </c>
      <c r="E336" s="19">
        <v>12782026.029999999</v>
      </c>
      <c r="F336" s="19">
        <v>470889.84</v>
      </c>
      <c r="G336" s="20">
        <v>3.6799999999999999E-2</v>
      </c>
      <c r="H336" s="18">
        <v>39758.75</v>
      </c>
      <c r="I336" s="19">
        <v>38052.480000000003</v>
      </c>
      <c r="J336" s="19">
        <v>1706.27</v>
      </c>
      <c r="K336" s="20">
        <v>4.48E-2</v>
      </c>
      <c r="L336" s="18">
        <v>7156.57</v>
      </c>
      <c r="M336" s="19">
        <v>6733.44</v>
      </c>
      <c r="N336" s="19">
        <v>423.13</v>
      </c>
      <c r="O336" s="20">
        <v>6.2799999999999995E-2</v>
      </c>
      <c r="P336" s="18">
        <v>2385.52</v>
      </c>
      <c r="Q336" s="19">
        <v>2223.56</v>
      </c>
      <c r="R336" s="19">
        <v>161.96</v>
      </c>
      <c r="S336" s="20">
        <v>7.2800000000000004E-2</v>
      </c>
      <c r="T336" s="18">
        <v>30216.65</v>
      </c>
      <c r="U336" s="19">
        <v>28618.59</v>
      </c>
      <c r="V336" s="19">
        <v>1598.06</v>
      </c>
      <c r="W336" s="20">
        <v>5.5800000000000002E-2</v>
      </c>
      <c r="X336" s="18">
        <v>15641.78</v>
      </c>
      <c r="Y336" s="19">
        <v>14661.78</v>
      </c>
      <c r="Z336" s="19">
        <v>979.99</v>
      </c>
      <c r="AA336" s="20">
        <v>6.6799999999999998E-2</v>
      </c>
      <c r="AB336" s="18">
        <v>14574.87</v>
      </c>
      <c r="AC336" s="19">
        <v>13373.41</v>
      </c>
      <c r="AD336" s="19">
        <v>1201.47</v>
      </c>
      <c r="AE336" s="20">
        <v>8.9800000000000005E-2</v>
      </c>
      <c r="AF336" s="2"/>
      <c r="AM336" s="4"/>
    </row>
    <row r="337" spans="1:39" x14ac:dyDescent="0.35">
      <c r="A337" s="16" t="s">
        <v>95</v>
      </c>
      <c r="B337" s="17" t="s">
        <v>74</v>
      </c>
      <c r="C337" s="17" t="s">
        <v>79</v>
      </c>
      <c r="D337" s="18">
        <v>20313387.140000001</v>
      </c>
      <c r="E337" s="19">
        <v>18178503.670000002</v>
      </c>
      <c r="F337" s="19">
        <v>2134883.4700000002</v>
      </c>
      <c r="G337" s="20">
        <v>0.1174</v>
      </c>
      <c r="H337" s="18">
        <v>91410.240000000005</v>
      </c>
      <c r="I337" s="19">
        <v>81221.78</v>
      </c>
      <c r="J337" s="19">
        <v>10188.459999999999</v>
      </c>
      <c r="K337" s="20">
        <v>0.12540000000000001</v>
      </c>
      <c r="L337" s="18">
        <v>20110.25</v>
      </c>
      <c r="M337" s="19">
        <v>17587.5</v>
      </c>
      <c r="N337" s="19">
        <v>2522.75</v>
      </c>
      <c r="O337" s="20">
        <v>0.1434</v>
      </c>
      <c r="P337" s="18">
        <v>3656.41</v>
      </c>
      <c r="Q337" s="19">
        <v>3170</v>
      </c>
      <c r="R337" s="19">
        <v>486.41</v>
      </c>
      <c r="S337" s="20">
        <v>0.15340000000000001</v>
      </c>
      <c r="T337" s="18">
        <v>67643.58</v>
      </c>
      <c r="U337" s="19">
        <v>59522.35</v>
      </c>
      <c r="V337" s="19">
        <v>8121.23</v>
      </c>
      <c r="W337" s="20">
        <v>0.13639999999999999</v>
      </c>
      <c r="X337" s="18">
        <v>35962.36</v>
      </c>
      <c r="Y337" s="19">
        <v>31341.38</v>
      </c>
      <c r="Z337" s="19">
        <v>4620.97</v>
      </c>
      <c r="AA337" s="20">
        <v>0.1474</v>
      </c>
      <c r="AB337" s="18">
        <v>31681.22</v>
      </c>
      <c r="AC337" s="19">
        <v>27067.79</v>
      </c>
      <c r="AD337" s="19">
        <v>4613.43</v>
      </c>
      <c r="AE337" s="20">
        <v>0.1704</v>
      </c>
      <c r="AF337" s="2"/>
      <c r="AM337" s="4"/>
    </row>
    <row r="338" spans="1:39" x14ac:dyDescent="0.35">
      <c r="A338" s="16" t="s">
        <v>95</v>
      </c>
      <c r="B338" s="17" t="s">
        <v>80</v>
      </c>
      <c r="C338" s="17" t="s">
        <v>75</v>
      </c>
      <c r="D338" s="18">
        <v>9175513.2799999993</v>
      </c>
      <c r="E338" s="19">
        <v>8355199.7699999996</v>
      </c>
      <c r="F338" s="19">
        <v>820313.51</v>
      </c>
      <c r="G338" s="20">
        <v>9.8199999999999996E-2</v>
      </c>
      <c r="H338" s="18">
        <v>68816.350000000006</v>
      </c>
      <c r="I338" s="19">
        <v>62210.81</v>
      </c>
      <c r="J338" s="19">
        <v>6605.54</v>
      </c>
      <c r="K338" s="20">
        <v>0.1062</v>
      </c>
      <c r="L338" s="18">
        <v>24085.72</v>
      </c>
      <c r="M338" s="19">
        <v>21425.15</v>
      </c>
      <c r="N338" s="19">
        <v>2660.57</v>
      </c>
      <c r="O338" s="20">
        <v>0.1242</v>
      </c>
      <c r="P338" s="18">
        <v>825.8</v>
      </c>
      <c r="Q338" s="19">
        <v>728.1</v>
      </c>
      <c r="R338" s="19">
        <v>97.7</v>
      </c>
      <c r="S338" s="20">
        <v>0.13420000000000001</v>
      </c>
      <c r="T338" s="18">
        <v>43904.83</v>
      </c>
      <c r="U338" s="19">
        <v>39299.69</v>
      </c>
      <c r="V338" s="19">
        <v>4605.1400000000003</v>
      </c>
      <c r="W338" s="20">
        <v>0.1172</v>
      </c>
      <c r="X338" s="18">
        <v>27073.53</v>
      </c>
      <c r="Y338" s="19">
        <v>23997.53</v>
      </c>
      <c r="Z338" s="19">
        <v>3076</v>
      </c>
      <c r="AA338" s="20">
        <v>0.12820000000000001</v>
      </c>
      <c r="AB338" s="18">
        <v>16831.3</v>
      </c>
      <c r="AC338" s="19">
        <v>14620.91</v>
      </c>
      <c r="AD338" s="19">
        <v>2210.39</v>
      </c>
      <c r="AE338" s="20">
        <v>0.1512</v>
      </c>
      <c r="AF338" s="2"/>
      <c r="AM338" s="4"/>
    </row>
    <row r="339" spans="1:39" x14ac:dyDescent="0.35">
      <c r="A339" s="16" t="s">
        <v>95</v>
      </c>
      <c r="B339" s="17" t="s">
        <v>80</v>
      </c>
      <c r="C339" s="17" t="s">
        <v>76</v>
      </c>
      <c r="D339" s="18">
        <v>13785537.83</v>
      </c>
      <c r="E339" s="19">
        <v>12309834.83</v>
      </c>
      <c r="F339" s="19">
        <v>1475703</v>
      </c>
      <c r="G339" s="20">
        <v>0.11990000000000001</v>
      </c>
      <c r="H339" s="18">
        <v>144748.15</v>
      </c>
      <c r="I339" s="19">
        <v>128336.48</v>
      </c>
      <c r="J339" s="19">
        <v>16411.669999999998</v>
      </c>
      <c r="K339" s="20">
        <v>0.12790000000000001</v>
      </c>
      <c r="L339" s="18">
        <v>40529.480000000003</v>
      </c>
      <c r="M339" s="19">
        <v>35369.74</v>
      </c>
      <c r="N339" s="19">
        <v>5159.74</v>
      </c>
      <c r="O339" s="20">
        <v>0.1459</v>
      </c>
      <c r="P339" s="18">
        <v>1240.7</v>
      </c>
      <c r="Q339" s="19">
        <v>1073.3800000000001</v>
      </c>
      <c r="R339" s="19">
        <v>167.32</v>
      </c>
      <c r="S339" s="20">
        <v>0.15590000000000001</v>
      </c>
      <c r="T339" s="18">
        <v>102977.97</v>
      </c>
      <c r="U339" s="19">
        <v>90420.39</v>
      </c>
      <c r="V339" s="19">
        <v>12557.58</v>
      </c>
      <c r="W339" s="20">
        <v>0.1389</v>
      </c>
      <c r="X339" s="18">
        <v>56946.41</v>
      </c>
      <c r="Y339" s="19">
        <v>49523.78</v>
      </c>
      <c r="Z339" s="19">
        <v>7422.62</v>
      </c>
      <c r="AA339" s="20">
        <v>0.14990000000000001</v>
      </c>
      <c r="AB339" s="18">
        <v>46031.56</v>
      </c>
      <c r="AC339" s="19">
        <v>39246.61</v>
      </c>
      <c r="AD339" s="19">
        <v>6784.95</v>
      </c>
      <c r="AE339" s="20">
        <v>0.1729</v>
      </c>
      <c r="AF339" s="2"/>
      <c r="AM339" s="4"/>
    </row>
    <row r="340" spans="1:39" x14ac:dyDescent="0.35">
      <c r="A340" s="16" t="s">
        <v>95</v>
      </c>
      <c r="B340" s="17" t="s">
        <v>80</v>
      </c>
      <c r="C340" s="17" t="s">
        <v>77</v>
      </c>
      <c r="D340" s="18">
        <v>22445470.059999999</v>
      </c>
      <c r="E340" s="19">
        <v>20346891.649999999</v>
      </c>
      <c r="F340" s="19">
        <v>2098578.41</v>
      </c>
      <c r="G340" s="20">
        <v>0.1031</v>
      </c>
      <c r="H340" s="18">
        <v>145895.56</v>
      </c>
      <c r="I340" s="19">
        <v>131302.59</v>
      </c>
      <c r="J340" s="19">
        <v>14592.97</v>
      </c>
      <c r="K340" s="20">
        <v>0.1111</v>
      </c>
      <c r="L340" s="18">
        <v>46686.58</v>
      </c>
      <c r="M340" s="19">
        <v>41347.03</v>
      </c>
      <c r="N340" s="19">
        <v>5339.55</v>
      </c>
      <c r="O340" s="20">
        <v>0.12909999999999999</v>
      </c>
      <c r="P340" s="18">
        <v>2020.09</v>
      </c>
      <c r="Q340" s="19">
        <v>1773.35</v>
      </c>
      <c r="R340" s="19">
        <v>246.74</v>
      </c>
      <c r="S340" s="20">
        <v>0.1391</v>
      </c>
      <c r="T340" s="18">
        <v>97188.89</v>
      </c>
      <c r="U340" s="19">
        <v>86610.31</v>
      </c>
      <c r="V340" s="19">
        <v>10578.58</v>
      </c>
      <c r="W340" s="20">
        <v>0.1221</v>
      </c>
      <c r="X340" s="18">
        <v>57397.82</v>
      </c>
      <c r="Y340" s="19">
        <v>50653.78</v>
      </c>
      <c r="Z340" s="19">
        <v>6744.04</v>
      </c>
      <c r="AA340" s="20">
        <v>0.1331</v>
      </c>
      <c r="AB340" s="18">
        <v>39791.07</v>
      </c>
      <c r="AC340" s="19">
        <v>34417.17</v>
      </c>
      <c r="AD340" s="19">
        <v>5373.9</v>
      </c>
      <c r="AE340" s="20">
        <v>0.15609999999999999</v>
      </c>
      <c r="AF340" s="2"/>
      <c r="AM340" s="4"/>
    </row>
    <row r="341" spans="1:39" x14ac:dyDescent="0.35">
      <c r="A341" s="16" t="s">
        <v>95</v>
      </c>
      <c r="B341" s="17" t="s">
        <v>80</v>
      </c>
      <c r="C341" s="17" t="s">
        <v>78</v>
      </c>
      <c r="D341" s="18">
        <v>5834440.46</v>
      </c>
      <c r="E341" s="19">
        <v>5768791.6100000003</v>
      </c>
      <c r="F341" s="19">
        <v>65648.850000000006</v>
      </c>
      <c r="G341" s="20">
        <v>1.14E-2</v>
      </c>
      <c r="H341" s="18">
        <v>17503.32</v>
      </c>
      <c r="I341" s="19">
        <v>17170.55</v>
      </c>
      <c r="J341" s="19">
        <v>332.77</v>
      </c>
      <c r="K341" s="20">
        <v>1.9400000000000001E-2</v>
      </c>
      <c r="L341" s="18">
        <v>3150.6</v>
      </c>
      <c r="M341" s="19">
        <v>3037.07</v>
      </c>
      <c r="N341" s="19">
        <v>113.53</v>
      </c>
      <c r="O341" s="20">
        <v>3.7400000000000003E-2</v>
      </c>
      <c r="P341" s="18">
        <v>525.1</v>
      </c>
      <c r="Q341" s="19">
        <v>501.35</v>
      </c>
      <c r="R341" s="19">
        <v>23.75</v>
      </c>
      <c r="S341" s="20">
        <v>4.7399999999999998E-2</v>
      </c>
      <c r="T341" s="18">
        <v>13827.62</v>
      </c>
      <c r="U341" s="19">
        <v>13419.92</v>
      </c>
      <c r="V341" s="19">
        <v>407.7</v>
      </c>
      <c r="W341" s="20">
        <v>3.04E-2</v>
      </c>
      <c r="X341" s="18">
        <v>6886.11</v>
      </c>
      <c r="Y341" s="19">
        <v>6612.48</v>
      </c>
      <c r="Z341" s="19">
        <v>273.62</v>
      </c>
      <c r="AA341" s="20">
        <v>4.1399999999999999E-2</v>
      </c>
      <c r="AB341" s="18">
        <v>6941.51</v>
      </c>
      <c r="AC341" s="19">
        <v>6521.65</v>
      </c>
      <c r="AD341" s="19">
        <v>419.86</v>
      </c>
      <c r="AE341" s="20">
        <v>6.4399999999999999E-2</v>
      </c>
      <c r="AF341" s="2"/>
      <c r="AM341" s="4"/>
    </row>
    <row r="342" spans="1:39" x14ac:dyDescent="0.35">
      <c r="A342" s="16" t="s">
        <v>95</v>
      </c>
      <c r="B342" s="17" t="s">
        <v>80</v>
      </c>
      <c r="C342" s="17" t="s">
        <v>79</v>
      </c>
      <c r="D342" s="18">
        <v>8942729.9600000009</v>
      </c>
      <c r="E342" s="19">
        <v>8189463.1399999997</v>
      </c>
      <c r="F342" s="19">
        <v>753266.82</v>
      </c>
      <c r="G342" s="20">
        <v>9.1999999999999998E-2</v>
      </c>
      <c r="H342" s="18">
        <v>40242.28</v>
      </c>
      <c r="I342" s="19">
        <v>36584.559999999998</v>
      </c>
      <c r="J342" s="19">
        <v>3657.72</v>
      </c>
      <c r="K342" s="20">
        <v>0.1</v>
      </c>
      <c r="L342" s="18">
        <v>8853.2999999999993</v>
      </c>
      <c r="M342" s="19">
        <v>7919.01</v>
      </c>
      <c r="N342" s="19">
        <v>934.29</v>
      </c>
      <c r="O342" s="20">
        <v>0.11799999999999999</v>
      </c>
      <c r="P342" s="18">
        <v>804.85</v>
      </c>
      <c r="Q342" s="19">
        <v>713.53</v>
      </c>
      <c r="R342" s="19">
        <v>91.32</v>
      </c>
      <c r="S342" s="20">
        <v>0.128</v>
      </c>
      <c r="T342" s="18">
        <v>30584.14</v>
      </c>
      <c r="U342" s="19">
        <v>27528.97</v>
      </c>
      <c r="V342" s="19">
        <v>3055.17</v>
      </c>
      <c r="W342" s="20">
        <v>0.111</v>
      </c>
      <c r="X342" s="18">
        <v>15832</v>
      </c>
      <c r="Y342" s="19">
        <v>14110.77</v>
      </c>
      <c r="Z342" s="19">
        <v>1721.23</v>
      </c>
      <c r="AA342" s="20">
        <v>0.122</v>
      </c>
      <c r="AB342" s="18">
        <v>14752.14</v>
      </c>
      <c r="AC342" s="19">
        <v>12884.19</v>
      </c>
      <c r="AD342" s="19">
        <v>1867.95</v>
      </c>
      <c r="AE342" s="20">
        <v>0.14499999999999999</v>
      </c>
      <c r="AF342" s="2"/>
      <c r="AM342" s="4"/>
    </row>
    <row r="343" spans="1:39" x14ac:dyDescent="0.35">
      <c r="A343" s="16" t="s">
        <v>95</v>
      </c>
      <c r="B343" s="17" t="s">
        <v>81</v>
      </c>
      <c r="C343" s="17" t="s">
        <v>75</v>
      </c>
      <c r="D343" s="18">
        <v>14834509.699999999</v>
      </c>
      <c r="E343" s="19">
        <v>13305686.34</v>
      </c>
      <c r="F343" s="19">
        <v>1528823.36</v>
      </c>
      <c r="G343" s="20">
        <v>0.1149</v>
      </c>
      <c r="H343" s="18">
        <v>111258.82</v>
      </c>
      <c r="I343" s="19">
        <v>99081.68</v>
      </c>
      <c r="J343" s="19">
        <v>12177.14</v>
      </c>
      <c r="K343" s="20">
        <v>0.1229</v>
      </c>
      <c r="L343" s="18">
        <v>38940.589999999997</v>
      </c>
      <c r="M343" s="19">
        <v>34131.47</v>
      </c>
      <c r="N343" s="19">
        <v>4809.12</v>
      </c>
      <c r="O343" s="20">
        <v>0.1409</v>
      </c>
      <c r="P343" s="18">
        <v>2966.9</v>
      </c>
      <c r="Q343" s="19">
        <v>2577.9</v>
      </c>
      <c r="R343" s="19">
        <v>389</v>
      </c>
      <c r="S343" s="20">
        <v>0.15090000000000001</v>
      </c>
      <c r="T343" s="18">
        <v>69351.33</v>
      </c>
      <c r="U343" s="19">
        <v>61161.77</v>
      </c>
      <c r="V343" s="19">
        <v>8189.56</v>
      </c>
      <c r="W343" s="20">
        <v>0.13389999999999999</v>
      </c>
      <c r="X343" s="18">
        <v>43771.13</v>
      </c>
      <c r="Y343" s="19">
        <v>38231.4</v>
      </c>
      <c r="Z343" s="19">
        <v>5539.73</v>
      </c>
      <c r="AA343" s="20">
        <v>0.1449</v>
      </c>
      <c r="AB343" s="18">
        <v>25580.2</v>
      </c>
      <c r="AC343" s="19">
        <v>21902.73</v>
      </c>
      <c r="AD343" s="19">
        <v>3677.47</v>
      </c>
      <c r="AE343" s="20">
        <v>0.16789999999999999</v>
      </c>
      <c r="AF343" s="2"/>
      <c r="AM343" s="4"/>
    </row>
    <row r="344" spans="1:39" x14ac:dyDescent="0.35">
      <c r="A344" s="16" t="s">
        <v>95</v>
      </c>
      <c r="B344" s="17" t="s">
        <v>81</v>
      </c>
      <c r="C344" s="17" t="s">
        <v>76</v>
      </c>
      <c r="D344" s="18">
        <v>22320681.670000002</v>
      </c>
      <c r="E344" s="19">
        <v>19638115.140000001</v>
      </c>
      <c r="F344" s="19">
        <v>2682566.5299999998</v>
      </c>
      <c r="G344" s="20">
        <v>0.1366</v>
      </c>
      <c r="H344" s="18">
        <v>234367.16</v>
      </c>
      <c r="I344" s="19">
        <v>204759.01</v>
      </c>
      <c r="J344" s="19">
        <v>29608.15</v>
      </c>
      <c r="K344" s="20">
        <v>0.14460000000000001</v>
      </c>
      <c r="L344" s="18">
        <v>65622.8</v>
      </c>
      <c r="M344" s="19">
        <v>56444.86</v>
      </c>
      <c r="N344" s="19">
        <v>9177.94</v>
      </c>
      <c r="O344" s="20">
        <v>0.16259999999999999</v>
      </c>
      <c r="P344" s="18">
        <v>4464.1400000000003</v>
      </c>
      <c r="Q344" s="19">
        <v>3807.04</v>
      </c>
      <c r="R344" s="19">
        <v>657.1</v>
      </c>
      <c r="S344" s="20">
        <v>0.1726</v>
      </c>
      <c r="T344" s="18">
        <v>164280.22</v>
      </c>
      <c r="U344" s="19">
        <v>142160.10999999999</v>
      </c>
      <c r="V344" s="19">
        <v>22120.11</v>
      </c>
      <c r="W344" s="20">
        <v>0.15559999999999999</v>
      </c>
      <c r="X344" s="18">
        <v>92204.07</v>
      </c>
      <c r="Y344" s="19">
        <v>79036.570000000007</v>
      </c>
      <c r="Z344" s="19">
        <v>13167.49</v>
      </c>
      <c r="AA344" s="20">
        <v>0.1666</v>
      </c>
      <c r="AB344" s="18">
        <v>72076.149999999994</v>
      </c>
      <c r="AC344" s="19">
        <v>60588.56</v>
      </c>
      <c r="AD344" s="19">
        <v>11487.59</v>
      </c>
      <c r="AE344" s="20">
        <v>0.18959999999999999</v>
      </c>
      <c r="AF344" s="2"/>
      <c r="AM344" s="4"/>
    </row>
    <row r="345" spans="1:39" x14ac:dyDescent="0.35">
      <c r="A345" s="16" t="s">
        <v>95</v>
      </c>
      <c r="B345" s="17" t="s">
        <v>81</v>
      </c>
      <c r="C345" s="17" t="s">
        <v>77</v>
      </c>
      <c r="D345" s="18">
        <v>36288710.32</v>
      </c>
      <c r="E345" s="19">
        <v>32404684.800000001</v>
      </c>
      <c r="F345" s="19">
        <v>3884025.52</v>
      </c>
      <c r="G345" s="20">
        <v>0.11990000000000001</v>
      </c>
      <c r="H345" s="18">
        <v>235876.62</v>
      </c>
      <c r="I345" s="19">
        <v>209136.44</v>
      </c>
      <c r="J345" s="19">
        <v>26740.18</v>
      </c>
      <c r="K345" s="20">
        <v>0.12790000000000001</v>
      </c>
      <c r="L345" s="18">
        <v>75480.52</v>
      </c>
      <c r="M345" s="19">
        <v>65872.38</v>
      </c>
      <c r="N345" s="19">
        <v>9608.14</v>
      </c>
      <c r="O345" s="20">
        <v>0.1459</v>
      </c>
      <c r="P345" s="18">
        <v>7257.74</v>
      </c>
      <c r="Q345" s="19">
        <v>6279.08</v>
      </c>
      <c r="R345" s="19">
        <v>978.66</v>
      </c>
      <c r="S345" s="20">
        <v>0.15590000000000001</v>
      </c>
      <c r="T345" s="18">
        <v>153138.35999999999</v>
      </c>
      <c r="U345" s="19">
        <v>134466.35999999999</v>
      </c>
      <c r="V345" s="19">
        <v>18672</v>
      </c>
      <c r="W345" s="20">
        <v>0.1389</v>
      </c>
      <c r="X345" s="18">
        <v>92797.91</v>
      </c>
      <c r="Y345" s="19">
        <v>80703.66</v>
      </c>
      <c r="Z345" s="19">
        <v>12094.25</v>
      </c>
      <c r="AA345" s="20">
        <v>0.14990000000000001</v>
      </c>
      <c r="AB345" s="18">
        <v>60340.45</v>
      </c>
      <c r="AC345" s="19">
        <v>51447.27</v>
      </c>
      <c r="AD345" s="19">
        <v>8893.18</v>
      </c>
      <c r="AE345" s="20">
        <v>0.1729</v>
      </c>
      <c r="AF345" s="2"/>
      <c r="AM345" s="4"/>
    </row>
    <row r="346" spans="1:39" x14ac:dyDescent="0.35">
      <c r="A346" s="16" t="s">
        <v>95</v>
      </c>
      <c r="B346" s="17" t="s">
        <v>81</v>
      </c>
      <c r="C346" s="17" t="s">
        <v>78</v>
      </c>
      <c r="D346" s="18">
        <v>9446761.5099999998</v>
      </c>
      <c r="E346" s="19">
        <v>9188562.8900000006</v>
      </c>
      <c r="F346" s="19">
        <v>258198.62</v>
      </c>
      <c r="G346" s="20">
        <v>2.81E-2</v>
      </c>
      <c r="H346" s="18">
        <v>28340.28</v>
      </c>
      <c r="I346" s="19">
        <v>27352.84</v>
      </c>
      <c r="J346" s="19">
        <v>987.44</v>
      </c>
      <c r="K346" s="20">
        <v>3.61E-2</v>
      </c>
      <c r="L346" s="18">
        <v>5101.25</v>
      </c>
      <c r="M346" s="19">
        <v>4839.4399999999996</v>
      </c>
      <c r="N346" s="19">
        <v>261.81</v>
      </c>
      <c r="O346" s="20">
        <v>5.4100000000000002E-2</v>
      </c>
      <c r="P346" s="18">
        <v>1889.35</v>
      </c>
      <c r="Q346" s="19">
        <v>1775.54</v>
      </c>
      <c r="R346" s="19">
        <v>113.81</v>
      </c>
      <c r="S346" s="20">
        <v>6.4100000000000004E-2</v>
      </c>
      <c r="T346" s="18">
        <v>21349.68</v>
      </c>
      <c r="U346" s="19">
        <v>20389.34</v>
      </c>
      <c r="V346" s="19">
        <v>960.34</v>
      </c>
      <c r="W346" s="20">
        <v>4.7100000000000003E-2</v>
      </c>
      <c r="X346" s="18">
        <v>11149.55</v>
      </c>
      <c r="Y346" s="19">
        <v>10537.33</v>
      </c>
      <c r="Z346" s="19">
        <v>612.22</v>
      </c>
      <c r="AA346" s="20">
        <v>5.8099999999999999E-2</v>
      </c>
      <c r="AB346" s="18">
        <v>10200.129999999999</v>
      </c>
      <c r="AC346" s="19">
        <v>9434.9500000000007</v>
      </c>
      <c r="AD346" s="19">
        <v>765.17</v>
      </c>
      <c r="AE346" s="20">
        <v>8.1100000000000005E-2</v>
      </c>
      <c r="AF346" s="2"/>
      <c r="AM346" s="4"/>
    </row>
    <row r="347" spans="1:39" x14ac:dyDescent="0.35">
      <c r="A347" s="16" t="s">
        <v>95</v>
      </c>
      <c r="B347" s="17" t="s">
        <v>81</v>
      </c>
      <c r="C347" s="17" t="s">
        <v>79</v>
      </c>
      <c r="D347" s="18">
        <v>14479509.689999999</v>
      </c>
      <c r="E347" s="19">
        <v>13059898.699999999</v>
      </c>
      <c r="F347" s="19">
        <v>1419610.99</v>
      </c>
      <c r="G347" s="20">
        <v>0.1087</v>
      </c>
      <c r="H347" s="18">
        <v>65157.79</v>
      </c>
      <c r="I347" s="19">
        <v>58348.52</v>
      </c>
      <c r="J347" s="19">
        <v>6809.27</v>
      </c>
      <c r="K347" s="20">
        <v>0.1167</v>
      </c>
      <c r="L347" s="18">
        <v>14334.71</v>
      </c>
      <c r="M347" s="19">
        <v>12633.04</v>
      </c>
      <c r="N347" s="19">
        <v>1701.67</v>
      </c>
      <c r="O347" s="20">
        <v>0.13469999999999999</v>
      </c>
      <c r="P347" s="18">
        <v>2895.9</v>
      </c>
      <c r="Q347" s="19">
        <v>2529.83</v>
      </c>
      <c r="R347" s="19">
        <v>366.07</v>
      </c>
      <c r="S347" s="20">
        <v>0.1447</v>
      </c>
      <c r="T347" s="18">
        <v>47927.18</v>
      </c>
      <c r="U347" s="19">
        <v>42499.94</v>
      </c>
      <c r="V347" s="19">
        <v>5427.24</v>
      </c>
      <c r="W347" s="20">
        <v>0.12770000000000001</v>
      </c>
      <c r="X347" s="18">
        <v>25634.19</v>
      </c>
      <c r="Y347" s="19">
        <v>22511.81</v>
      </c>
      <c r="Z347" s="19">
        <v>3122.39</v>
      </c>
      <c r="AA347" s="20">
        <v>0.13869999999999999</v>
      </c>
      <c r="AB347" s="18">
        <v>22292.99</v>
      </c>
      <c r="AC347" s="19">
        <v>19189.97</v>
      </c>
      <c r="AD347" s="19">
        <v>3103.02</v>
      </c>
      <c r="AE347" s="20">
        <v>0.16170000000000001</v>
      </c>
      <c r="AF347" s="2"/>
      <c r="AM347" s="4"/>
    </row>
    <row r="348" spans="1:39" x14ac:dyDescent="0.35">
      <c r="A348" s="16" t="s">
        <v>95</v>
      </c>
      <c r="B348" s="17" t="s">
        <v>82</v>
      </c>
      <c r="C348" s="17" t="s">
        <v>75</v>
      </c>
      <c r="D348" s="18">
        <v>17224706.100000001</v>
      </c>
      <c r="E348" s="19">
        <v>15544921.85</v>
      </c>
      <c r="F348" s="19">
        <v>1679784.25</v>
      </c>
      <c r="G348" s="20">
        <v>0.1081</v>
      </c>
      <c r="H348" s="18">
        <v>129185.3</v>
      </c>
      <c r="I348" s="19">
        <v>115751.21</v>
      </c>
      <c r="J348" s="19">
        <v>13434.09</v>
      </c>
      <c r="K348" s="20">
        <v>0.11609999999999999</v>
      </c>
      <c r="L348" s="18">
        <v>45214.85</v>
      </c>
      <c r="M348" s="19">
        <v>39869.89</v>
      </c>
      <c r="N348" s="19">
        <v>5344.96</v>
      </c>
      <c r="O348" s="20">
        <v>0.1341</v>
      </c>
      <c r="P348" s="18">
        <v>2583.71</v>
      </c>
      <c r="Q348" s="19">
        <v>2258.37</v>
      </c>
      <c r="R348" s="19">
        <v>325.33999999999997</v>
      </c>
      <c r="S348" s="20">
        <v>0.14410000000000001</v>
      </c>
      <c r="T348" s="18">
        <v>81386.740000000005</v>
      </c>
      <c r="U348" s="19">
        <v>72211.539999999994</v>
      </c>
      <c r="V348" s="19">
        <v>9175.2000000000007</v>
      </c>
      <c r="W348" s="20">
        <v>0.12709999999999999</v>
      </c>
      <c r="X348" s="18">
        <v>50823.72</v>
      </c>
      <c r="Y348" s="19">
        <v>44658.2</v>
      </c>
      <c r="Z348" s="19">
        <v>6165.51</v>
      </c>
      <c r="AA348" s="20">
        <v>0.1381</v>
      </c>
      <c r="AB348" s="18">
        <v>30563.02</v>
      </c>
      <c r="AC348" s="19">
        <v>26323.38</v>
      </c>
      <c r="AD348" s="19">
        <v>4239.6400000000003</v>
      </c>
      <c r="AE348" s="20">
        <v>0.16109999999999999</v>
      </c>
      <c r="AF348" s="2"/>
      <c r="AM348" s="4"/>
    </row>
    <row r="349" spans="1:39" x14ac:dyDescent="0.35">
      <c r="A349" s="16" t="s">
        <v>95</v>
      </c>
      <c r="B349" s="17" t="s">
        <v>82</v>
      </c>
      <c r="C349" s="17" t="s">
        <v>76</v>
      </c>
      <c r="D349" s="18">
        <v>25910855.989999998</v>
      </c>
      <c r="E349" s="19">
        <v>22934832.170000002</v>
      </c>
      <c r="F349" s="19">
        <v>2976023.82</v>
      </c>
      <c r="G349" s="20">
        <v>0.1298</v>
      </c>
      <c r="H349" s="18">
        <v>272063.99</v>
      </c>
      <c r="I349" s="19">
        <v>239122.48</v>
      </c>
      <c r="J349" s="19">
        <v>32941.51</v>
      </c>
      <c r="K349" s="20">
        <v>0.13780000000000001</v>
      </c>
      <c r="L349" s="18">
        <v>76177.919999999998</v>
      </c>
      <c r="M349" s="19">
        <v>65911.539999999994</v>
      </c>
      <c r="N349" s="19">
        <v>10266.379999999999</v>
      </c>
      <c r="O349" s="20">
        <v>0.15579999999999999</v>
      </c>
      <c r="P349" s="18">
        <v>3886.63</v>
      </c>
      <c r="Q349" s="19">
        <v>3333.99</v>
      </c>
      <c r="R349" s="19">
        <v>552.64</v>
      </c>
      <c r="S349" s="20">
        <v>0.1658</v>
      </c>
      <c r="T349" s="18">
        <v>191999.44</v>
      </c>
      <c r="U349" s="19">
        <v>167136.25</v>
      </c>
      <c r="V349" s="19">
        <v>24863.19</v>
      </c>
      <c r="W349" s="20">
        <v>0.14879999999999999</v>
      </c>
      <c r="X349" s="18">
        <v>107034.65</v>
      </c>
      <c r="Y349" s="19">
        <v>92290.34</v>
      </c>
      <c r="Z349" s="19">
        <v>14744.3</v>
      </c>
      <c r="AA349" s="20">
        <v>0.1598</v>
      </c>
      <c r="AB349" s="18">
        <v>84964.79</v>
      </c>
      <c r="AC349" s="19">
        <v>71836.039999999994</v>
      </c>
      <c r="AD349" s="19">
        <v>13128.75</v>
      </c>
      <c r="AE349" s="20">
        <v>0.18279999999999999</v>
      </c>
      <c r="AF349" s="2"/>
      <c r="AM349" s="4"/>
    </row>
    <row r="350" spans="1:39" x14ac:dyDescent="0.35">
      <c r="A350" s="16" t="s">
        <v>95</v>
      </c>
      <c r="B350" s="17" t="s">
        <v>82</v>
      </c>
      <c r="C350" s="17" t="s">
        <v>77</v>
      </c>
      <c r="D350" s="18">
        <v>42135694.579999998</v>
      </c>
      <c r="E350" s="19">
        <v>37857086.649999999</v>
      </c>
      <c r="F350" s="19">
        <v>4278607.93</v>
      </c>
      <c r="G350" s="20">
        <v>0.113</v>
      </c>
      <c r="H350" s="18">
        <v>273882.01</v>
      </c>
      <c r="I350" s="19">
        <v>244315.01</v>
      </c>
      <c r="J350" s="19">
        <v>29567</v>
      </c>
      <c r="K350" s="20">
        <v>0.121</v>
      </c>
      <c r="L350" s="18">
        <v>87642.240000000005</v>
      </c>
      <c r="M350" s="19">
        <v>76945.3</v>
      </c>
      <c r="N350" s="19">
        <v>10696.94</v>
      </c>
      <c r="O350" s="20">
        <v>0.13900000000000001</v>
      </c>
      <c r="P350" s="18">
        <v>6320.35</v>
      </c>
      <c r="Q350" s="19">
        <v>5500.64</v>
      </c>
      <c r="R350" s="19">
        <v>819.71</v>
      </c>
      <c r="S350" s="20">
        <v>0.14899999999999999</v>
      </c>
      <c r="T350" s="18">
        <v>179919.42</v>
      </c>
      <c r="U350" s="19">
        <v>158936.60999999999</v>
      </c>
      <c r="V350" s="19">
        <v>20982.81</v>
      </c>
      <c r="W350" s="20">
        <v>0.13200000000000001</v>
      </c>
      <c r="X350" s="18">
        <v>107749.89</v>
      </c>
      <c r="Y350" s="19">
        <v>94267.72</v>
      </c>
      <c r="Z350" s="19">
        <v>13482.17</v>
      </c>
      <c r="AA350" s="20">
        <v>0.14299999999999999</v>
      </c>
      <c r="AB350" s="18">
        <v>72169.53</v>
      </c>
      <c r="AC350" s="19">
        <v>61893.91</v>
      </c>
      <c r="AD350" s="19">
        <v>10275.629999999999</v>
      </c>
      <c r="AE350" s="20">
        <v>0.16600000000000001</v>
      </c>
      <c r="AF350" s="2"/>
      <c r="AM350" s="4"/>
    </row>
    <row r="351" spans="1:39" x14ac:dyDescent="0.35">
      <c r="A351" s="16" t="s">
        <v>95</v>
      </c>
      <c r="B351" s="17" t="s">
        <v>82</v>
      </c>
      <c r="C351" s="17" t="s">
        <v>78</v>
      </c>
      <c r="D351" s="18">
        <v>10966227.67</v>
      </c>
      <c r="E351" s="19">
        <v>10737939.09</v>
      </c>
      <c r="F351" s="19">
        <v>228288.58</v>
      </c>
      <c r="G351" s="20">
        <v>2.1299999999999999E-2</v>
      </c>
      <c r="H351" s="18">
        <v>32898.68</v>
      </c>
      <c r="I351" s="19">
        <v>31963.43</v>
      </c>
      <c r="J351" s="19">
        <v>935.25</v>
      </c>
      <c r="K351" s="20">
        <v>2.93E-2</v>
      </c>
      <c r="L351" s="18">
        <v>5921.76</v>
      </c>
      <c r="M351" s="19">
        <v>5654.53</v>
      </c>
      <c r="N351" s="19">
        <v>267.23</v>
      </c>
      <c r="O351" s="20">
        <v>4.7300000000000002E-2</v>
      </c>
      <c r="P351" s="18">
        <v>1644.93</v>
      </c>
      <c r="Q351" s="19">
        <v>1555.84</v>
      </c>
      <c r="R351" s="19">
        <v>89.09</v>
      </c>
      <c r="S351" s="20">
        <v>5.7299999999999997E-2</v>
      </c>
      <c r="T351" s="18">
        <v>25331.99</v>
      </c>
      <c r="U351" s="19">
        <v>24351.59</v>
      </c>
      <c r="V351" s="19">
        <v>980.4</v>
      </c>
      <c r="W351" s="20">
        <v>4.0300000000000002E-2</v>
      </c>
      <c r="X351" s="18">
        <v>12942.91</v>
      </c>
      <c r="Y351" s="19">
        <v>12311.8</v>
      </c>
      <c r="Z351" s="19">
        <v>631.1</v>
      </c>
      <c r="AA351" s="20">
        <v>5.1299999999999998E-2</v>
      </c>
      <c r="AB351" s="18">
        <v>12389.08</v>
      </c>
      <c r="AC351" s="19">
        <v>11532.67</v>
      </c>
      <c r="AD351" s="19">
        <v>856.42</v>
      </c>
      <c r="AE351" s="20">
        <v>7.4300000000000005E-2</v>
      </c>
      <c r="AF351" s="2"/>
      <c r="AM351" s="4"/>
    </row>
    <row r="352" spans="1:39" x14ac:dyDescent="0.35">
      <c r="A352" s="16" t="s">
        <v>95</v>
      </c>
      <c r="B352" s="17" t="s">
        <v>82</v>
      </c>
      <c r="C352" s="17" t="s">
        <v>79</v>
      </c>
      <c r="D352" s="18">
        <v>16808469.199999999</v>
      </c>
      <c r="E352" s="19">
        <v>15254632.35</v>
      </c>
      <c r="F352" s="19">
        <v>1553836.85</v>
      </c>
      <c r="G352" s="20">
        <v>0.1019</v>
      </c>
      <c r="H352" s="18">
        <v>75638.11</v>
      </c>
      <c r="I352" s="19">
        <v>68151.039999999994</v>
      </c>
      <c r="J352" s="19">
        <v>7487.07</v>
      </c>
      <c r="K352" s="20">
        <v>0.1099</v>
      </c>
      <c r="L352" s="18">
        <v>16640.38</v>
      </c>
      <c r="M352" s="19">
        <v>14753.94</v>
      </c>
      <c r="N352" s="19">
        <v>1886.44</v>
      </c>
      <c r="O352" s="20">
        <v>0.12790000000000001</v>
      </c>
      <c r="P352" s="18">
        <v>2521.27</v>
      </c>
      <c r="Q352" s="19">
        <v>2215.8000000000002</v>
      </c>
      <c r="R352" s="19">
        <v>305.47000000000003</v>
      </c>
      <c r="S352" s="20">
        <v>0.13789999999999999</v>
      </c>
      <c r="T352" s="18">
        <v>56476.46</v>
      </c>
      <c r="U352" s="19">
        <v>50386.720000000001</v>
      </c>
      <c r="V352" s="19">
        <v>6089.74</v>
      </c>
      <c r="W352" s="20">
        <v>0.12089999999999999</v>
      </c>
      <c r="X352" s="18">
        <v>29757.33</v>
      </c>
      <c r="Y352" s="19">
        <v>26290.65</v>
      </c>
      <c r="Z352" s="19">
        <v>3466.68</v>
      </c>
      <c r="AA352" s="20">
        <v>0.13189999999999999</v>
      </c>
      <c r="AB352" s="18">
        <v>26719.13</v>
      </c>
      <c r="AC352" s="19">
        <v>23136.25</v>
      </c>
      <c r="AD352" s="19">
        <v>3582.88</v>
      </c>
      <c r="AE352" s="20">
        <v>0.15490000000000001</v>
      </c>
      <c r="AF352" s="2"/>
      <c r="AM352" s="4"/>
    </row>
    <row r="353" spans="1:39" x14ac:dyDescent="0.35">
      <c r="A353" s="16" t="s">
        <v>95</v>
      </c>
      <c r="B353" s="17" t="s">
        <v>83</v>
      </c>
      <c r="C353" s="17" t="s">
        <v>75</v>
      </c>
      <c r="D353" s="18">
        <v>12870217.01</v>
      </c>
      <c r="E353" s="19">
        <v>11659072.550000001</v>
      </c>
      <c r="F353" s="19">
        <v>1211144.46</v>
      </c>
      <c r="G353" s="20">
        <v>0.10390000000000001</v>
      </c>
      <c r="H353" s="18">
        <v>96526.63</v>
      </c>
      <c r="I353" s="19">
        <v>86813.89</v>
      </c>
      <c r="J353" s="19">
        <v>9712.74</v>
      </c>
      <c r="K353" s="20">
        <v>0.1119</v>
      </c>
      <c r="L353" s="18">
        <v>33784.32</v>
      </c>
      <c r="M353" s="19">
        <v>29900.799999999999</v>
      </c>
      <c r="N353" s="19">
        <v>3883.52</v>
      </c>
      <c r="O353" s="20">
        <v>0.12989999999999999</v>
      </c>
      <c r="P353" s="18">
        <v>1029.6199999999999</v>
      </c>
      <c r="Q353" s="19">
        <v>903.27</v>
      </c>
      <c r="R353" s="19">
        <v>126.35</v>
      </c>
      <c r="S353" s="20">
        <v>0.1399</v>
      </c>
      <c r="T353" s="18">
        <v>61712.69</v>
      </c>
      <c r="U353" s="19">
        <v>54959.29</v>
      </c>
      <c r="V353" s="19">
        <v>6753.4</v>
      </c>
      <c r="W353" s="20">
        <v>0.1229</v>
      </c>
      <c r="X353" s="18">
        <v>37975.230000000003</v>
      </c>
      <c r="Y353" s="19">
        <v>33491.4</v>
      </c>
      <c r="Z353" s="19">
        <v>4483.83</v>
      </c>
      <c r="AA353" s="20">
        <v>0.13389999999999999</v>
      </c>
      <c r="AB353" s="18">
        <v>23737.46</v>
      </c>
      <c r="AC353" s="19">
        <v>20518.509999999998</v>
      </c>
      <c r="AD353" s="19">
        <v>3218.94</v>
      </c>
      <c r="AE353" s="20">
        <v>0.15690000000000001</v>
      </c>
      <c r="AF353" s="2"/>
      <c r="AM353" s="4"/>
    </row>
    <row r="354" spans="1:39" x14ac:dyDescent="0.35">
      <c r="A354" s="16" t="s">
        <v>95</v>
      </c>
      <c r="B354" s="17" t="s">
        <v>83</v>
      </c>
      <c r="C354" s="17" t="s">
        <v>76</v>
      </c>
      <c r="D354" s="18">
        <v>19346255.210000001</v>
      </c>
      <c r="E354" s="19">
        <v>17187810.030000001</v>
      </c>
      <c r="F354" s="19">
        <v>2158445.1800000002</v>
      </c>
      <c r="G354" s="20">
        <v>0.12559999999999999</v>
      </c>
      <c r="H354" s="18">
        <v>203135.68</v>
      </c>
      <c r="I354" s="19">
        <v>179198.36</v>
      </c>
      <c r="J354" s="19">
        <v>23937.32</v>
      </c>
      <c r="K354" s="20">
        <v>0.1336</v>
      </c>
      <c r="L354" s="18">
        <v>56877.99</v>
      </c>
      <c r="M354" s="19">
        <v>49391.26</v>
      </c>
      <c r="N354" s="19">
        <v>7486.73</v>
      </c>
      <c r="O354" s="20">
        <v>0.15160000000000001</v>
      </c>
      <c r="P354" s="18">
        <v>1547.7</v>
      </c>
      <c r="Q354" s="19">
        <v>1332.41</v>
      </c>
      <c r="R354" s="19">
        <v>215.29</v>
      </c>
      <c r="S354" s="20">
        <v>0.16159999999999999</v>
      </c>
      <c r="T354" s="18">
        <v>144709.99</v>
      </c>
      <c r="U354" s="19">
        <v>126430.65</v>
      </c>
      <c r="V354" s="19">
        <v>18279.34</v>
      </c>
      <c r="W354" s="20">
        <v>0.14460000000000001</v>
      </c>
      <c r="X354" s="18">
        <v>79917.070000000007</v>
      </c>
      <c r="Y354" s="19">
        <v>69157.539999999994</v>
      </c>
      <c r="Z354" s="19">
        <v>10759.53</v>
      </c>
      <c r="AA354" s="20">
        <v>0.15559999999999999</v>
      </c>
      <c r="AB354" s="18">
        <v>64792.92</v>
      </c>
      <c r="AC354" s="19">
        <v>54975.41</v>
      </c>
      <c r="AD354" s="19">
        <v>9817.51</v>
      </c>
      <c r="AE354" s="20">
        <v>0.17860000000000001</v>
      </c>
      <c r="AF354" s="2"/>
      <c r="AM354" s="4"/>
    </row>
    <row r="355" spans="1:39" x14ac:dyDescent="0.35">
      <c r="A355" s="16" t="s">
        <v>95</v>
      </c>
      <c r="B355" s="17" t="s">
        <v>83</v>
      </c>
      <c r="C355" s="17" t="s">
        <v>77</v>
      </c>
      <c r="D355" s="18">
        <v>31483587</v>
      </c>
      <c r="E355" s="19">
        <v>28393264.129999999</v>
      </c>
      <c r="F355" s="19">
        <v>3090322.87</v>
      </c>
      <c r="G355" s="20">
        <v>0.10879999999999999</v>
      </c>
      <c r="H355" s="18">
        <v>204643.32</v>
      </c>
      <c r="I355" s="19">
        <v>183234.23</v>
      </c>
      <c r="J355" s="19">
        <v>21409.09</v>
      </c>
      <c r="K355" s="20">
        <v>0.1168</v>
      </c>
      <c r="L355" s="18">
        <v>65485.86</v>
      </c>
      <c r="M355" s="19">
        <v>57704.93</v>
      </c>
      <c r="N355" s="19">
        <v>7780.93</v>
      </c>
      <c r="O355" s="20">
        <v>0.1348</v>
      </c>
      <c r="P355" s="18">
        <v>2518.69</v>
      </c>
      <c r="Q355" s="19">
        <v>2200.04</v>
      </c>
      <c r="R355" s="19">
        <v>318.64999999999998</v>
      </c>
      <c r="S355" s="20">
        <v>0.14480000000000001</v>
      </c>
      <c r="T355" s="18">
        <v>136638.76999999999</v>
      </c>
      <c r="U355" s="19">
        <v>121150.85</v>
      </c>
      <c r="V355" s="19">
        <v>15487.92</v>
      </c>
      <c r="W355" s="20">
        <v>0.1278</v>
      </c>
      <c r="X355" s="18">
        <v>80510.2</v>
      </c>
      <c r="Y355" s="19">
        <v>70694.92</v>
      </c>
      <c r="Z355" s="19">
        <v>9815.2800000000007</v>
      </c>
      <c r="AA355" s="20">
        <v>0.13880000000000001</v>
      </c>
      <c r="AB355" s="18">
        <v>56128.57</v>
      </c>
      <c r="AC355" s="19">
        <v>48310.07</v>
      </c>
      <c r="AD355" s="19">
        <v>7818.5</v>
      </c>
      <c r="AE355" s="20">
        <v>0.1618</v>
      </c>
      <c r="AF355" s="2"/>
      <c r="AM355" s="4"/>
    </row>
    <row r="356" spans="1:39" x14ac:dyDescent="0.35">
      <c r="A356" s="16" t="s">
        <v>95</v>
      </c>
      <c r="B356" s="17" t="s">
        <v>83</v>
      </c>
      <c r="C356" s="17" t="s">
        <v>78</v>
      </c>
      <c r="D356" s="18">
        <v>8187897.7400000002</v>
      </c>
      <c r="E356" s="19">
        <v>8050396.96</v>
      </c>
      <c r="F356" s="19">
        <v>137500.78</v>
      </c>
      <c r="G356" s="20">
        <v>1.7100000000000001E-2</v>
      </c>
      <c r="H356" s="18">
        <v>24563.69</v>
      </c>
      <c r="I356" s="19">
        <v>23962.71</v>
      </c>
      <c r="J356" s="19">
        <v>600.98</v>
      </c>
      <c r="K356" s="20">
        <v>2.5100000000000001E-2</v>
      </c>
      <c r="L356" s="18">
        <v>4421.46</v>
      </c>
      <c r="M356" s="19">
        <v>4238.8500000000004</v>
      </c>
      <c r="N356" s="19">
        <v>182.61</v>
      </c>
      <c r="O356" s="20">
        <v>4.3099999999999999E-2</v>
      </c>
      <c r="P356" s="18">
        <v>655.03</v>
      </c>
      <c r="Q356" s="19">
        <v>622.01</v>
      </c>
      <c r="R356" s="19">
        <v>33.020000000000003</v>
      </c>
      <c r="S356" s="20">
        <v>5.3100000000000001E-2</v>
      </c>
      <c r="T356" s="18">
        <v>19487.2</v>
      </c>
      <c r="U356" s="19">
        <v>18808.59</v>
      </c>
      <c r="V356" s="19">
        <v>678.61</v>
      </c>
      <c r="W356" s="20">
        <v>3.61E-2</v>
      </c>
      <c r="X356" s="18">
        <v>9663.7800000000007</v>
      </c>
      <c r="Y356" s="19">
        <v>9229.26</v>
      </c>
      <c r="Z356" s="19">
        <v>434.51</v>
      </c>
      <c r="AA356" s="20">
        <v>4.7100000000000003E-2</v>
      </c>
      <c r="AB356" s="18">
        <v>9823.42</v>
      </c>
      <c r="AC356" s="19">
        <v>9180.08</v>
      </c>
      <c r="AD356" s="19">
        <v>643.34</v>
      </c>
      <c r="AE356" s="20">
        <v>7.0099999999999996E-2</v>
      </c>
      <c r="AF356" s="2"/>
      <c r="AM356" s="4"/>
    </row>
    <row r="357" spans="1:39" x14ac:dyDescent="0.35">
      <c r="A357" s="16" t="s">
        <v>95</v>
      </c>
      <c r="B357" s="17" t="s">
        <v>83</v>
      </c>
      <c r="C357" s="17" t="s">
        <v>79</v>
      </c>
      <c r="D357" s="18">
        <v>12549988.119999999</v>
      </c>
      <c r="E357" s="19">
        <v>11433193.75</v>
      </c>
      <c r="F357" s="19">
        <v>1116794.3700000001</v>
      </c>
      <c r="G357" s="20">
        <v>9.7699999999999995E-2</v>
      </c>
      <c r="H357" s="18">
        <v>56474.95</v>
      </c>
      <c r="I357" s="19">
        <v>51077.120000000003</v>
      </c>
      <c r="J357" s="19">
        <v>5397.83</v>
      </c>
      <c r="K357" s="20">
        <v>0.1057</v>
      </c>
      <c r="L357" s="18">
        <v>12424.49</v>
      </c>
      <c r="M357" s="19">
        <v>11056.96</v>
      </c>
      <c r="N357" s="19">
        <v>1367.53</v>
      </c>
      <c r="O357" s="20">
        <v>0.1237</v>
      </c>
      <c r="P357" s="18">
        <v>1004</v>
      </c>
      <c r="Q357" s="19">
        <v>885.61</v>
      </c>
      <c r="R357" s="19">
        <v>118.39</v>
      </c>
      <c r="S357" s="20">
        <v>0.13370000000000001</v>
      </c>
      <c r="T357" s="18">
        <v>43046.46</v>
      </c>
      <c r="U357" s="19">
        <v>38548.61</v>
      </c>
      <c r="V357" s="19">
        <v>4497.8500000000004</v>
      </c>
      <c r="W357" s="20">
        <v>0.1167</v>
      </c>
      <c r="X357" s="18">
        <v>22218.22</v>
      </c>
      <c r="Y357" s="19">
        <v>19702.59</v>
      </c>
      <c r="Z357" s="19">
        <v>2515.63</v>
      </c>
      <c r="AA357" s="20">
        <v>0.12770000000000001</v>
      </c>
      <c r="AB357" s="18">
        <v>20828.240000000002</v>
      </c>
      <c r="AC357" s="19">
        <v>18100.810000000001</v>
      </c>
      <c r="AD357" s="19">
        <v>2727.43</v>
      </c>
      <c r="AE357" s="20">
        <v>0.1507</v>
      </c>
      <c r="AF357" s="2"/>
      <c r="AM357" s="4"/>
    </row>
    <row r="358" spans="1:39" x14ac:dyDescent="0.35">
      <c r="A358" s="16" t="s">
        <v>95</v>
      </c>
      <c r="B358" s="17" t="s">
        <v>84</v>
      </c>
      <c r="C358" s="17" t="s">
        <v>75</v>
      </c>
      <c r="D358" s="18">
        <v>30537333.510000002</v>
      </c>
      <c r="E358" s="19">
        <v>27325005.829999998</v>
      </c>
      <c r="F358" s="19">
        <v>3212327.68</v>
      </c>
      <c r="G358" s="20">
        <v>0.1176</v>
      </c>
      <c r="H358" s="18">
        <v>229030</v>
      </c>
      <c r="I358" s="19">
        <v>203480.93</v>
      </c>
      <c r="J358" s="19">
        <v>25549.07</v>
      </c>
      <c r="K358" s="20">
        <v>0.12559999999999999</v>
      </c>
      <c r="L358" s="18">
        <v>80160.5</v>
      </c>
      <c r="M358" s="19">
        <v>70097.33</v>
      </c>
      <c r="N358" s="19">
        <v>10063.17</v>
      </c>
      <c r="O358" s="20">
        <v>0.14360000000000001</v>
      </c>
      <c r="P358" s="18">
        <v>2137.61</v>
      </c>
      <c r="Q358" s="19">
        <v>1853.05</v>
      </c>
      <c r="R358" s="19">
        <v>284.56</v>
      </c>
      <c r="S358" s="20">
        <v>0.15359999999999999</v>
      </c>
      <c r="T358" s="18">
        <v>146731.89000000001</v>
      </c>
      <c r="U358" s="19">
        <v>129101.75</v>
      </c>
      <c r="V358" s="19">
        <v>17630.14</v>
      </c>
      <c r="W358" s="20">
        <v>0.1366</v>
      </c>
      <c r="X358" s="18">
        <v>90104.34</v>
      </c>
      <c r="Y358" s="19">
        <v>78518.19</v>
      </c>
      <c r="Z358" s="19">
        <v>11586.14</v>
      </c>
      <c r="AA358" s="20">
        <v>0.14760000000000001</v>
      </c>
      <c r="AB358" s="18">
        <v>56627.55</v>
      </c>
      <c r="AC358" s="19">
        <v>48376.46</v>
      </c>
      <c r="AD358" s="19">
        <v>8251.09</v>
      </c>
      <c r="AE358" s="20">
        <v>0.1706</v>
      </c>
      <c r="AF358" s="2"/>
      <c r="AM358" s="4"/>
    </row>
    <row r="359" spans="1:39" x14ac:dyDescent="0.35">
      <c r="A359" s="16" t="s">
        <v>95</v>
      </c>
      <c r="B359" s="17" t="s">
        <v>84</v>
      </c>
      <c r="C359" s="17" t="s">
        <v>76</v>
      </c>
      <c r="D359" s="18">
        <v>45891666.25</v>
      </c>
      <c r="E359" s="19">
        <v>40281995.549999997</v>
      </c>
      <c r="F359" s="19">
        <v>5609670.7000000002</v>
      </c>
      <c r="G359" s="20">
        <v>0.13930000000000001</v>
      </c>
      <c r="H359" s="18">
        <v>481862.5</v>
      </c>
      <c r="I359" s="19">
        <v>420011.59</v>
      </c>
      <c r="J359" s="19">
        <v>61850.91</v>
      </c>
      <c r="K359" s="20">
        <v>0.14729999999999999</v>
      </c>
      <c r="L359" s="18">
        <v>134921.5</v>
      </c>
      <c r="M359" s="19">
        <v>115786.61</v>
      </c>
      <c r="N359" s="19">
        <v>19134.89</v>
      </c>
      <c r="O359" s="20">
        <v>0.1653</v>
      </c>
      <c r="P359" s="18">
        <v>3212.42</v>
      </c>
      <c r="Q359" s="19">
        <v>2733.37</v>
      </c>
      <c r="R359" s="19">
        <v>479.05</v>
      </c>
      <c r="S359" s="20">
        <v>0.17530000000000001</v>
      </c>
      <c r="T359" s="18">
        <v>343728.58</v>
      </c>
      <c r="U359" s="19">
        <v>296762.89</v>
      </c>
      <c r="V359" s="19">
        <v>46965.69</v>
      </c>
      <c r="W359" s="20">
        <v>0.1583</v>
      </c>
      <c r="X359" s="18">
        <v>189572.98</v>
      </c>
      <c r="Y359" s="19">
        <v>162130.74</v>
      </c>
      <c r="Z359" s="19">
        <v>27442.25</v>
      </c>
      <c r="AA359" s="20">
        <v>0.16930000000000001</v>
      </c>
      <c r="AB359" s="18">
        <v>154155.6</v>
      </c>
      <c r="AC359" s="19">
        <v>129296.96000000001</v>
      </c>
      <c r="AD359" s="19">
        <v>24858.63</v>
      </c>
      <c r="AE359" s="20">
        <v>0.1923</v>
      </c>
      <c r="AF359" s="2"/>
      <c r="AM359" s="4"/>
    </row>
    <row r="360" spans="1:39" x14ac:dyDescent="0.35">
      <c r="A360" s="16" t="s">
        <v>95</v>
      </c>
      <c r="B360" s="17" t="s">
        <v>84</v>
      </c>
      <c r="C360" s="17" t="s">
        <v>77</v>
      </c>
      <c r="D360" s="18">
        <v>74701521.790000007</v>
      </c>
      <c r="E360" s="19">
        <v>66548054.189999998</v>
      </c>
      <c r="F360" s="19">
        <v>8153467.5999999996</v>
      </c>
      <c r="G360" s="20">
        <v>0.1225</v>
      </c>
      <c r="H360" s="18">
        <v>485559.89</v>
      </c>
      <c r="I360" s="19">
        <v>429501.37</v>
      </c>
      <c r="J360" s="19">
        <v>56058.52</v>
      </c>
      <c r="K360" s="20">
        <v>0.1305</v>
      </c>
      <c r="L360" s="18">
        <v>155379.17000000001</v>
      </c>
      <c r="M360" s="19">
        <v>135286.43</v>
      </c>
      <c r="N360" s="19">
        <v>20092.740000000002</v>
      </c>
      <c r="O360" s="20">
        <v>0.14849999999999999</v>
      </c>
      <c r="P360" s="18">
        <v>5229.1099999999997</v>
      </c>
      <c r="Q360" s="19">
        <v>4513.6099999999997</v>
      </c>
      <c r="R360" s="19">
        <v>715.5</v>
      </c>
      <c r="S360" s="20">
        <v>0.1585</v>
      </c>
      <c r="T360" s="18">
        <v>324951.62</v>
      </c>
      <c r="U360" s="19">
        <v>284665.73</v>
      </c>
      <c r="V360" s="19">
        <v>40285.89</v>
      </c>
      <c r="W360" s="20">
        <v>0.14149999999999999</v>
      </c>
      <c r="X360" s="18">
        <v>191027.6</v>
      </c>
      <c r="Y360" s="19">
        <v>165747.75</v>
      </c>
      <c r="Z360" s="19">
        <v>25279.85</v>
      </c>
      <c r="AA360" s="20">
        <v>0.1525</v>
      </c>
      <c r="AB360" s="18">
        <v>133924.01999999999</v>
      </c>
      <c r="AC360" s="19">
        <v>113927.47</v>
      </c>
      <c r="AD360" s="19">
        <v>19996.55</v>
      </c>
      <c r="AE360" s="20">
        <v>0.17549999999999999</v>
      </c>
      <c r="AF360" s="2"/>
      <c r="AM360" s="4"/>
    </row>
    <row r="361" spans="1:39" x14ac:dyDescent="0.35">
      <c r="A361" s="16" t="s">
        <v>95</v>
      </c>
      <c r="B361" s="17" t="s">
        <v>84</v>
      </c>
      <c r="C361" s="17" t="s">
        <v>78</v>
      </c>
      <c r="D361" s="18">
        <v>19422687.559999999</v>
      </c>
      <c r="E361" s="19">
        <v>18843074.59</v>
      </c>
      <c r="F361" s="19">
        <v>579612.97</v>
      </c>
      <c r="G361" s="20">
        <v>3.0800000000000001E-2</v>
      </c>
      <c r="H361" s="18">
        <v>58268.06</v>
      </c>
      <c r="I361" s="19">
        <v>56093.86</v>
      </c>
      <c r="J361" s="19">
        <v>2174.1999999999998</v>
      </c>
      <c r="K361" s="20">
        <v>3.8800000000000001E-2</v>
      </c>
      <c r="L361" s="18">
        <v>10488.25</v>
      </c>
      <c r="M361" s="19">
        <v>9924.91</v>
      </c>
      <c r="N361" s="19">
        <v>563.34</v>
      </c>
      <c r="O361" s="20">
        <v>5.6800000000000003E-2</v>
      </c>
      <c r="P361" s="18">
        <v>1359.59</v>
      </c>
      <c r="Q361" s="19">
        <v>1274.5</v>
      </c>
      <c r="R361" s="19">
        <v>85.09</v>
      </c>
      <c r="S361" s="20">
        <v>6.6799999999999998E-2</v>
      </c>
      <c r="T361" s="18">
        <v>46420.22</v>
      </c>
      <c r="U361" s="19">
        <v>44219.839999999997</v>
      </c>
      <c r="V361" s="19">
        <v>2200.38</v>
      </c>
      <c r="W361" s="20">
        <v>4.9799999999999997E-2</v>
      </c>
      <c r="X361" s="18">
        <v>22923.66</v>
      </c>
      <c r="Y361" s="19">
        <v>21610.6</v>
      </c>
      <c r="Z361" s="19">
        <v>1313.06</v>
      </c>
      <c r="AA361" s="20">
        <v>6.08E-2</v>
      </c>
      <c r="AB361" s="18">
        <v>23496.560000000001</v>
      </c>
      <c r="AC361" s="19">
        <v>21680.6</v>
      </c>
      <c r="AD361" s="19">
        <v>1815.97</v>
      </c>
      <c r="AE361" s="20">
        <v>8.3799999999999999E-2</v>
      </c>
      <c r="AF361" s="2"/>
      <c r="AM361" s="4"/>
    </row>
    <row r="362" spans="1:39" x14ac:dyDescent="0.35">
      <c r="A362" s="16" t="s">
        <v>95</v>
      </c>
      <c r="B362" s="17" t="s">
        <v>84</v>
      </c>
      <c r="C362" s="17" t="s">
        <v>79</v>
      </c>
      <c r="D362" s="18">
        <v>29770095.550000001</v>
      </c>
      <c r="E362" s="19">
        <v>26787085.690000001</v>
      </c>
      <c r="F362" s="19">
        <v>2983009.86</v>
      </c>
      <c r="G362" s="20">
        <v>0.1114</v>
      </c>
      <c r="H362" s="18">
        <v>133965.43</v>
      </c>
      <c r="I362" s="19">
        <v>119680.38</v>
      </c>
      <c r="J362" s="19">
        <v>14285.05</v>
      </c>
      <c r="K362" s="20">
        <v>0.11940000000000001</v>
      </c>
      <c r="L362" s="18">
        <v>29472.39</v>
      </c>
      <c r="M362" s="19">
        <v>25912.98</v>
      </c>
      <c r="N362" s="19">
        <v>3559.41</v>
      </c>
      <c r="O362" s="20">
        <v>0.13739999999999999</v>
      </c>
      <c r="P362" s="18">
        <v>2083.91</v>
      </c>
      <c r="Q362" s="19">
        <v>1816.27</v>
      </c>
      <c r="R362" s="19">
        <v>267.64</v>
      </c>
      <c r="S362" s="20">
        <v>0.1474</v>
      </c>
      <c r="T362" s="18">
        <v>102409.13</v>
      </c>
      <c r="U362" s="19">
        <v>90598.69</v>
      </c>
      <c r="V362" s="19">
        <v>11810.44</v>
      </c>
      <c r="W362" s="20">
        <v>0.13039999999999999</v>
      </c>
      <c r="X362" s="18">
        <v>52704.3</v>
      </c>
      <c r="Y362" s="19">
        <v>46176.76</v>
      </c>
      <c r="Z362" s="19">
        <v>6527.55</v>
      </c>
      <c r="AA362" s="20">
        <v>0.1414</v>
      </c>
      <c r="AB362" s="18">
        <v>49704.83</v>
      </c>
      <c r="AC362" s="19">
        <v>42688.54</v>
      </c>
      <c r="AD362" s="19">
        <v>7016.29</v>
      </c>
      <c r="AE362" s="20">
        <v>0.16439999999999999</v>
      </c>
      <c r="AF362" s="2"/>
      <c r="AM362" s="4"/>
    </row>
    <row r="364" spans="1:39" x14ac:dyDescent="0.35">
      <c r="A364" s="21" t="s">
        <v>96</v>
      </c>
      <c r="B364" s="22" t="s">
        <v>74</v>
      </c>
      <c r="C364" s="22" t="s">
        <v>75</v>
      </c>
      <c r="D364" s="23">
        <f t="shared" ref="D364:F393" si="0">D3+D33+D63+D93+D123+D153+D183+D213+D243+D273+D303+D333</f>
        <v>182106983.71000001</v>
      </c>
      <c r="E364" s="24">
        <f t="shared" si="0"/>
        <v>176023078.65000001</v>
      </c>
      <c r="F364" s="24">
        <f t="shared" si="0"/>
        <v>6083905.0599999996</v>
      </c>
      <c r="G364" s="25">
        <f t="shared" ref="G364:G393" si="1">F364/E364</f>
        <v>3.4563110170894626E-2</v>
      </c>
      <c r="H364" s="23">
        <f t="shared" ref="H364:J393" si="2">H3+H33+H63+H93+H123+H153+H183+H213+H243+H273+H303+H333</f>
        <v>1365802.3900000001</v>
      </c>
      <c r="I364" s="24">
        <f t="shared" si="2"/>
        <v>1310015.1700000002</v>
      </c>
      <c r="J364" s="24">
        <f t="shared" si="2"/>
        <v>55787.22</v>
      </c>
      <c r="K364" s="25">
        <f t="shared" ref="K364:K393" si="3">J364/I364</f>
        <v>4.2585170979355907E-2</v>
      </c>
      <c r="L364" s="23">
        <f t="shared" ref="L364:N393" si="4">L3+L33+L63+L93+L123+L153+L183+L213+L243+L273+L303+L333</f>
        <v>478030.82999999996</v>
      </c>
      <c r="M364" s="24">
        <f t="shared" si="4"/>
        <v>450703.1</v>
      </c>
      <c r="N364" s="24">
        <f t="shared" si="4"/>
        <v>27327.729999999996</v>
      </c>
      <c r="O364" s="25">
        <f t="shared" ref="O364:O393" si="5">N364/M364</f>
        <v>6.0633552331900972E-2</v>
      </c>
      <c r="P364" s="23">
        <f t="shared" ref="P364:R393" si="6">P3+P33+P63+P93+P123+P153+P183+P213+P243+P273+P303+P333</f>
        <v>32779.25</v>
      </c>
      <c r="Q364" s="24">
        <f t="shared" si="6"/>
        <v>30615.93</v>
      </c>
      <c r="R364" s="24">
        <f t="shared" si="6"/>
        <v>2163.3199999999997</v>
      </c>
      <c r="S364" s="25">
        <f t="shared" ref="S364:S393" si="7">R364/Q364</f>
        <v>7.0659947288878686E-2</v>
      </c>
      <c r="T364" s="23">
        <f t="shared" ref="T364:V393" si="8">T3+T33+T63+T93+T123+T153+T183+T213+T243+T273+T303+T333</f>
        <v>854992.31</v>
      </c>
      <c r="U364" s="24">
        <f t="shared" si="8"/>
        <v>811484.64000000013</v>
      </c>
      <c r="V364" s="24">
        <f t="shared" si="8"/>
        <v>43507.67</v>
      </c>
      <c r="W364" s="25">
        <f t="shared" ref="W364:W393" si="9">V364/U364</f>
        <v>5.3614902680104937E-2</v>
      </c>
      <c r="X364" s="23">
        <f t="shared" ref="X364:Z393" si="10">X3+X33+X63+X93+X123+X153+X183+X213+X243+X273+X303+X333</f>
        <v>565863.17999999993</v>
      </c>
      <c r="Y364" s="24">
        <f t="shared" si="10"/>
        <v>531349.68000000005</v>
      </c>
      <c r="Z364" s="24">
        <f t="shared" si="10"/>
        <v>34513.51</v>
      </c>
      <c r="AA364" s="25">
        <f t="shared" ref="AA364:AA393" si="11">Z364/Y364</f>
        <v>6.4954419470055952E-2</v>
      </c>
      <c r="AB364" s="23">
        <f t="shared" ref="AB364:AD393" si="12">AB3+AB33+AB63+AB93+AB123+AB153+AB183+AB213+AB243+AB273+AB303+AB333</f>
        <v>289129.13</v>
      </c>
      <c r="AC364" s="24">
        <f t="shared" si="12"/>
        <v>265964.31</v>
      </c>
      <c r="AD364" s="24">
        <f t="shared" si="12"/>
        <v>23164.82</v>
      </c>
      <c r="AE364" s="25">
        <f t="shared" ref="AE364:AE393" si="13">AD364/AC364</f>
        <v>8.7097475597383719E-2</v>
      </c>
    </row>
    <row r="365" spans="1:39" x14ac:dyDescent="0.35">
      <c r="A365" s="26"/>
      <c r="B365" s="27" t="s">
        <v>74</v>
      </c>
      <c r="C365" s="27" t="s">
        <v>76</v>
      </c>
      <c r="D365" s="28">
        <f t="shared" si="0"/>
        <v>283182707.75</v>
      </c>
      <c r="E365" s="29">
        <f t="shared" si="0"/>
        <v>269191991.36000001</v>
      </c>
      <c r="F365" s="29">
        <f t="shared" si="0"/>
        <v>13990716.390000001</v>
      </c>
      <c r="G365" s="30">
        <f t="shared" si="1"/>
        <v>5.1973003800435201E-2</v>
      </c>
      <c r="H365" s="28">
        <f t="shared" si="2"/>
        <v>2973418.4400000004</v>
      </c>
      <c r="I365" s="29">
        <f t="shared" si="2"/>
        <v>2805136.64</v>
      </c>
      <c r="J365" s="29">
        <f t="shared" si="2"/>
        <v>168281.8</v>
      </c>
      <c r="K365" s="30">
        <f t="shared" si="3"/>
        <v>5.9990589264129389E-2</v>
      </c>
      <c r="L365" s="28">
        <f t="shared" si="4"/>
        <v>832557.16999999993</v>
      </c>
      <c r="M365" s="29">
        <f t="shared" si="4"/>
        <v>772295.53999999992</v>
      </c>
      <c r="N365" s="29">
        <f t="shared" si="4"/>
        <v>60261.63</v>
      </c>
      <c r="O365" s="30">
        <f t="shared" si="5"/>
        <v>7.8029234766783709E-2</v>
      </c>
      <c r="P365" s="28">
        <f t="shared" si="6"/>
        <v>50972.89</v>
      </c>
      <c r="Q365" s="29">
        <f t="shared" si="6"/>
        <v>46847.91</v>
      </c>
      <c r="R365" s="29">
        <f t="shared" si="6"/>
        <v>4124.9800000000005</v>
      </c>
      <c r="S365" s="30">
        <f t="shared" si="7"/>
        <v>8.8050459454861493E-2</v>
      </c>
      <c r="T365" s="28">
        <f t="shared" si="8"/>
        <v>2089888.3800000001</v>
      </c>
      <c r="U365" s="29">
        <f t="shared" si="8"/>
        <v>1951316.8900000001</v>
      </c>
      <c r="V365" s="29">
        <f t="shared" si="8"/>
        <v>138571.49</v>
      </c>
      <c r="W365" s="30">
        <f t="shared" si="9"/>
        <v>7.1014344574242869E-2</v>
      </c>
      <c r="X365" s="28">
        <f t="shared" si="10"/>
        <v>1232122.5400000003</v>
      </c>
      <c r="Y365" s="29">
        <f t="shared" si="10"/>
        <v>1138910.94</v>
      </c>
      <c r="Z365" s="29">
        <f t="shared" si="10"/>
        <v>93211.599999999991</v>
      </c>
      <c r="AA365" s="30">
        <f t="shared" si="11"/>
        <v>8.1842747072040589E-2</v>
      </c>
      <c r="AB365" s="28">
        <f t="shared" si="12"/>
        <v>857765.84000000008</v>
      </c>
      <c r="AC365" s="29">
        <f t="shared" si="12"/>
        <v>776001.94999999984</v>
      </c>
      <c r="AD365" s="29">
        <f t="shared" si="12"/>
        <v>81763.88</v>
      </c>
      <c r="AE365" s="30">
        <f t="shared" si="13"/>
        <v>0.10536555997056453</v>
      </c>
    </row>
    <row r="366" spans="1:39" x14ac:dyDescent="0.35">
      <c r="A366" s="26"/>
      <c r="B366" s="27" t="s">
        <v>74</v>
      </c>
      <c r="C366" s="27" t="s">
        <v>77</v>
      </c>
      <c r="D366" s="28">
        <f t="shared" si="0"/>
        <v>437222139.16000009</v>
      </c>
      <c r="E366" s="29">
        <f t="shared" si="0"/>
        <v>422482547.26000005</v>
      </c>
      <c r="F366" s="29">
        <f t="shared" si="0"/>
        <v>14739591.899999999</v>
      </c>
      <c r="G366" s="30">
        <f t="shared" si="1"/>
        <v>3.48880492119574E-2</v>
      </c>
      <c r="H366" s="28">
        <f t="shared" si="2"/>
        <v>2841943.91</v>
      </c>
      <c r="I366" s="29">
        <f t="shared" si="2"/>
        <v>2724999.4899999998</v>
      </c>
      <c r="J366" s="29">
        <f t="shared" si="2"/>
        <v>116944.42</v>
      </c>
      <c r="K366" s="30">
        <f t="shared" si="3"/>
        <v>4.2915391518109976E-2</v>
      </c>
      <c r="L366" s="28">
        <f t="shared" si="4"/>
        <v>909422.06</v>
      </c>
      <c r="M366" s="29">
        <f t="shared" si="4"/>
        <v>857156.6100000001</v>
      </c>
      <c r="N366" s="29">
        <f t="shared" si="4"/>
        <v>52265.450000000012</v>
      </c>
      <c r="O366" s="30">
        <f t="shared" si="5"/>
        <v>6.0975379983361506E-2</v>
      </c>
      <c r="P366" s="28">
        <f t="shared" si="6"/>
        <v>78699.959999999992</v>
      </c>
      <c r="Q366" s="29">
        <f t="shared" si="6"/>
        <v>73482.149999999994</v>
      </c>
      <c r="R366" s="29">
        <f t="shared" si="6"/>
        <v>5217.8100000000004</v>
      </c>
      <c r="S366" s="30">
        <f t="shared" si="7"/>
        <v>7.1007857010171871E-2</v>
      </c>
      <c r="T366" s="28">
        <f t="shared" si="8"/>
        <v>1853821.87</v>
      </c>
      <c r="U366" s="29">
        <f t="shared" si="8"/>
        <v>1758923.89</v>
      </c>
      <c r="V366" s="29">
        <f t="shared" si="8"/>
        <v>94897.98000000001</v>
      </c>
      <c r="W366" s="30">
        <f t="shared" si="9"/>
        <v>5.3952294661254507E-2</v>
      </c>
      <c r="X366" s="28">
        <f t="shared" si="10"/>
        <v>1177413.5</v>
      </c>
      <c r="Y366" s="29">
        <f t="shared" si="10"/>
        <v>1105107.93</v>
      </c>
      <c r="Z366" s="29">
        <f t="shared" si="10"/>
        <v>72305.51999999999</v>
      </c>
      <c r="AA366" s="30">
        <f t="shared" si="11"/>
        <v>6.5428469054601743E-2</v>
      </c>
      <c r="AB366" s="28">
        <f t="shared" si="12"/>
        <v>676408.37</v>
      </c>
      <c r="AC366" s="29">
        <f t="shared" si="12"/>
        <v>622100.70000000007</v>
      </c>
      <c r="AD366" s="29">
        <f t="shared" si="12"/>
        <v>54307.689999999995</v>
      </c>
      <c r="AE366" s="30">
        <f t="shared" si="13"/>
        <v>8.7297265539164295E-2</v>
      </c>
    </row>
    <row r="367" spans="1:39" x14ac:dyDescent="0.35">
      <c r="A367" s="26"/>
      <c r="B367" s="27" t="s">
        <v>74</v>
      </c>
      <c r="C367" s="27" t="s">
        <v>78</v>
      </c>
      <c r="D367" s="28">
        <f t="shared" si="0"/>
        <v>117907606.00000001</v>
      </c>
      <c r="E367" s="29">
        <f t="shared" si="0"/>
        <v>114788334.31</v>
      </c>
      <c r="F367" s="29">
        <f t="shared" si="0"/>
        <v>3119271.69</v>
      </c>
      <c r="G367" s="30">
        <f t="shared" si="1"/>
        <v>2.7174117550795913E-2</v>
      </c>
      <c r="H367" s="28">
        <f t="shared" si="2"/>
        <v>353722.82</v>
      </c>
      <c r="I367" s="29">
        <f t="shared" si="2"/>
        <v>341699.55999999994</v>
      </c>
      <c r="J367" s="29">
        <f t="shared" si="2"/>
        <v>12023.26</v>
      </c>
      <c r="K367" s="30">
        <f t="shared" si="3"/>
        <v>3.51866417387251E-2</v>
      </c>
      <c r="L367" s="28">
        <f t="shared" si="4"/>
        <v>63670.12</v>
      </c>
      <c r="M367" s="29">
        <f t="shared" si="4"/>
        <v>60453.15</v>
      </c>
      <c r="N367" s="29">
        <f t="shared" si="4"/>
        <v>3216.97</v>
      </c>
      <c r="O367" s="30">
        <f t="shared" si="5"/>
        <v>5.321426592328108E-2</v>
      </c>
      <c r="P367" s="28">
        <f t="shared" si="6"/>
        <v>21223.37</v>
      </c>
      <c r="Q367" s="29">
        <f t="shared" si="6"/>
        <v>19961.25</v>
      </c>
      <c r="R367" s="29">
        <f t="shared" si="6"/>
        <v>1262.1199999999999</v>
      </c>
      <c r="S367" s="30">
        <f t="shared" si="7"/>
        <v>6.3228505228880946E-2</v>
      </c>
      <c r="T367" s="28">
        <f t="shared" si="8"/>
        <v>268829.35000000003</v>
      </c>
      <c r="U367" s="29">
        <f t="shared" si="8"/>
        <v>256957.03</v>
      </c>
      <c r="V367" s="29">
        <f t="shared" si="8"/>
        <v>11872.32</v>
      </c>
      <c r="W367" s="30">
        <f t="shared" si="9"/>
        <v>4.6203522822473468E-2</v>
      </c>
      <c r="X367" s="28">
        <f t="shared" si="10"/>
        <v>146564.63</v>
      </c>
      <c r="Y367" s="29">
        <f t="shared" si="10"/>
        <v>138658.15</v>
      </c>
      <c r="Z367" s="29">
        <f t="shared" si="10"/>
        <v>7906.4800000000005</v>
      </c>
      <c r="AA367" s="30">
        <f t="shared" si="11"/>
        <v>5.7021386770269189E-2</v>
      </c>
      <c r="AB367" s="28">
        <f t="shared" si="12"/>
        <v>122264.71999999999</v>
      </c>
      <c r="AC367" s="29">
        <f t="shared" si="12"/>
        <v>113156.54000000001</v>
      </c>
      <c r="AD367" s="29">
        <f t="shared" si="12"/>
        <v>9108.1999999999989</v>
      </c>
      <c r="AE367" s="30">
        <f t="shared" si="13"/>
        <v>8.0492033425553652E-2</v>
      </c>
    </row>
    <row r="368" spans="1:39" x14ac:dyDescent="0.35">
      <c r="A368" s="26"/>
      <c r="B368" s="27" t="s">
        <v>74</v>
      </c>
      <c r="C368" s="27" t="s">
        <v>79</v>
      </c>
      <c r="D368" s="28">
        <f t="shared" si="0"/>
        <v>177245496.38</v>
      </c>
      <c r="E368" s="29">
        <f t="shared" si="0"/>
        <v>172021650.50999999</v>
      </c>
      <c r="F368" s="29">
        <f t="shared" si="0"/>
        <v>5223845.870000001</v>
      </c>
      <c r="G368" s="30">
        <f t="shared" si="1"/>
        <v>3.0367374423583546E-2</v>
      </c>
      <c r="H368" s="28">
        <f t="shared" si="2"/>
        <v>797604.72</v>
      </c>
      <c r="I368" s="29">
        <f t="shared" si="2"/>
        <v>768125.52</v>
      </c>
      <c r="J368" s="29">
        <f t="shared" si="2"/>
        <v>29479.200000000001</v>
      </c>
      <c r="K368" s="30">
        <f t="shared" si="3"/>
        <v>3.837810257885977E-2</v>
      </c>
      <c r="L368" s="28">
        <f t="shared" si="4"/>
        <v>175473.03999999998</v>
      </c>
      <c r="M368" s="29">
        <f t="shared" si="4"/>
        <v>166104.45000000001</v>
      </c>
      <c r="N368" s="29">
        <f t="shared" si="4"/>
        <v>9368.59</v>
      </c>
      <c r="O368" s="30">
        <f t="shared" si="5"/>
        <v>5.6401800192589661E-2</v>
      </c>
      <c r="P368" s="28">
        <f t="shared" si="6"/>
        <v>31904.19</v>
      </c>
      <c r="Q368" s="29">
        <f t="shared" si="6"/>
        <v>29917.249999999996</v>
      </c>
      <c r="R368" s="29">
        <f t="shared" si="6"/>
        <v>1986.9399999999998</v>
      </c>
      <c r="S368" s="30">
        <f t="shared" si="7"/>
        <v>6.6414526736247481E-2</v>
      </c>
      <c r="T368" s="28">
        <f t="shared" si="8"/>
        <v>590227.5</v>
      </c>
      <c r="U368" s="29">
        <f t="shared" si="8"/>
        <v>562446.79</v>
      </c>
      <c r="V368" s="29">
        <f t="shared" si="8"/>
        <v>27780.71</v>
      </c>
      <c r="W368" s="30">
        <f t="shared" si="9"/>
        <v>4.9392601209440626E-2</v>
      </c>
      <c r="X368" s="28">
        <f t="shared" si="10"/>
        <v>330516</v>
      </c>
      <c r="Y368" s="29">
        <f t="shared" si="10"/>
        <v>311764.70999999996</v>
      </c>
      <c r="Z368" s="29">
        <f t="shared" si="10"/>
        <v>18751.25</v>
      </c>
      <c r="AA368" s="30">
        <f t="shared" si="11"/>
        <v>6.0145518073549765E-2</v>
      </c>
      <c r="AB368" s="28">
        <f t="shared" si="12"/>
        <v>259711.50000000003</v>
      </c>
      <c r="AC368" s="29">
        <f t="shared" si="12"/>
        <v>239637.24</v>
      </c>
      <c r="AD368" s="29">
        <f t="shared" si="12"/>
        <v>20074.280000000002</v>
      </c>
      <c r="AE368" s="30">
        <f t="shared" si="13"/>
        <v>8.3769450858305672E-2</v>
      </c>
    </row>
    <row r="369" spans="1:31" x14ac:dyDescent="0.35">
      <c r="A369" s="26"/>
      <c r="B369" s="27" t="s">
        <v>80</v>
      </c>
      <c r="C369" s="27" t="s">
        <v>75</v>
      </c>
      <c r="D369" s="28">
        <f t="shared" si="0"/>
        <v>88039024.600000009</v>
      </c>
      <c r="E369" s="29">
        <f t="shared" si="0"/>
        <v>86102105.390000001</v>
      </c>
      <c r="F369" s="29">
        <f t="shared" si="0"/>
        <v>1936919.21</v>
      </c>
      <c r="G369" s="30">
        <f t="shared" si="1"/>
        <v>2.2495607990382034E-2</v>
      </c>
      <c r="H369" s="28">
        <f t="shared" si="2"/>
        <v>660292.69000000006</v>
      </c>
      <c r="I369" s="29">
        <f t="shared" si="2"/>
        <v>640743.90999999992</v>
      </c>
      <c r="J369" s="29">
        <f t="shared" si="2"/>
        <v>19548.78</v>
      </c>
      <c r="K369" s="30">
        <f t="shared" si="3"/>
        <v>3.0509505739976524E-2</v>
      </c>
      <c r="L369" s="28">
        <f t="shared" si="4"/>
        <v>231102.44000000003</v>
      </c>
      <c r="M369" s="29">
        <f t="shared" si="4"/>
        <v>220404.04</v>
      </c>
      <c r="N369" s="29">
        <f t="shared" si="4"/>
        <v>10698.4</v>
      </c>
      <c r="O369" s="30">
        <f t="shared" si="5"/>
        <v>4.8539945093565434E-2</v>
      </c>
      <c r="P369" s="28">
        <f t="shared" si="6"/>
        <v>7923.53</v>
      </c>
      <c r="Q369" s="29">
        <f t="shared" si="6"/>
        <v>7485.2300000000005</v>
      </c>
      <c r="R369" s="29">
        <f t="shared" si="6"/>
        <v>438.3</v>
      </c>
      <c r="S369" s="30">
        <f t="shared" si="7"/>
        <v>5.8555314933542456E-2</v>
      </c>
      <c r="T369" s="28">
        <f t="shared" si="8"/>
        <v>421266.73000000004</v>
      </c>
      <c r="U369" s="29">
        <f t="shared" si="8"/>
        <v>404469.81000000006</v>
      </c>
      <c r="V369" s="29">
        <f t="shared" si="8"/>
        <v>16796.920000000002</v>
      </c>
      <c r="W369" s="30">
        <f t="shared" si="9"/>
        <v>4.1528241625747045E-2</v>
      </c>
      <c r="X369" s="28">
        <f t="shared" si="10"/>
        <v>273683.58999999997</v>
      </c>
      <c r="Y369" s="29">
        <f t="shared" si="10"/>
        <v>259974.90999999997</v>
      </c>
      <c r="Z369" s="29">
        <f t="shared" si="10"/>
        <v>13708.670000000002</v>
      </c>
      <c r="AA369" s="30">
        <f t="shared" si="11"/>
        <v>5.273074236279187E-2</v>
      </c>
      <c r="AB369" s="28">
        <f t="shared" si="12"/>
        <v>147583.13999999998</v>
      </c>
      <c r="AC369" s="29">
        <f t="shared" si="12"/>
        <v>137255.60999999999</v>
      </c>
      <c r="AD369" s="29">
        <f t="shared" si="12"/>
        <v>10327.509999999998</v>
      </c>
      <c r="AE369" s="30">
        <f t="shared" si="13"/>
        <v>7.5242898996988175E-2</v>
      </c>
    </row>
    <row r="370" spans="1:31" x14ac:dyDescent="0.35">
      <c r="A370" s="26"/>
      <c r="B370" s="27" t="s">
        <v>80</v>
      </c>
      <c r="C370" s="27" t="s">
        <v>76</v>
      </c>
      <c r="D370" s="28">
        <f t="shared" si="0"/>
        <v>136974832.40000001</v>
      </c>
      <c r="E370" s="29">
        <f t="shared" si="0"/>
        <v>131787179.98</v>
      </c>
      <c r="F370" s="29">
        <f t="shared" si="0"/>
        <v>5187652.42</v>
      </c>
      <c r="G370" s="30">
        <f t="shared" si="1"/>
        <v>3.9363862408978455E-2</v>
      </c>
      <c r="H370" s="28">
        <f t="shared" si="2"/>
        <v>1438235.74</v>
      </c>
      <c r="I370" s="29">
        <f t="shared" si="2"/>
        <v>1373179.3099999998</v>
      </c>
      <c r="J370" s="29">
        <f t="shared" si="2"/>
        <v>65056.43</v>
      </c>
      <c r="K370" s="30">
        <f t="shared" si="3"/>
        <v>4.7376500305702979E-2</v>
      </c>
      <c r="L370" s="28">
        <f t="shared" si="4"/>
        <v>402706.01</v>
      </c>
      <c r="M370" s="29">
        <f t="shared" si="4"/>
        <v>377984.23</v>
      </c>
      <c r="N370" s="29">
        <f t="shared" si="4"/>
        <v>24721.78</v>
      </c>
      <c r="O370" s="30">
        <f t="shared" si="5"/>
        <v>6.5404263029703646E-2</v>
      </c>
      <c r="P370" s="28">
        <f t="shared" si="6"/>
        <v>12327.74</v>
      </c>
      <c r="Q370" s="29">
        <f t="shared" si="6"/>
        <v>11463.18</v>
      </c>
      <c r="R370" s="29">
        <f t="shared" si="6"/>
        <v>864.56</v>
      </c>
      <c r="S370" s="30">
        <f t="shared" si="7"/>
        <v>7.5420607545201232E-2</v>
      </c>
      <c r="T370" s="28">
        <f t="shared" si="8"/>
        <v>1023201.9999999998</v>
      </c>
      <c r="U370" s="29">
        <f t="shared" si="8"/>
        <v>966750.02</v>
      </c>
      <c r="V370" s="29">
        <f t="shared" si="8"/>
        <v>56451.98</v>
      </c>
      <c r="W370" s="30">
        <f t="shared" si="9"/>
        <v>5.8393564863851777E-2</v>
      </c>
      <c r="X370" s="28">
        <f t="shared" si="10"/>
        <v>596222.14000000013</v>
      </c>
      <c r="Y370" s="29">
        <f t="shared" si="10"/>
        <v>557688.30999999994</v>
      </c>
      <c r="Z370" s="29">
        <f t="shared" si="10"/>
        <v>38533.82</v>
      </c>
      <c r="AA370" s="30">
        <f t="shared" si="11"/>
        <v>6.9095620813712233E-2</v>
      </c>
      <c r="AB370" s="28">
        <f t="shared" si="12"/>
        <v>426979.86</v>
      </c>
      <c r="AC370" s="29">
        <f t="shared" si="12"/>
        <v>390690.89999999997</v>
      </c>
      <c r="AD370" s="29">
        <f t="shared" si="12"/>
        <v>36288.959999999999</v>
      </c>
      <c r="AE370" s="30">
        <f t="shared" si="13"/>
        <v>9.2884067686245061E-2</v>
      </c>
    </row>
    <row r="371" spans="1:31" x14ac:dyDescent="0.35">
      <c r="A371" s="26"/>
      <c r="B371" s="27" t="s">
        <v>80</v>
      </c>
      <c r="C371" s="27" t="s">
        <v>77</v>
      </c>
      <c r="D371" s="28">
        <f t="shared" si="0"/>
        <v>211310424.32000002</v>
      </c>
      <c r="E371" s="29">
        <f t="shared" si="0"/>
        <v>206665868.80000001</v>
      </c>
      <c r="F371" s="29">
        <f t="shared" si="0"/>
        <v>4644555.5199999996</v>
      </c>
      <c r="G371" s="30">
        <f t="shared" si="1"/>
        <v>2.2473742505080739E-2</v>
      </c>
      <c r="H371" s="28">
        <f t="shared" si="2"/>
        <v>1373517.77</v>
      </c>
      <c r="I371" s="29">
        <f t="shared" si="2"/>
        <v>1332874.3700000003</v>
      </c>
      <c r="J371" s="29">
        <f t="shared" si="2"/>
        <v>40643.4</v>
      </c>
      <c r="K371" s="30">
        <f t="shared" si="3"/>
        <v>3.0493046392661892E-2</v>
      </c>
      <c r="L371" s="28">
        <f t="shared" si="4"/>
        <v>439525.68</v>
      </c>
      <c r="M371" s="29">
        <f t="shared" si="4"/>
        <v>419180.58000000007</v>
      </c>
      <c r="N371" s="29">
        <f t="shared" si="4"/>
        <v>20345.099999999999</v>
      </c>
      <c r="O371" s="30">
        <f t="shared" si="5"/>
        <v>4.8535406864506928E-2</v>
      </c>
      <c r="P371" s="28">
        <f t="shared" si="6"/>
        <v>19017.940000000002</v>
      </c>
      <c r="Q371" s="29">
        <f t="shared" si="6"/>
        <v>17965.91</v>
      </c>
      <c r="R371" s="29">
        <f t="shared" si="6"/>
        <v>1052.0300000000002</v>
      </c>
      <c r="S371" s="30">
        <f t="shared" si="7"/>
        <v>5.8557011584717961E-2</v>
      </c>
      <c r="T371" s="28">
        <f t="shared" si="8"/>
        <v>914974.15</v>
      </c>
      <c r="U371" s="29">
        <f t="shared" si="8"/>
        <v>878499.6399999999</v>
      </c>
      <c r="V371" s="29">
        <f t="shared" si="8"/>
        <v>36474.509999999995</v>
      </c>
      <c r="W371" s="30">
        <f t="shared" si="9"/>
        <v>4.1519094987904605E-2</v>
      </c>
      <c r="X371" s="28">
        <f t="shared" si="10"/>
        <v>569305</v>
      </c>
      <c r="Y371" s="29">
        <f t="shared" si="10"/>
        <v>540716.30000000005</v>
      </c>
      <c r="Z371" s="29">
        <f t="shared" si="10"/>
        <v>28588.68</v>
      </c>
      <c r="AA371" s="30">
        <f t="shared" si="11"/>
        <v>5.2871866448265012E-2</v>
      </c>
      <c r="AB371" s="28">
        <f t="shared" si="12"/>
        <v>345669.15</v>
      </c>
      <c r="AC371" s="29">
        <f t="shared" si="12"/>
        <v>321535.42</v>
      </c>
      <c r="AD371" s="29">
        <f t="shared" si="12"/>
        <v>24133.72</v>
      </c>
      <c r="AE371" s="30">
        <f t="shared" si="13"/>
        <v>7.5057733919329947E-2</v>
      </c>
    </row>
    <row r="372" spans="1:31" x14ac:dyDescent="0.35">
      <c r="A372" s="26"/>
      <c r="B372" s="27" t="s">
        <v>80</v>
      </c>
      <c r="C372" s="27" t="s">
        <v>78</v>
      </c>
      <c r="D372" s="28">
        <f t="shared" si="0"/>
        <v>57027627.139999993</v>
      </c>
      <c r="E372" s="29">
        <f t="shared" si="0"/>
        <v>56251159.20000001</v>
      </c>
      <c r="F372" s="29">
        <f t="shared" si="0"/>
        <v>776467.94</v>
      </c>
      <c r="G372" s="30">
        <f t="shared" si="1"/>
        <v>1.3803590024505661E-2</v>
      </c>
      <c r="H372" s="28">
        <f t="shared" si="2"/>
        <v>171082.88999999998</v>
      </c>
      <c r="I372" s="29">
        <f t="shared" si="2"/>
        <v>167429.90999999997</v>
      </c>
      <c r="J372" s="29">
        <f t="shared" si="2"/>
        <v>3652.98</v>
      </c>
      <c r="K372" s="30">
        <f t="shared" si="3"/>
        <v>2.181796549971269E-2</v>
      </c>
      <c r="L372" s="28">
        <f t="shared" si="4"/>
        <v>30794.93</v>
      </c>
      <c r="M372" s="29">
        <f t="shared" si="4"/>
        <v>29614.780000000002</v>
      </c>
      <c r="N372" s="29">
        <f t="shared" si="4"/>
        <v>1180.1500000000001</v>
      </c>
      <c r="O372" s="30">
        <f t="shared" si="5"/>
        <v>3.9850034340960828E-2</v>
      </c>
      <c r="P372" s="28">
        <f t="shared" si="6"/>
        <v>5132.49</v>
      </c>
      <c r="Q372" s="29">
        <f t="shared" si="6"/>
        <v>4888.71</v>
      </c>
      <c r="R372" s="29">
        <f t="shared" si="6"/>
        <v>243.78</v>
      </c>
      <c r="S372" s="30">
        <f t="shared" si="7"/>
        <v>4.9865915548273472E-2</v>
      </c>
      <c r="T372" s="28">
        <f t="shared" si="8"/>
        <v>135155.47</v>
      </c>
      <c r="U372" s="29">
        <f t="shared" si="8"/>
        <v>130858.40999999999</v>
      </c>
      <c r="V372" s="29">
        <f t="shared" si="8"/>
        <v>4297.0599999999995</v>
      </c>
      <c r="W372" s="30">
        <f t="shared" si="9"/>
        <v>3.2837476781201913E-2</v>
      </c>
      <c r="X372" s="28">
        <f t="shared" si="10"/>
        <v>70918.47</v>
      </c>
      <c r="Y372" s="29">
        <f t="shared" si="10"/>
        <v>67964.73</v>
      </c>
      <c r="Z372" s="29">
        <f t="shared" si="10"/>
        <v>2953.73</v>
      </c>
      <c r="AA372" s="30">
        <f t="shared" si="11"/>
        <v>4.3459747430762988E-2</v>
      </c>
      <c r="AB372" s="28">
        <f t="shared" si="12"/>
        <v>64237</v>
      </c>
      <c r="AC372" s="29">
        <f t="shared" si="12"/>
        <v>60184.62</v>
      </c>
      <c r="AD372" s="29">
        <f t="shared" si="12"/>
        <v>4052.3799999999997</v>
      </c>
      <c r="AE372" s="30">
        <f t="shared" si="13"/>
        <v>6.7332484611517016E-2</v>
      </c>
    </row>
    <row r="373" spans="1:31" x14ac:dyDescent="0.35">
      <c r="A373" s="26"/>
      <c r="B373" s="27" t="s">
        <v>80</v>
      </c>
      <c r="C373" s="27" t="s">
        <v>79</v>
      </c>
      <c r="D373" s="28">
        <f t="shared" si="0"/>
        <v>85670242.319999993</v>
      </c>
      <c r="E373" s="29">
        <f t="shared" si="0"/>
        <v>84244367.649999991</v>
      </c>
      <c r="F373" s="29">
        <f t="shared" si="0"/>
        <v>1425874.67</v>
      </c>
      <c r="G373" s="30">
        <f t="shared" si="1"/>
        <v>1.6925459942009547E-2</v>
      </c>
      <c r="H373" s="28">
        <f t="shared" si="2"/>
        <v>385516.1</v>
      </c>
      <c r="I373" s="29">
        <f t="shared" si="2"/>
        <v>376136.85000000003</v>
      </c>
      <c r="J373" s="29">
        <f t="shared" si="2"/>
        <v>9379.25</v>
      </c>
      <c r="K373" s="30">
        <f t="shared" si="3"/>
        <v>2.4935738149559128E-2</v>
      </c>
      <c r="L373" s="28">
        <f t="shared" si="4"/>
        <v>84813.540000000008</v>
      </c>
      <c r="M373" s="29">
        <f t="shared" si="4"/>
        <v>81320.14999999998</v>
      </c>
      <c r="N373" s="29">
        <f t="shared" si="4"/>
        <v>3493.39</v>
      </c>
      <c r="O373" s="30">
        <f t="shared" si="5"/>
        <v>4.2958479540433712E-2</v>
      </c>
      <c r="P373" s="28">
        <f t="shared" si="6"/>
        <v>7710.3399999999992</v>
      </c>
      <c r="Q373" s="29">
        <f t="shared" si="6"/>
        <v>7322.47</v>
      </c>
      <c r="R373" s="29">
        <f t="shared" si="6"/>
        <v>387.86999999999995</v>
      </c>
      <c r="S373" s="30">
        <f t="shared" si="7"/>
        <v>5.2969831218154524E-2</v>
      </c>
      <c r="T373" s="28">
        <f t="shared" si="8"/>
        <v>292992.24</v>
      </c>
      <c r="U373" s="29">
        <f t="shared" si="8"/>
        <v>282824.78000000003</v>
      </c>
      <c r="V373" s="29">
        <f t="shared" si="8"/>
        <v>10167.459999999999</v>
      </c>
      <c r="W373" s="30">
        <f t="shared" si="9"/>
        <v>3.5949678808200602E-2</v>
      </c>
      <c r="X373" s="28">
        <f t="shared" si="10"/>
        <v>159824.85</v>
      </c>
      <c r="Y373" s="29">
        <f t="shared" si="10"/>
        <v>152718.14999999997</v>
      </c>
      <c r="Z373" s="29">
        <f t="shared" si="10"/>
        <v>7106.6900000000005</v>
      </c>
      <c r="AA373" s="30">
        <f t="shared" si="11"/>
        <v>4.6534678425583349E-2</v>
      </c>
      <c r="AB373" s="28">
        <f t="shared" si="12"/>
        <v>133167.39000000001</v>
      </c>
      <c r="AC373" s="29">
        <f t="shared" si="12"/>
        <v>124396.70000000003</v>
      </c>
      <c r="AD373" s="29">
        <f t="shared" si="12"/>
        <v>8770.68</v>
      </c>
      <c r="AE373" s="30">
        <f t="shared" si="13"/>
        <v>7.0505728849720284E-2</v>
      </c>
    </row>
    <row r="374" spans="1:31" x14ac:dyDescent="0.35">
      <c r="A374" s="26"/>
      <c r="B374" s="27" t="s">
        <v>81</v>
      </c>
      <c r="C374" s="27" t="s">
        <v>75</v>
      </c>
      <c r="D374" s="28">
        <f t="shared" si="0"/>
        <v>124143390.74000001</v>
      </c>
      <c r="E374" s="29">
        <f t="shared" si="0"/>
        <v>120607410.66999999</v>
      </c>
      <c r="F374" s="29">
        <f t="shared" si="0"/>
        <v>3535980.0700000003</v>
      </c>
      <c r="G374" s="30">
        <f t="shared" si="1"/>
        <v>2.9318099529347941E-2</v>
      </c>
      <c r="H374" s="28">
        <f t="shared" si="2"/>
        <v>931075.42999999993</v>
      </c>
      <c r="I374" s="29">
        <f t="shared" si="2"/>
        <v>897558.06999999983</v>
      </c>
      <c r="J374" s="29">
        <f t="shared" si="2"/>
        <v>33517.360000000001</v>
      </c>
      <c r="K374" s="30">
        <f t="shared" si="3"/>
        <v>3.7342831756835532E-2</v>
      </c>
      <c r="L374" s="28">
        <f t="shared" si="4"/>
        <v>325876.40000000002</v>
      </c>
      <c r="M374" s="29">
        <f t="shared" si="4"/>
        <v>308771.38</v>
      </c>
      <c r="N374" s="29">
        <f t="shared" si="4"/>
        <v>17105.02</v>
      </c>
      <c r="O374" s="30">
        <f t="shared" si="5"/>
        <v>5.5397038417226367E-2</v>
      </c>
      <c r="P374" s="28">
        <f t="shared" si="6"/>
        <v>24828.679999999997</v>
      </c>
      <c r="Q374" s="29">
        <f t="shared" si="6"/>
        <v>23303.989999999998</v>
      </c>
      <c r="R374" s="29">
        <f t="shared" si="6"/>
        <v>1524.69</v>
      </c>
      <c r="S374" s="30">
        <f t="shared" si="7"/>
        <v>6.5426135181142805E-2</v>
      </c>
      <c r="T374" s="28">
        <f t="shared" si="8"/>
        <v>580370.35</v>
      </c>
      <c r="U374" s="29">
        <f t="shared" si="8"/>
        <v>553589.78</v>
      </c>
      <c r="V374" s="29">
        <f t="shared" si="8"/>
        <v>26780.570000000003</v>
      </c>
      <c r="W374" s="30">
        <f t="shared" si="9"/>
        <v>4.8376200153116992E-2</v>
      </c>
      <c r="X374" s="28">
        <f t="shared" si="10"/>
        <v>385663.00000000006</v>
      </c>
      <c r="Y374" s="29">
        <f t="shared" si="10"/>
        <v>363921.95</v>
      </c>
      <c r="Z374" s="29">
        <f t="shared" si="10"/>
        <v>21741.059999999998</v>
      </c>
      <c r="AA374" s="30">
        <f t="shared" si="11"/>
        <v>5.9740996661509414E-2</v>
      </c>
      <c r="AB374" s="28">
        <f t="shared" si="12"/>
        <v>194707.35</v>
      </c>
      <c r="AC374" s="29">
        <f t="shared" si="12"/>
        <v>179981.47</v>
      </c>
      <c r="AD374" s="29">
        <f t="shared" si="12"/>
        <v>14725.88</v>
      </c>
      <c r="AE374" s="30">
        <f t="shared" si="13"/>
        <v>8.1818867242277771E-2</v>
      </c>
    </row>
    <row r="375" spans="1:31" x14ac:dyDescent="0.35">
      <c r="A375" s="26"/>
      <c r="B375" s="27" t="s">
        <v>81</v>
      </c>
      <c r="C375" s="27" t="s">
        <v>76</v>
      </c>
      <c r="D375" s="28">
        <f t="shared" si="0"/>
        <v>193000844.41000003</v>
      </c>
      <c r="E375" s="29">
        <f t="shared" si="0"/>
        <v>184305776.06</v>
      </c>
      <c r="F375" s="29">
        <f t="shared" si="0"/>
        <v>8695068.3499999996</v>
      </c>
      <c r="G375" s="30">
        <f t="shared" si="1"/>
        <v>4.717740559128953E-2</v>
      </c>
      <c r="H375" s="28">
        <f t="shared" si="2"/>
        <v>2026508.88</v>
      </c>
      <c r="I375" s="29">
        <f t="shared" si="2"/>
        <v>1920506.9000000001</v>
      </c>
      <c r="J375" s="29">
        <f t="shared" si="2"/>
        <v>106001.98000000001</v>
      </c>
      <c r="K375" s="30">
        <f t="shared" si="3"/>
        <v>5.5194792583145628E-2</v>
      </c>
      <c r="L375" s="28">
        <f t="shared" si="4"/>
        <v>567422.48</v>
      </c>
      <c r="M375" s="29">
        <f t="shared" si="4"/>
        <v>528703.89</v>
      </c>
      <c r="N375" s="29">
        <f t="shared" si="4"/>
        <v>38718.590000000004</v>
      </c>
      <c r="O375" s="30">
        <f t="shared" si="5"/>
        <v>7.3233034090216365E-2</v>
      </c>
      <c r="P375" s="28">
        <f t="shared" si="6"/>
        <v>38600.17</v>
      </c>
      <c r="Q375" s="29">
        <f t="shared" si="6"/>
        <v>35633.54</v>
      </c>
      <c r="R375" s="29">
        <f t="shared" si="6"/>
        <v>2966.63</v>
      </c>
      <c r="S375" s="30">
        <f t="shared" si="7"/>
        <v>8.3253867002829357E-2</v>
      </c>
      <c r="T375" s="28">
        <f t="shared" si="8"/>
        <v>1420486.2100000002</v>
      </c>
      <c r="U375" s="29">
        <f t="shared" si="8"/>
        <v>1332265.83</v>
      </c>
      <c r="V375" s="29">
        <f t="shared" si="8"/>
        <v>88220.38</v>
      </c>
      <c r="W375" s="30">
        <f t="shared" si="9"/>
        <v>6.6218301192938353E-2</v>
      </c>
      <c r="X375" s="28">
        <f t="shared" si="10"/>
        <v>839556.62999999989</v>
      </c>
      <c r="Y375" s="29">
        <f t="shared" si="10"/>
        <v>779484.34999999986</v>
      </c>
      <c r="Z375" s="29">
        <f t="shared" si="10"/>
        <v>60072.259999999995</v>
      </c>
      <c r="AA375" s="30">
        <f t="shared" si="11"/>
        <v>7.7066665931137687E-2</v>
      </c>
      <c r="AB375" s="28">
        <f t="shared" si="12"/>
        <v>580929.57999999996</v>
      </c>
      <c r="AC375" s="29">
        <f t="shared" si="12"/>
        <v>527858.11999999988</v>
      </c>
      <c r="AD375" s="29">
        <f t="shared" si="12"/>
        <v>53071.479999999996</v>
      </c>
      <c r="AE375" s="30">
        <f t="shared" si="13"/>
        <v>0.10054118330130075</v>
      </c>
    </row>
    <row r="376" spans="1:31" x14ac:dyDescent="0.35">
      <c r="A376" s="26"/>
      <c r="B376" s="27" t="s">
        <v>81</v>
      </c>
      <c r="C376" s="27" t="s">
        <v>77</v>
      </c>
      <c r="D376" s="28">
        <f t="shared" si="0"/>
        <v>298101122.88</v>
      </c>
      <c r="E376" s="29">
        <f t="shared" si="0"/>
        <v>289500310.55999994</v>
      </c>
      <c r="F376" s="29">
        <f t="shared" si="0"/>
        <v>8600812.3200000003</v>
      </c>
      <c r="G376" s="30">
        <f t="shared" si="1"/>
        <v>2.9709164399039398E-2</v>
      </c>
      <c r="H376" s="28">
        <f t="shared" si="2"/>
        <v>1937657.3000000003</v>
      </c>
      <c r="I376" s="29">
        <f t="shared" si="2"/>
        <v>1867189.68</v>
      </c>
      <c r="J376" s="29">
        <f t="shared" si="2"/>
        <v>70467.62</v>
      </c>
      <c r="K376" s="30">
        <f t="shared" si="3"/>
        <v>3.7739936523213856E-2</v>
      </c>
      <c r="L376" s="28">
        <f t="shared" si="4"/>
        <v>620050.33000000007</v>
      </c>
      <c r="M376" s="29">
        <f t="shared" si="4"/>
        <v>587275.94000000006</v>
      </c>
      <c r="N376" s="29">
        <f t="shared" si="4"/>
        <v>32774.39</v>
      </c>
      <c r="O376" s="30">
        <f t="shared" si="5"/>
        <v>5.58074795299804E-2</v>
      </c>
      <c r="P376" s="28">
        <f t="shared" si="6"/>
        <v>59620.22</v>
      </c>
      <c r="Q376" s="29">
        <f t="shared" si="6"/>
        <v>55937.11</v>
      </c>
      <c r="R376" s="29">
        <f t="shared" si="6"/>
        <v>3683.11</v>
      </c>
      <c r="S376" s="30">
        <f t="shared" si="7"/>
        <v>6.5843766329722789E-2</v>
      </c>
      <c r="T376" s="28">
        <f t="shared" si="8"/>
        <v>1257986.7399999998</v>
      </c>
      <c r="U376" s="29">
        <f t="shared" si="8"/>
        <v>1199474.5899999999</v>
      </c>
      <c r="V376" s="29">
        <f t="shared" si="8"/>
        <v>58512.15</v>
      </c>
      <c r="W376" s="30">
        <f t="shared" si="9"/>
        <v>4.8781483566067048E-2</v>
      </c>
      <c r="X376" s="28">
        <f t="shared" si="10"/>
        <v>802575.32</v>
      </c>
      <c r="Y376" s="29">
        <f t="shared" si="10"/>
        <v>756947.96000000008</v>
      </c>
      <c r="Z376" s="29">
        <f t="shared" si="10"/>
        <v>45627.38</v>
      </c>
      <c r="AA376" s="30">
        <f t="shared" si="11"/>
        <v>6.0278093622182422E-2</v>
      </c>
      <c r="AB376" s="28">
        <f t="shared" si="12"/>
        <v>455411.42000000004</v>
      </c>
      <c r="AC376" s="29">
        <f t="shared" si="12"/>
        <v>420857.96</v>
      </c>
      <c r="AD376" s="29">
        <f t="shared" si="12"/>
        <v>34553.47</v>
      </c>
      <c r="AE376" s="30">
        <f t="shared" si="13"/>
        <v>8.2102450907664909E-2</v>
      </c>
    </row>
    <row r="377" spans="1:31" x14ac:dyDescent="0.35">
      <c r="A377" s="26"/>
      <c r="B377" s="27" t="s">
        <v>81</v>
      </c>
      <c r="C377" s="27" t="s">
        <v>78</v>
      </c>
      <c r="D377" s="28">
        <f t="shared" si="0"/>
        <v>80361904.940000013</v>
      </c>
      <c r="E377" s="29">
        <f t="shared" si="0"/>
        <v>78626836.609999999</v>
      </c>
      <c r="F377" s="29">
        <f t="shared" si="0"/>
        <v>1735068.33</v>
      </c>
      <c r="G377" s="30">
        <f t="shared" si="1"/>
        <v>2.2067126248588372E-2</v>
      </c>
      <c r="H377" s="28">
        <f t="shared" si="2"/>
        <v>241085.71</v>
      </c>
      <c r="I377" s="29">
        <f t="shared" si="2"/>
        <v>234045.51000000004</v>
      </c>
      <c r="J377" s="29">
        <f t="shared" si="2"/>
        <v>7040.2000000000007</v>
      </c>
      <c r="K377" s="30">
        <f t="shared" si="3"/>
        <v>3.0080474519677818E-2</v>
      </c>
      <c r="L377" s="28">
        <f t="shared" si="4"/>
        <v>43395.43</v>
      </c>
      <c r="M377" s="29">
        <f t="shared" si="4"/>
        <v>41403.520000000004</v>
      </c>
      <c r="N377" s="29">
        <f t="shared" si="4"/>
        <v>1991.91</v>
      </c>
      <c r="O377" s="30">
        <f t="shared" si="5"/>
        <v>4.8109677631273863E-2</v>
      </c>
      <c r="P377" s="28">
        <f t="shared" si="6"/>
        <v>16072.38</v>
      </c>
      <c r="Q377" s="29">
        <f t="shared" si="6"/>
        <v>15189.490000000002</v>
      </c>
      <c r="R377" s="29">
        <f t="shared" si="6"/>
        <v>882.8900000000001</v>
      </c>
      <c r="S377" s="30">
        <f t="shared" si="7"/>
        <v>5.8125058840026889E-2</v>
      </c>
      <c r="T377" s="28">
        <f t="shared" si="8"/>
        <v>181617.89999999997</v>
      </c>
      <c r="U377" s="29">
        <f t="shared" si="8"/>
        <v>174448.33</v>
      </c>
      <c r="V377" s="29">
        <f t="shared" si="8"/>
        <v>7169.5700000000006</v>
      </c>
      <c r="W377" s="30">
        <f t="shared" si="9"/>
        <v>4.1098530435917623E-2</v>
      </c>
      <c r="X377" s="28">
        <f t="shared" si="10"/>
        <v>99870.650000000009</v>
      </c>
      <c r="Y377" s="29">
        <f t="shared" si="10"/>
        <v>94936.75</v>
      </c>
      <c r="Z377" s="29">
        <f t="shared" si="10"/>
        <v>4933.91</v>
      </c>
      <c r="AA377" s="30">
        <f t="shared" si="11"/>
        <v>5.1970496146118338E-2</v>
      </c>
      <c r="AB377" s="28">
        <f t="shared" si="12"/>
        <v>81747.25</v>
      </c>
      <c r="AC377" s="29">
        <f t="shared" si="12"/>
        <v>76020.599999999991</v>
      </c>
      <c r="AD377" s="29">
        <f t="shared" si="12"/>
        <v>5726.64</v>
      </c>
      <c r="AE377" s="30">
        <f t="shared" si="13"/>
        <v>7.5330107891808287E-2</v>
      </c>
    </row>
    <row r="378" spans="1:31" x14ac:dyDescent="0.35">
      <c r="A378" s="26"/>
      <c r="B378" s="27" t="s">
        <v>81</v>
      </c>
      <c r="C378" s="27" t="s">
        <v>79</v>
      </c>
      <c r="D378" s="28">
        <f t="shared" si="0"/>
        <v>120844115.58</v>
      </c>
      <c r="E378" s="29">
        <f t="shared" si="0"/>
        <v>117824460.16</v>
      </c>
      <c r="F378" s="29">
        <f t="shared" si="0"/>
        <v>3019655.42</v>
      </c>
      <c r="G378" s="30">
        <f t="shared" si="1"/>
        <v>2.562842567578457E-2</v>
      </c>
      <c r="H378" s="28">
        <f t="shared" si="2"/>
        <v>543798.5</v>
      </c>
      <c r="I378" s="29">
        <f t="shared" si="2"/>
        <v>526100.89999999991</v>
      </c>
      <c r="J378" s="29">
        <f t="shared" si="2"/>
        <v>17697.599999999999</v>
      </c>
      <c r="K378" s="30">
        <f t="shared" si="3"/>
        <v>3.3639174538572354E-2</v>
      </c>
      <c r="L378" s="28">
        <f t="shared" si="4"/>
        <v>119635.67000000001</v>
      </c>
      <c r="M378" s="29">
        <f t="shared" si="4"/>
        <v>113758.6</v>
      </c>
      <c r="N378" s="29">
        <f t="shared" si="4"/>
        <v>5877.0700000000006</v>
      </c>
      <c r="O378" s="30">
        <f t="shared" si="5"/>
        <v>5.1662643527610221E-2</v>
      </c>
      <c r="P378" s="28">
        <f t="shared" si="6"/>
        <v>24168.850000000002</v>
      </c>
      <c r="Q378" s="29">
        <f t="shared" si="6"/>
        <v>22764.83</v>
      </c>
      <c r="R378" s="29">
        <f t="shared" si="6"/>
        <v>1404.02</v>
      </c>
      <c r="S378" s="30">
        <f t="shared" si="7"/>
        <v>6.1674960893624065E-2</v>
      </c>
      <c r="T378" s="28">
        <f t="shared" si="8"/>
        <v>399994.02</v>
      </c>
      <c r="U378" s="29">
        <f t="shared" si="8"/>
        <v>382896.31</v>
      </c>
      <c r="V378" s="29">
        <f t="shared" si="8"/>
        <v>17097.71</v>
      </c>
      <c r="W378" s="30">
        <f t="shared" si="9"/>
        <v>4.4653629594915659E-2</v>
      </c>
      <c r="X378" s="28">
        <f t="shared" si="10"/>
        <v>225287.97</v>
      </c>
      <c r="Y378" s="29">
        <f t="shared" si="10"/>
        <v>213453.73999999996</v>
      </c>
      <c r="Z378" s="29">
        <f t="shared" si="10"/>
        <v>11834.23</v>
      </c>
      <c r="AA378" s="30">
        <f t="shared" si="11"/>
        <v>5.5441661504736353E-2</v>
      </c>
      <c r="AB378" s="28">
        <f t="shared" si="12"/>
        <v>174706.05</v>
      </c>
      <c r="AC378" s="29">
        <f t="shared" si="12"/>
        <v>161916.35</v>
      </c>
      <c r="AD378" s="29">
        <f t="shared" si="12"/>
        <v>12789.699999999999</v>
      </c>
      <c r="AE378" s="30">
        <f t="shared" si="13"/>
        <v>7.8989552321306639E-2</v>
      </c>
    </row>
    <row r="379" spans="1:31" x14ac:dyDescent="0.35">
      <c r="A379" s="26"/>
      <c r="B379" s="27" t="s">
        <v>82</v>
      </c>
      <c r="C379" s="27" t="s">
        <v>75</v>
      </c>
      <c r="D379" s="28">
        <f t="shared" si="0"/>
        <v>147335555.78</v>
      </c>
      <c r="E379" s="29">
        <f t="shared" si="0"/>
        <v>143898159.30000001</v>
      </c>
      <c r="F379" s="29">
        <f t="shared" si="0"/>
        <v>3437396.4799999995</v>
      </c>
      <c r="G379" s="30">
        <f t="shared" si="1"/>
        <v>2.388770291935207E-2</v>
      </c>
      <c r="H379" s="28">
        <f t="shared" si="2"/>
        <v>1105016.68</v>
      </c>
      <c r="I379" s="29">
        <f t="shared" si="2"/>
        <v>1070848.1499999999</v>
      </c>
      <c r="J379" s="29">
        <f t="shared" si="2"/>
        <v>34168.53</v>
      </c>
      <c r="K379" s="30">
        <f t="shared" si="3"/>
        <v>3.190791336754889E-2</v>
      </c>
      <c r="L379" s="28">
        <f t="shared" si="4"/>
        <v>386755.82999999996</v>
      </c>
      <c r="M379" s="29">
        <f t="shared" si="4"/>
        <v>368355.61</v>
      </c>
      <c r="N379" s="29">
        <f t="shared" si="4"/>
        <v>18400.22</v>
      </c>
      <c r="O379" s="30">
        <f t="shared" si="5"/>
        <v>4.9952327317615716E-2</v>
      </c>
      <c r="P379" s="28">
        <f t="shared" si="6"/>
        <v>22100.34</v>
      </c>
      <c r="Q379" s="29">
        <f t="shared" si="6"/>
        <v>20849.84</v>
      </c>
      <c r="R379" s="29">
        <f t="shared" si="6"/>
        <v>1250.5</v>
      </c>
      <c r="S379" s="30">
        <f t="shared" si="7"/>
        <v>5.9976479435813419E-2</v>
      </c>
      <c r="T379" s="28">
        <f t="shared" si="8"/>
        <v>696160.48</v>
      </c>
      <c r="U379" s="29">
        <f t="shared" si="8"/>
        <v>667501.19000000006</v>
      </c>
      <c r="V379" s="29">
        <f t="shared" si="8"/>
        <v>28659.29</v>
      </c>
      <c r="W379" s="30">
        <f t="shared" si="9"/>
        <v>4.29351893739695E-2</v>
      </c>
      <c r="X379" s="28">
        <f t="shared" si="10"/>
        <v>457765.08999999997</v>
      </c>
      <c r="Y379" s="29">
        <f t="shared" si="10"/>
        <v>434244.16000000003</v>
      </c>
      <c r="Z379" s="29">
        <f t="shared" si="10"/>
        <v>23520.92</v>
      </c>
      <c r="AA379" s="30">
        <f t="shared" si="11"/>
        <v>5.4165195911903566E-2</v>
      </c>
      <c r="AB379" s="28">
        <f t="shared" si="12"/>
        <v>238395.38999999998</v>
      </c>
      <c r="AC379" s="29">
        <f t="shared" si="12"/>
        <v>221428.1</v>
      </c>
      <c r="AD379" s="29">
        <f t="shared" si="12"/>
        <v>16967.310000000001</v>
      </c>
      <c r="AE379" s="30">
        <f t="shared" si="13"/>
        <v>7.6626724431090726E-2</v>
      </c>
    </row>
    <row r="380" spans="1:31" x14ac:dyDescent="0.35">
      <c r="A380" s="26"/>
      <c r="B380" s="27" t="s">
        <v>82</v>
      </c>
      <c r="C380" s="27" t="s">
        <v>76</v>
      </c>
      <c r="D380" s="28">
        <f t="shared" si="0"/>
        <v>229083995.76000002</v>
      </c>
      <c r="E380" s="29">
        <f t="shared" si="0"/>
        <v>219967413.50999999</v>
      </c>
      <c r="F380" s="29">
        <f t="shared" si="0"/>
        <v>9116582.25</v>
      </c>
      <c r="G380" s="30">
        <f t="shared" si="1"/>
        <v>4.1445149099712211E-2</v>
      </c>
      <c r="H380" s="28">
        <f t="shared" si="2"/>
        <v>2405381.9500000002</v>
      </c>
      <c r="I380" s="29">
        <f t="shared" si="2"/>
        <v>2292018.1399999997</v>
      </c>
      <c r="J380" s="29">
        <f t="shared" si="2"/>
        <v>113363.81</v>
      </c>
      <c r="K380" s="30">
        <f t="shared" si="3"/>
        <v>4.946025863477678E-2</v>
      </c>
      <c r="L380" s="28">
        <f t="shared" si="4"/>
        <v>673506.95000000007</v>
      </c>
      <c r="M380" s="29">
        <f t="shared" si="4"/>
        <v>630923.7300000001</v>
      </c>
      <c r="N380" s="29">
        <f t="shared" si="4"/>
        <v>42583.219999999994</v>
      </c>
      <c r="O380" s="30">
        <f t="shared" si="5"/>
        <v>6.7493451229041559E-2</v>
      </c>
      <c r="P380" s="28">
        <f t="shared" si="6"/>
        <v>34362.6</v>
      </c>
      <c r="Q380" s="29">
        <f t="shared" si="6"/>
        <v>31890.699999999997</v>
      </c>
      <c r="R380" s="29">
        <f t="shared" si="6"/>
        <v>2471.9</v>
      </c>
      <c r="S380" s="30">
        <f t="shared" si="7"/>
        <v>7.7511625646348323E-2</v>
      </c>
      <c r="T380" s="28">
        <f t="shared" si="8"/>
        <v>1697512.42</v>
      </c>
      <c r="U380" s="29">
        <f t="shared" si="8"/>
        <v>1600700.9600000002</v>
      </c>
      <c r="V380" s="29">
        <f t="shared" si="8"/>
        <v>96811.459999999992</v>
      </c>
      <c r="W380" s="30">
        <f t="shared" si="9"/>
        <v>6.0480665920260322E-2</v>
      </c>
      <c r="X380" s="28">
        <f t="shared" si="10"/>
        <v>996630.64</v>
      </c>
      <c r="Y380" s="29">
        <f t="shared" si="10"/>
        <v>930386.2699999999</v>
      </c>
      <c r="Z380" s="29">
        <f t="shared" si="10"/>
        <v>66244.31</v>
      </c>
      <c r="AA380" s="30">
        <f t="shared" si="11"/>
        <v>7.1200868000771342E-2</v>
      </c>
      <c r="AB380" s="28">
        <f t="shared" si="12"/>
        <v>700881.78</v>
      </c>
      <c r="AC380" s="29">
        <f t="shared" si="12"/>
        <v>640093.17000000004</v>
      </c>
      <c r="AD380" s="29">
        <f t="shared" si="12"/>
        <v>60788.62</v>
      </c>
      <c r="AE380" s="30">
        <f t="shared" si="13"/>
        <v>9.496839342935029E-2</v>
      </c>
    </row>
    <row r="381" spans="1:31" x14ac:dyDescent="0.35">
      <c r="A381" s="26"/>
      <c r="B381" s="27" t="s">
        <v>82</v>
      </c>
      <c r="C381" s="27" t="s">
        <v>77</v>
      </c>
      <c r="D381" s="28">
        <f t="shared" si="0"/>
        <v>353765421.26999998</v>
      </c>
      <c r="E381" s="29">
        <f t="shared" si="0"/>
        <v>345395755.58999997</v>
      </c>
      <c r="F381" s="29">
        <f t="shared" si="0"/>
        <v>8369665.6799999997</v>
      </c>
      <c r="G381" s="30">
        <f t="shared" si="1"/>
        <v>2.4232103448124483E-2</v>
      </c>
      <c r="H381" s="28">
        <f t="shared" si="2"/>
        <v>2299475.2300000004</v>
      </c>
      <c r="I381" s="29">
        <f t="shared" si="2"/>
        <v>2227617.0499999998</v>
      </c>
      <c r="J381" s="29">
        <f t="shared" si="2"/>
        <v>71858.180000000008</v>
      </c>
      <c r="K381" s="30">
        <f t="shared" si="3"/>
        <v>3.225786945740966E-2</v>
      </c>
      <c r="L381" s="28">
        <f t="shared" si="4"/>
        <v>735832.09000000008</v>
      </c>
      <c r="M381" s="29">
        <f t="shared" si="4"/>
        <v>700582.68000000017</v>
      </c>
      <c r="N381" s="29">
        <f t="shared" si="4"/>
        <v>35249.410000000003</v>
      </c>
      <c r="O381" s="30">
        <f t="shared" si="5"/>
        <v>5.0314418278225199E-2</v>
      </c>
      <c r="P381" s="28">
        <f t="shared" si="6"/>
        <v>53064.810000000005</v>
      </c>
      <c r="Q381" s="29">
        <f t="shared" si="6"/>
        <v>50044.849999999991</v>
      </c>
      <c r="R381" s="29">
        <f t="shared" si="6"/>
        <v>3019.9599999999996</v>
      </c>
      <c r="S381" s="30">
        <f t="shared" si="7"/>
        <v>6.0345070471786812E-2</v>
      </c>
      <c r="T381" s="28">
        <f t="shared" si="8"/>
        <v>1510578.3599999999</v>
      </c>
      <c r="U381" s="29">
        <f t="shared" si="8"/>
        <v>1447895.15</v>
      </c>
      <c r="V381" s="29">
        <f t="shared" si="8"/>
        <v>62683.210000000006</v>
      </c>
      <c r="W381" s="30">
        <f t="shared" si="9"/>
        <v>4.3292644498463866E-2</v>
      </c>
      <c r="X381" s="28">
        <f t="shared" si="10"/>
        <v>952555.70000000019</v>
      </c>
      <c r="Y381" s="29">
        <f t="shared" si="10"/>
        <v>903190.37000000011</v>
      </c>
      <c r="Z381" s="29">
        <f t="shared" si="10"/>
        <v>49365.36</v>
      </c>
      <c r="AA381" s="30">
        <f t="shared" si="11"/>
        <v>5.465665007035006E-2</v>
      </c>
      <c r="AB381" s="28">
        <f t="shared" si="12"/>
        <v>558022.65999999992</v>
      </c>
      <c r="AC381" s="29">
        <f t="shared" si="12"/>
        <v>518207.12</v>
      </c>
      <c r="AD381" s="29">
        <f t="shared" si="12"/>
        <v>39815.51</v>
      </c>
      <c r="AE381" s="30">
        <f t="shared" si="13"/>
        <v>7.683319750604739E-2</v>
      </c>
    </row>
    <row r="382" spans="1:31" x14ac:dyDescent="0.35">
      <c r="A382" s="26"/>
      <c r="B382" s="27" t="s">
        <v>82</v>
      </c>
      <c r="C382" s="27" t="s">
        <v>78</v>
      </c>
      <c r="D382" s="28">
        <f t="shared" si="0"/>
        <v>95384487.309999987</v>
      </c>
      <c r="E382" s="29">
        <f t="shared" si="0"/>
        <v>93889278.760000005</v>
      </c>
      <c r="F382" s="29">
        <f t="shared" si="0"/>
        <v>1495208.55</v>
      </c>
      <c r="G382" s="30">
        <f t="shared" si="1"/>
        <v>1.5925232036578484E-2</v>
      </c>
      <c r="H382" s="28">
        <f t="shared" si="2"/>
        <v>286153.45</v>
      </c>
      <c r="I382" s="29">
        <f t="shared" si="2"/>
        <v>279463.10000000003</v>
      </c>
      <c r="J382" s="29">
        <f t="shared" si="2"/>
        <v>6690.35</v>
      </c>
      <c r="K382" s="30">
        <f t="shared" si="3"/>
        <v>2.3940012116089742E-2</v>
      </c>
      <c r="L382" s="28">
        <f t="shared" si="4"/>
        <v>51507.62</v>
      </c>
      <c r="M382" s="29">
        <f t="shared" si="4"/>
        <v>49432.810000000005</v>
      </c>
      <c r="N382" s="29">
        <f t="shared" si="4"/>
        <v>2074.8100000000004</v>
      </c>
      <c r="O382" s="30">
        <f t="shared" si="5"/>
        <v>4.1972325667911661E-2</v>
      </c>
      <c r="P382" s="28">
        <f t="shared" si="6"/>
        <v>14307.67</v>
      </c>
      <c r="Q382" s="29">
        <f t="shared" si="6"/>
        <v>13600.57</v>
      </c>
      <c r="R382" s="29">
        <f t="shared" si="6"/>
        <v>707.1</v>
      </c>
      <c r="S382" s="30">
        <f t="shared" si="7"/>
        <v>5.1990468046559817E-2</v>
      </c>
      <c r="T382" s="28">
        <f t="shared" si="8"/>
        <v>220338.15999999997</v>
      </c>
      <c r="U382" s="29">
        <f t="shared" si="8"/>
        <v>212895.36000000002</v>
      </c>
      <c r="V382" s="29">
        <f t="shared" si="8"/>
        <v>7442.8</v>
      </c>
      <c r="W382" s="30">
        <f t="shared" si="9"/>
        <v>3.4959897669916334E-2</v>
      </c>
      <c r="X382" s="28">
        <f t="shared" si="10"/>
        <v>118553.88000000002</v>
      </c>
      <c r="Y382" s="29">
        <f t="shared" si="10"/>
        <v>113375.21</v>
      </c>
      <c r="Z382" s="29">
        <f t="shared" si="10"/>
        <v>5178.6500000000005</v>
      </c>
      <c r="AA382" s="30">
        <f t="shared" si="11"/>
        <v>4.5677092902407859E-2</v>
      </c>
      <c r="AB382" s="28">
        <f t="shared" si="12"/>
        <v>101784.28000000001</v>
      </c>
      <c r="AC382" s="29">
        <f t="shared" si="12"/>
        <v>95181.48</v>
      </c>
      <c r="AD382" s="29">
        <f t="shared" si="12"/>
        <v>6602.7999999999993</v>
      </c>
      <c r="AE382" s="30">
        <f t="shared" si="13"/>
        <v>6.9370638069506788E-2</v>
      </c>
    </row>
    <row r="383" spans="1:31" x14ac:dyDescent="0.35">
      <c r="A383" s="26"/>
      <c r="B383" s="27" t="s">
        <v>82</v>
      </c>
      <c r="C383" s="27" t="s">
        <v>79</v>
      </c>
      <c r="D383" s="28">
        <f t="shared" si="0"/>
        <v>143410942.59</v>
      </c>
      <c r="E383" s="29">
        <f t="shared" si="0"/>
        <v>140689258.03000003</v>
      </c>
      <c r="F383" s="29">
        <f t="shared" si="0"/>
        <v>2721684.56</v>
      </c>
      <c r="G383" s="30">
        <f t="shared" si="1"/>
        <v>1.9345361530157749E-2</v>
      </c>
      <c r="H383" s="28">
        <f t="shared" si="2"/>
        <v>645349.24999999988</v>
      </c>
      <c r="I383" s="29">
        <f t="shared" si="2"/>
        <v>628164.24</v>
      </c>
      <c r="J383" s="29">
        <f t="shared" si="2"/>
        <v>17185.010000000002</v>
      </c>
      <c r="K383" s="30">
        <f t="shared" si="3"/>
        <v>2.7357510831880531E-2</v>
      </c>
      <c r="L383" s="28">
        <f t="shared" si="4"/>
        <v>141976.82</v>
      </c>
      <c r="M383" s="29">
        <f t="shared" si="4"/>
        <v>135813.04999999999</v>
      </c>
      <c r="N383" s="29">
        <f t="shared" si="4"/>
        <v>6163.77</v>
      </c>
      <c r="O383" s="30">
        <f t="shared" si="5"/>
        <v>4.5384224859098599E-2</v>
      </c>
      <c r="P383" s="28">
        <f t="shared" si="6"/>
        <v>21511.64</v>
      </c>
      <c r="Q383" s="29">
        <f t="shared" si="6"/>
        <v>20382.48</v>
      </c>
      <c r="R383" s="29">
        <f t="shared" si="6"/>
        <v>1129.1599999999999</v>
      </c>
      <c r="S383" s="30">
        <f t="shared" si="7"/>
        <v>5.5398557977243197E-2</v>
      </c>
      <c r="T383" s="28">
        <f t="shared" si="8"/>
        <v>481860.78</v>
      </c>
      <c r="U383" s="29">
        <f t="shared" si="8"/>
        <v>464053.25999999989</v>
      </c>
      <c r="V383" s="29">
        <f t="shared" si="8"/>
        <v>17807.52</v>
      </c>
      <c r="W383" s="30">
        <f t="shared" si="9"/>
        <v>3.8373871137119056E-2</v>
      </c>
      <c r="X383" s="28">
        <f t="shared" si="10"/>
        <v>267391.56</v>
      </c>
      <c r="Y383" s="29">
        <f t="shared" si="10"/>
        <v>254896.99</v>
      </c>
      <c r="Z383" s="29">
        <f t="shared" si="10"/>
        <v>12494.55</v>
      </c>
      <c r="AA383" s="30">
        <f t="shared" si="11"/>
        <v>4.9018036658651794E-2</v>
      </c>
      <c r="AB383" s="28">
        <f t="shared" si="12"/>
        <v>214469.22</v>
      </c>
      <c r="AC383" s="29">
        <f t="shared" si="12"/>
        <v>199899.17</v>
      </c>
      <c r="AD383" s="29">
        <f t="shared" si="12"/>
        <v>14570.05</v>
      </c>
      <c r="AE383" s="30">
        <f t="shared" si="13"/>
        <v>7.2886995979022817E-2</v>
      </c>
    </row>
    <row r="384" spans="1:31" x14ac:dyDescent="0.35">
      <c r="A384" s="26"/>
      <c r="B384" s="27" t="s">
        <v>83</v>
      </c>
      <c r="C384" s="27" t="s">
        <v>75</v>
      </c>
      <c r="D384" s="28">
        <f t="shared" si="0"/>
        <v>117812868.98</v>
      </c>
      <c r="E384" s="29">
        <f t="shared" si="0"/>
        <v>114594969.47</v>
      </c>
      <c r="F384" s="29">
        <f t="shared" si="0"/>
        <v>3217899.51</v>
      </c>
      <c r="G384" s="30">
        <f t="shared" si="1"/>
        <v>2.8080634995434235E-2</v>
      </c>
      <c r="H384" s="28">
        <f t="shared" si="2"/>
        <v>883596.52</v>
      </c>
      <c r="I384" s="29">
        <f t="shared" si="2"/>
        <v>852817.05</v>
      </c>
      <c r="J384" s="29">
        <f t="shared" si="2"/>
        <v>30779.47</v>
      </c>
      <c r="K384" s="30">
        <f t="shared" si="3"/>
        <v>3.609152748529125E-2</v>
      </c>
      <c r="L384" s="28">
        <f t="shared" si="4"/>
        <v>309258.80000000005</v>
      </c>
      <c r="M384" s="29">
        <f t="shared" si="4"/>
        <v>293382.27</v>
      </c>
      <c r="N384" s="29">
        <f t="shared" si="4"/>
        <v>15876.53</v>
      </c>
      <c r="O384" s="30">
        <f t="shared" si="5"/>
        <v>5.4115506025636792E-2</v>
      </c>
      <c r="P384" s="28">
        <f t="shared" si="6"/>
        <v>9425.0499999999993</v>
      </c>
      <c r="Q384" s="29">
        <f t="shared" si="6"/>
        <v>8857.07</v>
      </c>
      <c r="R384" s="29">
        <f t="shared" si="6"/>
        <v>567.98</v>
      </c>
      <c r="S384" s="30">
        <f t="shared" si="7"/>
        <v>6.4127301692320379E-2</v>
      </c>
      <c r="T384" s="28">
        <f t="shared" si="8"/>
        <v>564912.71</v>
      </c>
      <c r="U384" s="29">
        <f t="shared" si="8"/>
        <v>539498.92999999993</v>
      </c>
      <c r="V384" s="29">
        <f t="shared" si="8"/>
        <v>25413.78</v>
      </c>
      <c r="W384" s="30">
        <f t="shared" si="9"/>
        <v>4.7106265808534602E-2</v>
      </c>
      <c r="X384" s="28">
        <f t="shared" si="10"/>
        <v>366162.64999999997</v>
      </c>
      <c r="Y384" s="29">
        <f t="shared" si="10"/>
        <v>346039.30000000005</v>
      </c>
      <c r="Z384" s="29">
        <f t="shared" si="10"/>
        <v>20123.36</v>
      </c>
      <c r="AA384" s="30">
        <f t="shared" si="11"/>
        <v>5.8153394715571315E-2</v>
      </c>
      <c r="AB384" s="28">
        <f t="shared" si="12"/>
        <v>198750.06</v>
      </c>
      <c r="AC384" s="29">
        <f t="shared" si="12"/>
        <v>183842.18000000002</v>
      </c>
      <c r="AD384" s="29">
        <f t="shared" si="12"/>
        <v>14907.880000000001</v>
      </c>
      <c r="AE384" s="30">
        <f t="shared" si="13"/>
        <v>8.1090639808557533E-2</v>
      </c>
    </row>
    <row r="385" spans="1:31" x14ac:dyDescent="0.35">
      <c r="A385" s="26"/>
      <c r="B385" s="27" t="s">
        <v>83</v>
      </c>
      <c r="C385" s="27" t="s">
        <v>76</v>
      </c>
      <c r="D385" s="28">
        <f t="shared" si="0"/>
        <v>183249522.11000001</v>
      </c>
      <c r="E385" s="29">
        <f t="shared" si="0"/>
        <v>175524901.13999999</v>
      </c>
      <c r="F385" s="29">
        <f t="shared" si="0"/>
        <v>7724620.9700000007</v>
      </c>
      <c r="G385" s="30">
        <f t="shared" si="1"/>
        <v>4.4008690048136158E-2</v>
      </c>
      <c r="H385" s="28">
        <f t="shared" si="2"/>
        <v>1924119.9899999998</v>
      </c>
      <c r="I385" s="29">
        <f t="shared" si="2"/>
        <v>1828965.12</v>
      </c>
      <c r="J385" s="29">
        <f t="shared" si="2"/>
        <v>95154.87</v>
      </c>
      <c r="K385" s="30">
        <f t="shared" si="3"/>
        <v>5.2026618200351461E-2</v>
      </c>
      <c r="L385" s="28">
        <f t="shared" si="4"/>
        <v>538753.58000000007</v>
      </c>
      <c r="M385" s="29">
        <f t="shared" si="4"/>
        <v>503476.97000000003</v>
      </c>
      <c r="N385" s="29">
        <f t="shared" si="4"/>
        <v>35276.61</v>
      </c>
      <c r="O385" s="30">
        <f t="shared" si="5"/>
        <v>7.006598534189161E-2</v>
      </c>
      <c r="P385" s="28">
        <f t="shared" si="6"/>
        <v>14659.940000000004</v>
      </c>
      <c r="Q385" s="29">
        <f t="shared" si="6"/>
        <v>13572.92</v>
      </c>
      <c r="R385" s="29">
        <f t="shared" si="6"/>
        <v>1087.02</v>
      </c>
      <c r="S385" s="30">
        <f t="shared" si="7"/>
        <v>8.0087409341541835E-2</v>
      </c>
      <c r="T385" s="28">
        <f t="shared" si="8"/>
        <v>1370706.44</v>
      </c>
      <c r="U385" s="29">
        <f t="shared" si="8"/>
        <v>1289408.21</v>
      </c>
      <c r="V385" s="29">
        <f t="shared" si="8"/>
        <v>81298.23000000001</v>
      </c>
      <c r="W385" s="30">
        <f t="shared" si="9"/>
        <v>6.3050808401475908E-2</v>
      </c>
      <c r="X385" s="28">
        <f t="shared" si="10"/>
        <v>797484.57000000007</v>
      </c>
      <c r="Y385" s="29">
        <f t="shared" si="10"/>
        <v>742828.92</v>
      </c>
      <c r="Z385" s="29">
        <f t="shared" si="10"/>
        <v>54655.63</v>
      </c>
      <c r="AA385" s="30">
        <f t="shared" si="11"/>
        <v>7.3577681924392485E-2</v>
      </c>
      <c r="AB385" s="28">
        <f t="shared" si="12"/>
        <v>573221.87</v>
      </c>
      <c r="AC385" s="29">
        <f t="shared" si="12"/>
        <v>522148.28</v>
      </c>
      <c r="AD385" s="29">
        <f t="shared" si="12"/>
        <v>51073.599999999999</v>
      </c>
      <c r="AE385" s="30">
        <f t="shared" si="13"/>
        <v>9.781436031925643E-2</v>
      </c>
    </row>
    <row r="386" spans="1:31" x14ac:dyDescent="0.35">
      <c r="A386" s="26"/>
      <c r="B386" s="27" t="s">
        <v>83</v>
      </c>
      <c r="C386" s="27" t="s">
        <v>77</v>
      </c>
      <c r="D386" s="28">
        <f t="shared" si="0"/>
        <v>282815692.88</v>
      </c>
      <c r="E386" s="29">
        <f t="shared" si="0"/>
        <v>274982730.50999999</v>
      </c>
      <c r="F386" s="29">
        <f t="shared" si="0"/>
        <v>7832962.3700000001</v>
      </c>
      <c r="G386" s="30">
        <f t="shared" si="1"/>
        <v>2.8485288350553882E-2</v>
      </c>
      <c r="H386" s="28">
        <f t="shared" si="2"/>
        <v>1838302.0000000002</v>
      </c>
      <c r="I386" s="29">
        <f t="shared" si="2"/>
        <v>1773567.2899999998</v>
      </c>
      <c r="J386" s="29">
        <f t="shared" si="2"/>
        <v>64734.710000000006</v>
      </c>
      <c r="K386" s="30">
        <f t="shared" si="3"/>
        <v>3.6499720289721857E-2</v>
      </c>
      <c r="L386" s="28">
        <f t="shared" si="4"/>
        <v>588256.64</v>
      </c>
      <c r="M386" s="29">
        <f t="shared" si="4"/>
        <v>557837.01</v>
      </c>
      <c r="N386" s="29">
        <f t="shared" si="4"/>
        <v>30419.63</v>
      </c>
      <c r="O386" s="30">
        <f t="shared" si="5"/>
        <v>5.4531394394215615E-2</v>
      </c>
      <c r="P386" s="28">
        <f t="shared" si="6"/>
        <v>22625.26</v>
      </c>
      <c r="Q386" s="29">
        <f t="shared" si="6"/>
        <v>21253.38</v>
      </c>
      <c r="R386" s="29">
        <f t="shared" si="6"/>
        <v>1371.88</v>
      </c>
      <c r="S386" s="30">
        <f t="shared" si="7"/>
        <v>6.4548791768650443E-2</v>
      </c>
      <c r="T386" s="28">
        <f t="shared" si="8"/>
        <v>1227420.1100000001</v>
      </c>
      <c r="U386" s="29">
        <f t="shared" si="8"/>
        <v>1171739.96</v>
      </c>
      <c r="V386" s="29">
        <f t="shared" si="8"/>
        <v>55680.15</v>
      </c>
      <c r="W386" s="30">
        <f t="shared" si="9"/>
        <v>4.7519203834270538E-2</v>
      </c>
      <c r="X386" s="28">
        <f t="shared" si="10"/>
        <v>761782.6399999999</v>
      </c>
      <c r="Y386" s="29">
        <f t="shared" si="10"/>
        <v>719535.88000000012</v>
      </c>
      <c r="Z386" s="29">
        <f t="shared" si="10"/>
        <v>42246.75</v>
      </c>
      <c r="AA386" s="30">
        <f t="shared" si="11"/>
        <v>5.8713889292080879E-2</v>
      </c>
      <c r="AB386" s="28">
        <f t="shared" si="12"/>
        <v>465637.47</v>
      </c>
      <c r="AC386" s="29">
        <f t="shared" si="12"/>
        <v>430631.23000000004</v>
      </c>
      <c r="AD386" s="29">
        <f t="shared" si="12"/>
        <v>35006.240000000005</v>
      </c>
      <c r="AE386" s="30">
        <f t="shared" si="13"/>
        <v>8.129052786069417E-2</v>
      </c>
    </row>
    <row r="387" spans="1:31" x14ac:dyDescent="0.35">
      <c r="A387" s="26"/>
      <c r="B387" s="27" t="s">
        <v>83</v>
      </c>
      <c r="C387" s="27" t="s">
        <v>78</v>
      </c>
      <c r="D387" s="28">
        <f t="shared" si="0"/>
        <v>76296118.209999993</v>
      </c>
      <c r="E387" s="29">
        <f t="shared" si="0"/>
        <v>74907157.939999998</v>
      </c>
      <c r="F387" s="29">
        <f t="shared" si="0"/>
        <v>1388960.2700000003</v>
      </c>
      <c r="G387" s="30">
        <f t="shared" si="1"/>
        <v>1.8542423824336598E-2</v>
      </c>
      <c r="H387" s="28">
        <f t="shared" si="2"/>
        <v>228888.35</v>
      </c>
      <c r="I387" s="29">
        <f t="shared" si="2"/>
        <v>222966.17</v>
      </c>
      <c r="J387" s="29">
        <f t="shared" si="2"/>
        <v>5922.18</v>
      </c>
      <c r="K387" s="30">
        <f t="shared" si="3"/>
        <v>2.6560890380814273E-2</v>
      </c>
      <c r="L387" s="28">
        <f t="shared" si="4"/>
        <v>41199.909999999996</v>
      </c>
      <c r="M387" s="29">
        <f t="shared" si="4"/>
        <v>39440.79</v>
      </c>
      <c r="N387" s="29">
        <f t="shared" si="4"/>
        <v>1759.12</v>
      </c>
      <c r="O387" s="30">
        <f t="shared" si="5"/>
        <v>4.4601540689220467E-2</v>
      </c>
      <c r="P387" s="28">
        <f t="shared" si="6"/>
        <v>6103.6799999999994</v>
      </c>
      <c r="Q387" s="29">
        <f t="shared" si="6"/>
        <v>5787.5500000000011</v>
      </c>
      <c r="R387" s="29">
        <f t="shared" si="6"/>
        <v>316.13</v>
      </c>
      <c r="S387" s="30">
        <f t="shared" si="7"/>
        <v>5.4622422268490109E-2</v>
      </c>
      <c r="T387" s="28">
        <f t="shared" si="8"/>
        <v>181584.75999999998</v>
      </c>
      <c r="U387" s="29">
        <f t="shared" si="8"/>
        <v>175006.99000000002</v>
      </c>
      <c r="V387" s="29">
        <f t="shared" si="8"/>
        <v>6577.7699999999995</v>
      </c>
      <c r="W387" s="30">
        <f t="shared" si="9"/>
        <v>3.7585755860380196E-2</v>
      </c>
      <c r="X387" s="28">
        <f t="shared" si="10"/>
        <v>94860.5</v>
      </c>
      <c r="Y387" s="29">
        <f t="shared" si="10"/>
        <v>90509.93</v>
      </c>
      <c r="Z387" s="29">
        <f t="shared" si="10"/>
        <v>4350.54</v>
      </c>
      <c r="AA387" s="30">
        <f t="shared" si="11"/>
        <v>4.8066991102523229E-2</v>
      </c>
      <c r="AB387" s="28">
        <f t="shared" si="12"/>
        <v>86724.26</v>
      </c>
      <c r="AC387" s="29">
        <f t="shared" si="12"/>
        <v>80880.390000000014</v>
      </c>
      <c r="AD387" s="29">
        <f t="shared" si="12"/>
        <v>5843.89</v>
      </c>
      <c r="AE387" s="30">
        <f t="shared" si="13"/>
        <v>7.2253484435473164E-2</v>
      </c>
    </row>
    <row r="388" spans="1:31" x14ac:dyDescent="0.35">
      <c r="A388" s="26"/>
      <c r="B388" s="27" t="s">
        <v>83</v>
      </c>
      <c r="C388" s="27" t="s">
        <v>79</v>
      </c>
      <c r="D388" s="28">
        <f t="shared" si="0"/>
        <v>114654815.36000001</v>
      </c>
      <c r="E388" s="29">
        <f t="shared" si="0"/>
        <v>112143083.33</v>
      </c>
      <c r="F388" s="29">
        <f t="shared" si="0"/>
        <v>2511732.0300000003</v>
      </c>
      <c r="G388" s="30">
        <f t="shared" si="1"/>
        <v>2.2397565283708169E-2</v>
      </c>
      <c r="H388" s="28">
        <f t="shared" si="2"/>
        <v>515946.67</v>
      </c>
      <c r="I388" s="29">
        <f t="shared" si="2"/>
        <v>500720.84</v>
      </c>
      <c r="J388" s="29">
        <f t="shared" si="2"/>
        <v>15225.83</v>
      </c>
      <c r="K388" s="30">
        <f t="shared" si="3"/>
        <v>3.0407821651681204E-2</v>
      </c>
      <c r="L388" s="28">
        <f t="shared" si="4"/>
        <v>113508.28000000001</v>
      </c>
      <c r="M388" s="29">
        <f t="shared" si="4"/>
        <v>108264.95000000001</v>
      </c>
      <c r="N388" s="29">
        <f t="shared" si="4"/>
        <v>5243.33</v>
      </c>
      <c r="O388" s="30">
        <f t="shared" si="5"/>
        <v>4.8430540077836821E-2</v>
      </c>
      <c r="P388" s="28">
        <f t="shared" si="6"/>
        <v>9172.380000000001</v>
      </c>
      <c r="Q388" s="29">
        <f t="shared" si="6"/>
        <v>8665.9200000000019</v>
      </c>
      <c r="R388" s="29">
        <f t="shared" si="6"/>
        <v>506.46</v>
      </c>
      <c r="S388" s="30">
        <f t="shared" si="7"/>
        <v>5.8442727373435234E-2</v>
      </c>
      <c r="T388" s="28">
        <f t="shared" si="8"/>
        <v>393266.00000000006</v>
      </c>
      <c r="U388" s="29">
        <f t="shared" si="8"/>
        <v>377624.13000000006</v>
      </c>
      <c r="V388" s="29">
        <f t="shared" si="8"/>
        <v>15641.869999999999</v>
      </c>
      <c r="W388" s="30">
        <f t="shared" si="9"/>
        <v>4.1421796853924553E-2</v>
      </c>
      <c r="X388" s="28">
        <f t="shared" si="10"/>
        <v>213850.49</v>
      </c>
      <c r="Y388" s="29">
        <f t="shared" si="10"/>
        <v>203305.10999999996</v>
      </c>
      <c r="Z388" s="29">
        <f t="shared" si="10"/>
        <v>10545.380000000001</v>
      </c>
      <c r="AA388" s="30">
        <f t="shared" si="11"/>
        <v>5.1869724277958398E-2</v>
      </c>
      <c r="AB388" s="28">
        <f t="shared" si="12"/>
        <v>179415.50999999998</v>
      </c>
      <c r="AC388" s="29">
        <f t="shared" si="12"/>
        <v>166721.57999999999</v>
      </c>
      <c r="AD388" s="29">
        <f t="shared" si="12"/>
        <v>12693.94</v>
      </c>
      <c r="AE388" s="30">
        <f t="shared" si="13"/>
        <v>7.6138553869271167E-2</v>
      </c>
    </row>
    <row r="389" spans="1:31" x14ac:dyDescent="0.35">
      <c r="A389" s="26"/>
      <c r="B389" s="27" t="s">
        <v>84</v>
      </c>
      <c r="C389" s="27" t="s">
        <v>75</v>
      </c>
      <c r="D389" s="28">
        <f t="shared" si="0"/>
        <v>286137596.00999999</v>
      </c>
      <c r="E389" s="29">
        <f t="shared" si="0"/>
        <v>277205086.03999996</v>
      </c>
      <c r="F389" s="29">
        <f t="shared" si="0"/>
        <v>8932509.9700000007</v>
      </c>
      <c r="G389" s="30">
        <f t="shared" si="1"/>
        <v>3.222347070757231E-2</v>
      </c>
      <c r="H389" s="28">
        <f t="shared" si="2"/>
        <v>2146031.96</v>
      </c>
      <c r="I389" s="29">
        <f t="shared" si="2"/>
        <v>2063015.57</v>
      </c>
      <c r="J389" s="29">
        <f t="shared" si="2"/>
        <v>83016.390000000014</v>
      </c>
      <c r="K389" s="30">
        <f t="shared" si="3"/>
        <v>4.0240311904189849E-2</v>
      </c>
      <c r="L389" s="28">
        <f t="shared" si="4"/>
        <v>751111.19000000006</v>
      </c>
      <c r="M389" s="29">
        <f t="shared" si="4"/>
        <v>709748.98</v>
      </c>
      <c r="N389" s="29">
        <f t="shared" si="4"/>
        <v>41362.210000000006</v>
      </c>
      <c r="O389" s="30">
        <f t="shared" si="5"/>
        <v>5.8277237679158073E-2</v>
      </c>
      <c r="P389" s="28">
        <f t="shared" si="6"/>
        <v>20029.63</v>
      </c>
      <c r="Q389" s="29">
        <f t="shared" si="6"/>
        <v>18749.099999999999</v>
      </c>
      <c r="R389" s="29">
        <f t="shared" si="6"/>
        <v>1280.53</v>
      </c>
      <c r="S389" s="30">
        <f t="shared" si="7"/>
        <v>6.8298211647492418E-2</v>
      </c>
      <c r="T389" s="28">
        <f t="shared" si="8"/>
        <v>1374891.15</v>
      </c>
      <c r="U389" s="29">
        <f t="shared" si="8"/>
        <v>1307846.96</v>
      </c>
      <c r="V389" s="29">
        <f t="shared" si="8"/>
        <v>67044.19</v>
      </c>
      <c r="W389" s="30">
        <f t="shared" si="9"/>
        <v>5.1263023924450611E-2</v>
      </c>
      <c r="X389" s="28">
        <f t="shared" si="10"/>
        <v>889411.82000000007</v>
      </c>
      <c r="Y389" s="29">
        <f t="shared" si="10"/>
        <v>837095.99</v>
      </c>
      <c r="Z389" s="29">
        <f t="shared" si="10"/>
        <v>52315.799999999996</v>
      </c>
      <c r="AA389" s="30">
        <f t="shared" si="11"/>
        <v>6.2496775310081222E-2</v>
      </c>
      <c r="AB389" s="28">
        <f t="shared" si="12"/>
        <v>485479.33</v>
      </c>
      <c r="AC389" s="29">
        <f t="shared" si="12"/>
        <v>447469.46</v>
      </c>
      <c r="AD389" s="29">
        <f t="shared" si="12"/>
        <v>38009.89</v>
      </c>
      <c r="AE389" s="30">
        <f t="shared" si="13"/>
        <v>8.494409875480663E-2</v>
      </c>
    </row>
    <row r="390" spans="1:31" x14ac:dyDescent="0.35">
      <c r="A390" s="26"/>
      <c r="B390" s="27" t="s">
        <v>84</v>
      </c>
      <c r="C390" s="27" t="s">
        <v>76</v>
      </c>
      <c r="D390" s="28">
        <f t="shared" si="0"/>
        <v>445125098.10000002</v>
      </c>
      <c r="E390" s="29">
        <f t="shared" si="0"/>
        <v>424336556.64999998</v>
      </c>
      <c r="F390" s="29">
        <f t="shared" si="0"/>
        <v>20788541.449999999</v>
      </c>
      <c r="G390" s="30">
        <f t="shared" si="1"/>
        <v>4.8990691761555537E-2</v>
      </c>
      <c r="H390" s="28">
        <f t="shared" si="2"/>
        <v>4673813.5600000005</v>
      </c>
      <c r="I390" s="29">
        <f t="shared" si="2"/>
        <v>4421743.3800000008</v>
      </c>
      <c r="J390" s="29">
        <f t="shared" si="2"/>
        <v>252070.18</v>
      </c>
      <c r="K390" s="30">
        <f t="shared" si="3"/>
        <v>5.7006967238338452E-2</v>
      </c>
      <c r="L390" s="28">
        <f t="shared" si="4"/>
        <v>1308667.78</v>
      </c>
      <c r="M390" s="29">
        <f t="shared" si="4"/>
        <v>1217317.0200000003</v>
      </c>
      <c r="N390" s="29">
        <f t="shared" si="4"/>
        <v>91350.76</v>
      </c>
      <c r="O390" s="30">
        <f t="shared" si="5"/>
        <v>7.5042703337870012E-2</v>
      </c>
      <c r="P390" s="28">
        <f t="shared" si="6"/>
        <v>31158.759999999995</v>
      </c>
      <c r="Q390" s="29">
        <f t="shared" si="6"/>
        <v>28716.12</v>
      </c>
      <c r="R390" s="29">
        <f t="shared" si="6"/>
        <v>2442.64</v>
      </c>
      <c r="S390" s="30">
        <f t="shared" si="7"/>
        <v>8.5061630888852671E-2</v>
      </c>
      <c r="T390" s="28">
        <f t="shared" si="8"/>
        <v>3333986.99</v>
      </c>
      <c r="U390" s="29">
        <f t="shared" si="8"/>
        <v>3121626.08</v>
      </c>
      <c r="V390" s="29">
        <f t="shared" si="8"/>
        <v>212360.90999999997</v>
      </c>
      <c r="W390" s="30">
        <f t="shared" si="9"/>
        <v>6.8028938943257414E-2</v>
      </c>
      <c r="X390" s="28">
        <f t="shared" si="10"/>
        <v>1937340.74</v>
      </c>
      <c r="Y390" s="29">
        <f t="shared" si="10"/>
        <v>1795908.2</v>
      </c>
      <c r="Z390" s="29">
        <f t="shared" si="10"/>
        <v>141432.6</v>
      </c>
      <c r="AA390" s="30">
        <f t="shared" si="11"/>
        <v>7.8752689029428127E-2</v>
      </c>
      <c r="AB390" s="28">
        <f t="shared" si="12"/>
        <v>1396646.25</v>
      </c>
      <c r="AC390" s="29">
        <f t="shared" si="12"/>
        <v>1266790.3099999998</v>
      </c>
      <c r="AD390" s="29">
        <f t="shared" si="12"/>
        <v>129855.90000000001</v>
      </c>
      <c r="AE390" s="30">
        <f t="shared" si="13"/>
        <v>0.10250780967846211</v>
      </c>
    </row>
    <row r="391" spans="1:31" x14ac:dyDescent="0.35">
      <c r="A391" s="26"/>
      <c r="B391" s="27" t="s">
        <v>84</v>
      </c>
      <c r="C391" s="27" t="s">
        <v>77</v>
      </c>
      <c r="D391" s="28">
        <f t="shared" si="0"/>
        <v>686836232</v>
      </c>
      <c r="E391" s="29">
        <f t="shared" si="0"/>
        <v>665304956.68000007</v>
      </c>
      <c r="F391" s="29">
        <f t="shared" si="0"/>
        <v>21531275.32</v>
      </c>
      <c r="G391" s="30">
        <f t="shared" si="1"/>
        <v>3.2363016544240425E-2</v>
      </c>
      <c r="H391" s="28">
        <f t="shared" si="2"/>
        <v>4464435.51</v>
      </c>
      <c r="I391" s="29">
        <f t="shared" si="2"/>
        <v>4291137.54</v>
      </c>
      <c r="J391" s="29">
        <f t="shared" si="2"/>
        <v>173297.97</v>
      </c>
      <c r="K391" s="30">
        <f t="shared" si="3"/>
        <v>4.0385088658798848E-2</v>
      </c>
      <c r="L391" s="28">
        <f t="shared" si="4"/>
        <v>1428619.3599999999</v>
      </c>
      <c r="M391" s="29">
        <f t="shared" si="4"/>
        <v>1349748.8199999998</v>
      </c>
      <c r="N391" s="29">
        <f t="shared" si="4"/>
        <v>78870.540000000008</v>
      </c>
      <c r="O391" s="30">
        <f t="shared" si="5"/>
        <v>5.8433494314890394E-2</v>
      </c>
      <c r="P391" s="28">
        <f t="shared" si="6"/>
        <v>48078.55</v>
      </c>
      <c r="Q391" s="29">
        <f t="shared" si="6"/>
        <v>44998.01</v>
      </c>
      <c r="R391" s="29">
        <f t="shared" si="6"/>
        <v>3080.54</v>
      </c>
      <c r="S391" s="30">
        <f t="shared" si="7"/>
        <v>6.8459471874422889E-2</v>
      </c>
      <c r="T391" s="28">
        <f t="shared" si="8"/>
        <v>2987737.5999999996</v>
      </c>
      <c r="U391" s="29">
        <f t="shared" si="8"/>
        <v>2841635.25</v>
      </c>
      <c r="V391" s="29">
        <f t="shared" si="8"/>
        <v>146102.35</v>
      </c>
      <c r="W391" s="30">
        <f t="shared" si="9"/>
        <v>5.1414885144038101E-2</v>
      </c>
      <c r="X391" s="28">
        <f t="shared" si="10"/>
        <v>1850246.3300000003</v>
      </c>
      <c r="Y391" s="29">
        <f t="shared" si="10"/>
        <v>1740923.1099999999</v>
      </c>
      <c r="Z391" s="29">
        <f t="shared" si="10"/>
        <v>109323.23000000001</v>
      </c>
      <c r="AA391" s="30">
        <f t="shared" si="11"/>
        <v>6.2796127739380758E-2</v>
      </c>
      <c r="AB391" s="28">
        <f t="shared" si="12"/>
        <v>1137491.27</v>
      </c>
      <c r="AC391" s="29">
        <f t="shared" si="12"/>
        <v>1048445.12</v>
      </c>
      <c r="AD391" s="29">
        <f t="shared" si="12"/>
        <v>89046.15</v>
      </c>
      <c r="AE391" s="30">
        <f t="shared" si="13"/>
        <v>8.4931627131804466E-2</v>
      </c>
    </row>
    <row r="392" spans="1:31" x14ac:dyDescent="0.35">
      <c r="A392" s="26"/>
      <c r="B392" s="27" t="s">
        <v>84</v>
      </c>
      <c r="C392" s="27" t="s">
        <v>78</v>
      </c>
      <c r="D392" s="28">
        <f t="shared" si="0"/>
        <v>185325032.82999998</v>
      </c>
      <c r="E392" s="29">
        <f t="shared" si="0"/>
        <v>180992191.34</v>
      </c>
      <c r="F392" s="29">
        <f t="shared" si="0"/>
        <v>4332841.4899999993</v>
      </c>
      <c r="G392" s="30">
        <f t="shared" si="1"/>
        <v>2.3939383560811243E-2</v>
      </c>
      <c r="H392" s="28">
        <f t="shared" si="2"/>
        <v>555975.10999999987</v>
      </c>
      <c r="I392" s="29">
        <f t="shared" si="2"/>
        <v>538759.72</v>
      </c>
      <c r="J392" s="29">
        <f t="shared" si="2"/>
        <v>17215.39</v>
      </c>
      <c r="K392" s="30">
        <f t="shared" si="3"/>
        <v>3.1953743683733445E-2</v>
      </c>
      <c r="L392" s="28">
        <f t="shared" si="4"/>
        <v>100075.51999999999</v>
      </c>
      <c r="M392" s="29">
        <f t="shared" si="4"/>
        <v>95311.359999999986</v>
      </c>
      <c r="N392" s="29">
        <f t="shared" si="4"/>
        <v>4764.16</v>
      </c>
      <c r="O392" s="30">
        <f t="shared" si="5"/>
        <v>4.99852273642932E-2</v>
      </c>
      <c r="P392" s="28">
        <f t="shared" si="6"/>
        <v>12972.75</v>
      </c>
      <c r="Q392" s="29">
        <f t="shared" si="6"/>
        <v>12238.41</v>
      </c>
      <c r="R392" s="29">
        <f t="shared" si="6"/>
        <v>734.34</v>
      </c>
      <c r="S392" s="30">
        <f t="shared" si="7"/>
        <v>6.0002892532608404E-2</v>
      </c>
      <c r="T392" s="28">
        <f t="shared" si="8"/>
        <v>442926.82999999996</v>
      </c>
      <c r="U392" s="29">
        <f t="shared" si="8"/>
        <v>424677.13</v>
      </c>
      <c r="V392" s="29">
        <f t="shared" si="8"/>
        <v>18249.699999999997</v>
      </c>
      <c r="W392" s="30">
        <f t="shared" si="9"/>
        <v>4.2973117012446604E-2</v>
      </c>
      <c r="X392" s="28">
        <f t="shared" si="10"/>
        <v>230442.79</v>
      </c>
      <c r="Y392" s="29">
        <f t="shared" si="10"/>
        <v>218711.19</v>
      </c>
      <c r="Z392" s="29">
        <f t="shared" si="10"/>
        <v>11731.619999999997</v>
      </c>
      <c r="AA392" s="30">
        <f t="shared" si="11"/>
        <v>5.363977947356053E-2</v>
      </c>
      <c r="AB392" s="28">
        <f t="shared" si="12"/>
        <v>212484.04</v>
      </c>
      <c r="AC392" s="29">
        <f t="shared" si="12"/>
        <v>197216.94</v>
      </c>
      <c r="AD392" s="29">
        <f t="shared" si="12"/>
        <v>15267.059999999998</v>
      </c>
      <c r="AE392" s="30">
        <f t="shared" si="13"/>
        <v>7.741251841753552E-2</v>
      </c>
    </row>
    <row r="393" spans="1:31" x14ac:dyDescent="0.35">
      <c r="A393" s="26"/>
      <c r="B393" s="27" t="s">
        <v>84</v>
      </c>
      <c r="C393" s="27" t="s">
        <v>79</v>
      </c>
      <c r="D393" s="28">
        <f t="shared" si="0"/>
        <v>278452784.33999997</v>
      </c>
      <c r="E393" s="29">
        <f t="shared" si="0"/>
        <v>271059238.45000005</v>
      </c>
      <c r="F393" s="29">
        <f t="shared" si="0"/>
        <v>7393545.8899999987</v>
      </c>
      <c r="G393" s="30">
        <f t="shared" si="1"/>
        <v>2.7276494733323109E-2</v>
      </c>
      <c r="H393" s="28">
        <f t="shared" si="2"/>
        <v>1253037.54</v>
      </c>
      <c r="I393" s="29">
        <f t="shared" si="2"/>
        <v>1210329.56</v>
      </c>
      <c r="J393" s="29">
        <f t="shared" si="2"/>
        <v>42707.979999999996</v>
      </c>
      <c r="K393" s="30">
        <f t="shared" si="3"/>
        <v>3.528624055087938E-2</v>
      </c>
      <c r="L393" s="28">
        <f t="shared" si="4"/>
        <v>275668.25</v>
      </c>
      <c r="M393" s="29">
        <f t="shared" si="4"/>
        <v>261716.72000000003</v>
      </c>
      <c r="N393" s="29">
        <f t="shared" si="4"/>
        <v>13951.53</v>
      </c>
      <c r="O393" s="30">
        <f t="shared" si="5"/>
        <v>5.330775198466494E-2</v>
      </c>
      <c r="P393" s="28">
        <f t="shared" si="6"/>
        <v>19491.689999999999</v>
      </c>
      <c r="Q393" s="29">
        <f t="shared" si="6"/>
        <v>18330.98</v>
      </c>
      <c r="R393" s="29">
        <f t="shared" si="6"/>
        <v>1160.71</v>
      </c>
      <c r="S393" s="30">
        <f t="shared" si="7"/>
        <v>6.3319582477314368E-2</v>
      </c>
      <c r="T393" s="28">
        <f t="shared" si="8"/>
        <v>957877.58000000007</v>
      </c>
      <c r="U393" s="29">
        <f t="shared" si="8"/>
        <v>915490.89999999991</v>
      </c>
      <c r="V393" s="29">
        <f t="shared" si="8"/>
        <v>42386.68</v>
      </c>
      <c r="W393" s="30">
        <f t="shared" si="9"/>
        <v>4.6299400682191384E-2</v>
      </c>
      <c r="X393" s="28">
        <f t="shared" si="10"/>
        <v>519419.5</v>
      </c>
      <c r="Y393" s="29">
        <f t="shared" si="10"/>
        <v>491442.94000000006</v>
      </c>
      <c r="Z393" s="29">
        <f t="shared" si="10"/>
        <v>27976.570000000003</v>
      </c>
      <c r="AA393" s="30">
        <f t="shared" si="11"/>
        <v>5.6927402395891578E-2</v>
      </c>
      <c r="AB393" s="28">
        <f t="shared" si="12"/>
        <v>438458.08</v>
      </c>
      <c r="AC393" s="29">
        <f t="shared" si="12"/>
        <v>405680.82999999996</v>
      </c>
      <c r="AD393" s="29">
        <f t="shared" si="12"/>
        <v>32777.249999999993</v>
      </c>
      <c r="AE393" s="30">
        <f t="shared" si="13"/>
        <v>8.0795658991330691E-2</v>
      </c>
    </row>
    <row r="394" spans="1:31" x14ac:dyDescent="0.35">
      <c r="G394" s="5"/>
      <c r="K394" s="5"/>
      <c r="O394" s="5"/>
      <c r="S394" s="5"/>
      <c r="W394" s="5"/>
      <c r="AA394" s="5"/>
      <c r="AE394" s="5"/>
    </row>
    <row r="395" spans="1:31" x14ac:dyDescent="0.35">
      <c r="A395" s="31" t="s">
        <v>97</v>
      </c>
      <c r="B395" s="32" t="s">
        <v>74</v>
      </c>
      <c r="C395" s="32"/>
      <c r="D395" s="33">
        <f>SUM(D364:D368)</f>
        <v>1197664933</v>
      </c>
      <c r="E395" s="34">
        <f>SUM(E364:E368)</f>
        <v>1154507602.0899999</v>
      </c>
      <c r="F395" s="34">
        <f>SUM(F364:F368)</f>
        <v>43157330.909999996</v>
      </c>
      <c r="G395" s="35">
        <f t="shared" ref="G395:G400" si="14">F395/E395</f>
        <v>3.7381590932682014E-2</v>
      </c>
      <c r="H395" s="33">
        <f>SUM(H364:H368)</f>
        <v>8332492.2800000003</v>
      </c>
      <c r="I395" s="34">
        <f>SUM(I364:I368)</f>
        <v>7949976.3800000008</v>
      </c>
      <c r="J395" s="34">
        <f>SUM(J364:J368)</f>
        <v>382515.9</v>
      </c>
      <c r="K395" s="35">
        <f t="shared" ref="K395:K400" si="15">J395/I395</f>
        <v>4.8115350501204884E-2</v>
      </c>
      <c r="L395" s="33">
        <f>SUM(L364:L368)</f>
        <v>2459153.2200000002</v>
      </c>
      <c r="M395" s="34">
        <f>SUM(M364:M368)</f>
        <v>2306712.85</v>
      </c>
      <c r="N395" s="34">
        <f>SUM(N364:N368)</f>
        <v>152440.37</v>
      </c>
      <c r="O395" s="35">
        <f t="shared" ref="O395:O400" si="16">N395/M395</f>
        <v>6.6085542463597061E-2</v>
      </c>
      <c r="P395" s="33">
        <f>SUM(P364:P368)</f>
        <v>215579.65999999997</v>
      </c>
      <c r="Q395" s="34">
        <f>SUM(Q364:Q368)</f>
        <v>200824.49</v>
      </c>
      <c r="R395" s="34">
        <f>SUM(R364:R368)</f>
        <v>14755.17</v>
      </c>
      <c r="S395" s="35">
        <f t="shared" ref="S395:S400" si="17">R395/Q395</f>
        <v>7.3472961390316491E-2</v>
      </c>
      <c r="T395" s="33">
        <f>SUM(T364:T368)</f>
        <v>5657759.4100000001</v>
      </c>
      <c r="U395" s="34">
        <f>SUM(U364:U368)</f>
        <v>5341129.24</v>
      </c>
      <c r="V395" s="34">
        <f>SUM(V364:V368)</f>
        <v>316630.17000000004</v>
      </c>
      <c r="W395" s="35">
        <f t="shared" ref="W395:W400" si="18">V395/U395</f>
        <v>5.9281503175160018E-2</v>
      </c>
      <c r="X395" s="33">
        <f>SUM(X364:X368)</f>
        <v>3452479.85</v>
      </c>
      <c r="Y395" s="34">
        <f>SUM(Y364:Y368)</f>
        <v>3225791.4099999997</v>
      </c>
      <c r="Z395" s="34">
        <f>SUM(Z364:Z368)</f>
        <v>226688.36</v>
      </c>
      <c r="AA395" s="35">
        <f t="shared" ref="AA395:AA400" si="19">Z395/Y395</f>
        <v>7.027371927932563E-2</v>
      </c>
      <c r="AB395" s="33">
        <f>SUM(AB364:AB368)</f>
        <v>2205279.5600000005</v>
      </c>
      <c r="AC395" s="34">
        <f>SUM(AC364:AC368)</f>
        <v>2016860.74</v>
      </c>
      <c r="AD395" s="34">
        <f>SUM(AD364:AD368)</f>
        <v>188418.87000000002</v>
      </c>
      <c r="AE395" s="35">
        <f t="shared" ref="AE395:AE400" si="20">AD395/AC395</f>
        <v>9.342185420298281E-2</v>
      </c>
    </row>
    <row r="396" spans="1:31" x14ac:dyDescent="0.35">
      <c r="A396" s="36"/>
      <c r="B396" s="37" t="s">
        <v>80</v>
      </c>
      <c r="C396" s="37"/>
      <c r="D396" s="38">
        <f>SUM(D369:D373)</f>
        <v>579022150.77999997</v>
      </c>
      <c r="E396" s="39">
        <f>SUM(E369:E373)</f>
        <v>565050681.01999998</v>
      </c>
      <c r="F396" s="39">
        <f>SUM(F369:F373)</f>
        <v>13971469.759999998</v>
      </c>
      <c r="G396" s="40">
        <f t="shared" si="14"/>
        <v>2.4726047112764171E-2</v>
      </c>
      <c r="H396" s="38">
        <f>SUM(H369:H373)</f>
        <v>4028645.1900000004</v>
      </c>
      <c r="I396" s="39">
        <f>SUM(I369:I373)</f>
        <v>3890364.35</v>
      </c>
      <c r="J396" s="39">
        <f>SUM(J369:J373)</f>
        <v>138280.83999999997</v>
      </c>
      <c r="K396" s="40">
        <f t="shared" si="15"/>
        <v>3.554444457111066E-2</v>
      </c>
      <c r="L396" s="38">
        <f>SUM(L369:L373)</f>
        <v>1188942.6000000001</v>
      </c>
      <c r="M396" s="39">
        <f>SUM(M369:M373)</f>
        <v>1128503.78</v>
      </c>
      <c r="N396" s="39">
        <f>SUM(N369:N373)</f>
        <v>60438.82</v>
      </c>
      <c r="O396" s="40">
        <f t="shared" si="16"/>
        <v>5.3556595087346538E-2</v>
      </c>
      <c r="P396" s="38">
        <f>SUM(P369:P373)</f>
        <v>52112.04</v>
      </c>
      <c r="Q396" s="39">
        <f>SUM(Q369:Q373)</f>
        <v>49125.5</v>
      </c>
      <c r="R396" s="39">
        <f>SUM(R369:R373)</f>
        <v>2986.5400000000004</v>
      </c>
      <c r="S396" s="40">
        <f t="shared" si="17"/>
        <v>6.0794088609785149E-2</v>
      </c>
      <c r="T396" s="38">
        <f>SUM(T369:T373)</f>
        <v>2787590.59</v>
      </c>
      <c r="U396" s="39">
        <f>SUM(U369:U373)</f>
        <v>2663402.66</v>
      </c>
      <c r="V396" s="39">
        <f>SUM(V369:V373)</f>
        <v>124187.93</v>
      </c>
      <c r="W396" s="40">
        <f t="shared" si="18"/>
        <v>4.6627545982851869E-2</v>
      </c>
      <c r="X396" s="38">
        <f>SUM(X369:X373)</f>
        <v>1669954.05</v>
      </c>
      <c r="Y396" s="39">
        <f>SUM(Y369:Y373)</f>
        <v>1579062.4</v>
      </c>
      <c r="Z396" s="39">
        <f>SUM(Z369:Z373)</f>
        <v>90891.590000000011</v>
      </c>
      <c r="AA396" s="40">
        <f t="shared" si="19"/>
        <v>5.7560480193816294E-2</v>
      </c>
      <c r="AB396" s="38">
        <f>SUM(AB369:AB373)</f>
        <v>1117636.54</v>
      </c>
      <c r="AC396" s="39">
        <f>SUM(AC369:AC373)</f>
        <v>1034063.25</v>
      </c>
      <c r="AD396" s="39">
        <f>SUM(AD369:AD373)</f>
        <v>83573.25</v>
      </c>
      <c r="AE396" s="40">
        <f t="shared" si="20"/>
        <v>8.0820249631731914E-2</v>
      </c>
    </row>
    <row r="397" spans="1:31" x14ac:dyDescent="0.35">
      <c r="A397" s="36"/>
      <c r="B397" s="37" t="s">
        <v>81</v>
      </c>
      <c r="C397" s="37"/>
      <c r="D397" s="38">
        <f>SUM(D374:D378)</f>
        <v>816451378.55000007</v>
      </c>
      <c r="E397" s="39">
        <f>SUM(E374:E378)</f>
        <v>790864794.05999994</v>
      </c>
      <c r="F397" s="39">
        <f>SUM(F374:F378)</f>
        <v>25586584.490000002</v>
      </c>
      <c r="G397" s="40">
        <f t="shared" si="14"/>
        <v>3.2352665945146172E-2</v>
      </c>
      <c r="H397" s="38">
        <f>SUM(H374:H378)</f>
        <v>5680125.8199999994</v>
      </c>
      <c r="I397" s="39">
        <f>SUM(I374:I378)</f>
        <v>5445401.0599999987</v>
      </c>
      <c r="J397" s="39">
        <f>SUM(J374:J378)</f>
        <v>234724.76000000004</v>
      </c>
      <c r="K397" s="40">
        <f t="shared" si="15"/>
        <v>4.3105137236668492E-2</v>
      </c>
      <c r="L397" s="38">
        <f>SUM(L374:L378)</f>
        <v>1676380.3099999998</v>
      </c>
      <c r="M397" s="39">
        <f>SUM(M374:M378)</f>
        <v>1579913.33</v>
      </c>
      <c r="N397" s="39">
        <f>SUM(N374:N378)</f>
        <v>96466.98000000001</v>
      </c>
      <c r="O397" s="40">
        <f t="shared" si="16"/>
        <v>6.1058399956660916E-2</v>
      </c>
      <c r="P397" s="38">
        <f>SUM(P374:P378)</f>
        <v>163290.29999999999</v>
      </c>
      <c r="Q397" s="39">
        <f>SUM(Q374:Q378)</f>
        <v>152828.96000000002</v>
      </c>
      <c r="R397" s="39">
        <f>SUM(R374:R378)</f>
        <v>10461.34</v>
      </c>
      <c r="S397" s="40">
        <f t="shared" si="17"/>
        <v>6.8451293524473364E-2</v>
      </c>
      <c r="T397" s="38">
        <f>SUM(T374:T378)</f>
        <v>3840455.2199999997</v>
      </c>
      <c r="U397" s="39">
        <f>SUM(U374:U378)</f>
        <v>3642674.8400000003</v>
      </c>
      <c r="V397" s="39">
        <f>SUM(V374:V378)</f>
        <v>197780.38</v>
      </c>
      <c r="W397" s="40">
        <f t="shared" si="18"/>
        <v>5.4295370486595503E-2</v>
      </c>
      <c r="X397" s="38">
        <f>SUM(X374:X378)</f>
        <v>2352953.5699999998</v>
      </c>
      <c r="Y397" s="39">
        <f>SUM(Y374:Y378)</f>
        <v>2208744.7499999995</v>
      </c>
      <c r="Z397" s="39">
        <f>SUM(Z374:Z378)</f>
        <v>144208.84</v>
      </c>
      <c r="AA397" s="40">
        <f t="shared" si="19"/>
        <v>6.5289952585059916E-2</v>
      </c>
      <c r="AB397" s="38">
        <f>SUM(AB374:AB378)</f>
        <v>1487501.6500000001</v>
      </c>
      <c r="AC397" s="39">
        <f>SUM(AC374:AC378)</f>
        <v>1366634.5</v>
      </c>
      <c r="AD397" s="39">
        <f>SUM(AD374:AD378)</f>
        <v>120867.17</v>
      </c>
      <c r="AE397" s="40">
        <f t="shared" si="20"/>
        <v>8.8441474293236413E-2</v>
      </c>
    </row>
    <row r="398" spans="1:31" x14ac:dyDescent="0.35">
      <c r="A398" s="36"/>
      <c r="B398" s="37" t="s">
        <v>82</v>
      </c>
      <c r="C398" s="37"/>
      <c r="D398" s="38">
        <f>SUM(D379:D383)</f>
        <v>968980402.70999992</v>
      </c>
      <c r="E398" s="39">
        <f>SUM(E379:E383)</f>
        <v>943839865.19000006</v>
      </c>
      <c r="F398" s="39">
        <f>SUM(F379:F383)</f>
        <v>25140537.52</v>
      </c>
      <c r="G398" s="40">
        <f t="shared" si="14"/>
        <v>2.6636443794349662E-2</v>
      </c>
      <c r="H398" s="38">
        <f>SUM(H379:H383)</f>
        <v>6741376.5600000005</v>
      </c>
      <c r="I398" s="39">
        <f>SUM(I379:I383)</f>
        <v>6498110.6799999997</v>
      </c>
      <c r="J398" s="39">
        <f>SUM(J379:J383)</f>
        <v>243265.88000000003</v>
      </c>
      <c r="K398" s="40">
        <f t="shared" si="15"/>
        <v>3.7436401437225139E-2</v>
      </c>
      <c r="L398" s="38">
        <f>SUM(L379:L383)</f>
        <v>1989579.3100000003</v>
      </c>
      <c r="M398" s="39">
        <f>SUM(M379:M383)</f>
        <v>1885107.8800000004</v>
      </c>
      <c r="N398" s="39">
        <f>SUM(N379:N383)</f>
        <v>104471.43000000001</v>
      </c>
      <c r="O398" s="40">
        <f t="shared" si="16"/>
        <v>5.5419337592498945E-2</v>
      </c>
      <c r="P398" s="38">
        <f>SUM(P379:P383)</f>
        <v>145347.06</v>
      </c>
      <c r="Q398" s="39">
        <f>SUM(Q379:Q383)</f>
        <v>136768.44</v>
      </c>
      <c r="R398" s="39">
        <f>SUM(R379:R383)</f>
        <v>8578.619999999999</v>
      </c>
      <c r="S398" s="40">
        <f t="shared" si="17"/>
        <v>6.2723680989561617E-2</v>
      </c>
      <c r="T398" s="38">
        <f>SUM(T379:T383)</f>
        <v>4606450.2</v>
      </c>
      <c r="U398" s="39">
        <f>SUM(U379:U383)</f>
        <v>4393045.92</v>
      </c>
      <c r="V398" s="39">
        <f>SUM(V379:V383)</f>
        <v>213404.28</v>
      </c>
      <c r="W398" s="40">
        <f t="shared" si="18"/>
        <v>4.8577748533983001E-2</v>
      </c>
      <c r="X398" s="38">
        <f>SUM(X379:X383)</f>
        <v>2792896.87</v>
      </c>
      <c r="Y398" s="39">
        <f>SUM(Y379:Y383)</f>
        <v>2636093</v>
      </c>
      <c r="Z398" s="39">
        <f>SUM(Z379:Z383)</f>
        <v>156803.78999999998</v>
      </c>
      <c r="AA398" s="40">
        <f t="shared" si="19"/>
        <v>5.948340593446437E-2</v>
      </c>
      <c r="AB398" s="38">
        <f>SUM(AB379:AB383)</f>
        <v>1813553.33</v>
      </c>
      <c r="AC398" s="39">
        <f>SUM(AC379:AC383)</f>
        <v>1674809.04</v>
      </c>
      <c r="AD398" s="39">
        <f>SUM(AD379:AD383)</f>
        <v>138744.29</v>
      </c>
      <c r="AE398" s="40">
        <f t="shared" si="20"/>
        <v>8.2841856406507097E-2</v>
      </c>
    </row>
    <row r="399" spans="1:31" x14ac:dyDescent="0.35">
      <c r="A399" s="36"/>
      <c r="B399" s="37" t="s">
        <v>83</v>
      </c>
      <c r="C399" s="37"/>
      <c r="D399" s="38">
        <f>SUM(D384:D388)</f>
        <v>774829017.54000008</v>
      </c>
      <c r="E399" s="39">
        <f>SUM(E384:E388)</f>
        <v>752152842.38999999</v>
      </c>
      <c r="F399" s="39">
        <f>SUM(F384:F388)</f>
        <v>22676175.150000002</v>
      </c>
      <c r="G399" s="40">
        <f t="shared" si="14"/>
        <v>3.014836064162893E-2</v>
      </c>
      <c r="H399" s="38">
        <f>SUM(H384:H388)</f>
        <v>5390853.5299999993</v>
      </c>
      <c r="I399" s="39">
        <f>SUM(I384:I388)</f>
        <v>5179036.47</v>
      </c>
      <c r="J399" s="39">
        <f>SUM(J384:J388)</f>
        <v>211817.05999999997</v>
      </c>
      <c r="K399" s="40">
        <f t="shared" si="15"/>
        <v>4.0898931920438857E-2</v>
      </c>
      <c r="L399" s="38">
        <f>SUM(L384:L388)</f>
        <v>1590977.21</v>
      </c>
      <c r="M399" s="39">
        <f>SUM(M384:M388)</f>
        <v>1502401.99</v>
      </c>
      <c r="N399" s="39">
        <f>SUM(N384:N388)</f>
        <v>88575.22</v>
      </c>
      <c r="O399" s="40">
        <f t="shared" si="16"/>
        <v>5.8955739269221819E-2</v>
      </c>
      <c r="P399" s="38">
        <f>SUM(P384:P388)</f>
        <v>61986.31</v>
      </c>
      <c r="Q399" s="39">
        <f>SUM(Q384:Q388)</f>
        <v>58136.84</v>
      </c>
      <c r="R399" s="39">
        <f>SUM(R384:R388)</f>
        <v>3849.4700000000003</v>
      </c>
      <c r="S399" s="40">
        <f t="shared" si="17"/>
        <v>6.6213953149156374E-2</v>
      </c>
      <c r="T399" s="38">
        <f>SUM(T384:T388)</f>
        <v>3737890.0199999996</v>
      </c>
      <c r="U399" s="39">
        <f>SUM(U384:U388)</f>
        <v>3553278.2199999997</v>
      </c>
      <c r="V399" s="39">
        <f>SUM(V384:V388)</f>
        <v>184611.8</v>
      </c>
      <c r="W399" s="40">
        <f t="shared" si="18"/>
        <v>5.1955346181701473E-2</v>
      </c>
      <c r="X399" s="38">
        <f>SUM(X384:X388)</f>
        <v>2234140.8499999996</v>
      </c>
      <c r="Y399" s="39">
        <f>SUM(Y384:Y388)</f>
        <v>2102219.14</v>
      </c>
      <c r="Z399" s="39">
        <f>SUM(Z384:Z388)</f>
        <v>131921.65999999997</v>
      </c>
      <c r="AA399" s="40">
        <f t="shared" si="19"/>
        <v>6.2753524354268772E-2</v>
      </c>
      <c r="AB399" s="38">
        <f>SUM(AB384:AB388)</f>
        <v>1503749.17</v>
      </c>
      <c r="AC399" s="39">
        <f>SUM(AC384:AC388)</f>
        <v>1384223.6600000001</v>
      </c>
      <c r="AD399" s="39">
        <f>SUM(AD384:AD388)</f>
        <v>119525.55</v>
      </c>
      <c r="AE399" s="40">
        <f t="shared" si="20"/>
        <v>8.6348437361632724E-2</v>
      </c>
    </row>
    <row r="400" spans="1:31" x14ac:dyDescent="0.35">
      <c r="A400" s="36"/>
      <c r="B400" s="37" t="s">
        <v>84</v>
      </c>
      <c r="C400" s="37"/>
      <c r="D400" s="38">
        <f>SUM(D389:D393)</f>
        <v>1881876743.28</v>
      </c>
      <c r="E400" s="39">
        <f>SUM(E389:E393)</f>
        <v>1818898029.1599998</v>
      </c>
      <c r="F400" s="39">
        <f>SUM(F389:F393)</f>
        <v>62978714.120000005</v>
      </c>
      <c r="G400" s="40">
        <f t="shared" si="14"/>
        <v>3.4624653559652663E-2</v>
      </c>
      <c r="H400" s="38">
        <f>SUM(H389:H393)</f>
        <v>13093293.68</v>
      </c>
      <c r="I400" s="39">
        <f>SUM(I389:I393)</f>
        <v>12524985.770000003</v>
      </c>
      <c r="J400" s="39">
        <f>SUM(J389:J393)</f>
        <v>568307.91</v>
      </c>
      <c r="K400" s="40">
        <f t="shared" si="15"/>
        <v>4.5373936580528337E-2</v>
      </c>
      <c r="L400" s="38">
        <f>SUM(L389:L393)</f>
        <v>3864142.1</v>
      </c>
      <c r="M400" s="39">
        <f>SUM(M389:M393)</f>
        <v>3633842.9000000004</v>
      </c>
      <c r="N400" s="39">
        <f>SUM(N389:N393)</f>
        <v>230299.2</v>
      </c>
      <c r="O400" s="40">
        <f t="shared" si="16"/>
        <v>6.3376212548979474E-2</v>
      </c>
      <c r="P400" s="38">
        <f>SUM(P389:P393)</f>
        <v>131731.38</v>
      </c>
      <c r="Q400" s="39">
        <f>SUM(Q389:Q393)</f>
        <v>123032.62000000001</v>
      </c>
      <c r="R400" s="39">
        <f>SUM(R389:R393)</f>
        <v>8698.76</v>
      </c>
      <c r="S400" s="40">
        <f t="shared" si="17"/>
        <v>7.0702875383780325E-2</v>
      </c>
      <c r="T400" s="38">
        <f>SUM(T389:T393)</f>
        <v>9097420.1500000004</v>
      </c>
      <c r="U400" s="39">
        <f>SUM(U389:U393)</f>
        <v>8611276.3200000003</v>
      </c>
      <c r="V400" s="39">
        <f>SUM(V389:V393)</f>
        <v>486143.82999999996</v>
      </c>
      <c r="W400" s="40">
        <f t="shared" si="18"/>
        <v>5.6454329408860492E-2</v>
      </c>
      <c r="X400" s="38">
        <f>SUM(X389:X393)</f>
        <v>5426861.1800000006</v>
      </c>
      <c r="Y400" s="39">
        <f>SUM(Y389:Y393)</f>
        <v>5084081.4300000006</v>
      </c>
      <c r="Z400" s="39">
        <f>SUM(Z389:Z393)</f>
        <v>342779.82</v>
      </c>
      <c r="AA400" s="40">
        <f t="shared" si="19"/>
        <v>6.7422173448547604E-2</v>
      </c>
      <c r="AB400" s="38">
        <f>SUM(AB389:AB393)</f>
        <v>3670558.97</v>
      </c>
      <c r="AC400" s="39">
        <f>SUM(AC389:AC393)</f>
        <v>3365602.6599999997</v>
      </c>
      <c r="AD400" s="39">
        <f>SUM(AD389:AD393)</f>
        <v>304956.25</v>
      </c>
      <c r="AE400" s="40">
        <f t="shared" si="20"/>
        <v>9.0609700789813383E-2</v>
      </c>
    </row>
    <row r="401" spans="1:31" x14ac:dyDescent="0.35">
      <c r="G401" s="5"/>
      <c r="K401" s="5"/>
      <c r="O401" s="5"/>
      <c r="S401" s="5"/>
      <c r="W401" s="5"/>
      <c r="AA401" s="5"/>
      <c r="AE401" s="5"/>
    </row>
    <row r="402" spans="1:31" x14ac:dyDescent="0.35">
      <c r="A402" s="31" t="s">
        <v>98</v>
      </c>
      <c r="B402" s="32"/>
      <c r="C402" s="32" t="s">
        <v>75</v>
      </c>
      <c r="D402" s="33">
        <f t="shared" ref="D402:F406" si="21">D364+D369+D374+D379+D384+D389</f>
        <v>945575419.82000005</v>
      </c>
      <c r="E402" s="34">
        <f t="shared" si="21"/>
        <v>918430809.51999998</v>
      </c>
      <c r="F402" s="34">
        <f t="shared" si="21"/>
        <v>27144610.299999997</v>
      </c>
      <c r="G402" s="35">
        <f>F402/E402</f>
        <v>2.9555422159875711E-2</v>
      </c>
      <c r="H402" s="33">
        <f t="shared" ref="H402:J406" si="22">H364+H369+H374+H379+H384+H389</f>
        <v>7091815.669999999</v>
      </c>
      <c r="I402" s="34">
        <f t="shared" si="22"/>
        <v>6834997.9199999999</v>
      </c>
      <c r="J402" s="34">
        <f t="shared" si="22"/>
        <v>256817.75000000003</v>
      </c>
      <c r="K402" s="35">
        <f>J402/I402</f>
        <v>3.7573932429228893E-2</v>
      </c>
      <c r="L402" s="33">
        <f t="shared" ref="L402:N406" si="23">L364+L369+L374+L379+L384+L389</f>
        <v>2482135.4900000002</v>
      </c>
      <c r="M402" s="34">
        <f t="shared" si="23"/>
        <v>2351365.38</v>
      </c>
      <c r="N402" s="34">
        <f t="shared" si="23"/>
        <v>130770.11</v>
      </c>
      <c r="O402" s="35">
        <f>N402/M402</f>
        <v>5.5614542559948722E-2</v>
      </c>
      <c r="P402" s="33">
        <f t="shared" ref="P402:R406" si="24">P364+P369+P374+P379+P384+P389</f>
        <v>117086.48</v>
      </c>
      <c r="Q402" s="34">
        <f t="shared" si="24"/>
        <v>109861.16</v>
      </c>
      <c r="R402" s="34">
        <f t="shared" si="24"/>
        <v>7225.3199999999988</v>
      </c>
      <c r="S402" s="35">
        <f>R402/Q402</f>
        <v>6.5767738116000216E-2</v>
      </c>
      <c r="T402" s="33">
        <f t="shared" ref="T402:V406" si="25">T364+T369+T374+T379+T384+T389</f>
        <v>4492593.7300000004</v>
      </c>
      <c r="U402" s="34">
        <f t="shared" si="25"/>
        <v>4284391.3100000005</v>
      </c>
      <c r="V402" s="34">
        <f t="shared" si="25"/>
        <v>208202.42</v>
      </c>
      <c r="W402" s="35">
        <f>V402/U402</f>
        <v>4.859556584246736E-2</v>
      </c>
      <c r="X402" s="33">
        <f t="shared" ref="X402:Z406" si="26">X364+X369+X374+X379+X384+X389</f>
        <v>2938549.33</v>
      </c>
      <c r="Y402" s="34">
        <f t="shared" si="26"/>
        <v>2772625.99</v>
      </c>
      <c r="Z402" s="34">
        <f t="shared" si="26"/>
        <v>165923.32</v>
      </c>
      <c r="AA402" s="35">
        <f>Z402/Y402</f>
        <v>5.9843383347928582E-2</v>
      </c>
      <c r="AB402" s="33">
        <f t="shared" ref="AB402:AD406" si="27">AB364+AB369+AB374+AB379+AB384+AB389</f>
        <v>1554044.4000000001</v>
      </c>
      <c r="AC402" s="34">
        <f t="shared" si="27"/>
        <v>1435941.1300000001</v>
      </c>
      <c r="AD402" s="34">
        <f t="shared" si="27"/>
        <v>118103.29000000001</v>
      </c>
      <c r="AE402" s="35">
        <f>AD402/AC402</f>
        <v>8.2248002743677939E-2</v>
      </c>
    </row>
    <row r="403" spans="1:31" x14ac:dyDescent="0.35">
      <c r="A403" s="36"/>
      <c r="B403" s="37"/>
      <c r="C403" s="37" t="s">
        <v>76</v>
      </c>
      <c r="D403" s="38">
        <f t="shared" si="21"/>
        <v>1470617000.53</v>
      </c>
      <c r="E403" s="39">
        <f t="shared" si="21"/>
        <v>1405113818.7</v>
      </c>
      <c r="F403" s="39">
        <f t="shared" si="21"/>
        <v>65503181.829999998</v>
      </c>
      <c r="G403" s="40">
        <f>F403/E403</f>
        <v>4.6617705240848753E-2</v>
      </c>
      <c r="H403" s="38">
        <f t="shared" si="22"/>
        <v>15441478.560000002</v>
      </c>
      <c r="I403" s="39">
        <f t="shared" si="22"/>
        <v>14641549.49</v>
      </c>
      <c r="J403" s="39">
        <f t="shared" si="22"/>
        <v>799929.06999999983</v>
      </c>
      <c r="K403" s="40">
        <f>J403/I403</f>
        <v>5.463418134442271E-2</v>
      </c>
      <c r="L403" s="38">
        <f t="shared" si="23"/>
        <v>4323613.97</v>
      </c>
      <c r="M403" s="39">
        <f t="shared" si="23"/>
        <v>4030701.3800000008</v>
      </c>
      <c r="N403" s="39">
        <f t="shared" si="23"/>
        <v>292912.59000000003</v>
      </c>
      <c r="O403" s="40">
        <f>N403/M403</f>
        <v>7.2670377283072254E-2</v>
      </c>
      <c r="P403" s="38">
        <f t="shared" si="24"/>
        <v>182082.09999999998</v>
      </c>
      <c r="Q403" s="39">
        <f t="shared" si="24"/>
        <v>168124.37</v>
      </c>
      <c r="R403" s="39">
        <f t="shared" si="24"/>
        <v>13957.730000000001</v>
      </c>
      <c r="S403" s="40">
        <f>R403/Q403</f>
        <v>8.3020266484864755E-2</v>
      </c>
      <c r="T403" s="38">
        <f t="shared" si="25"/>
        <v>10935782.439999999</v>
      </c>
      <c r="U403" s="39">
        <f t="shared" si="25"/>
        <v>10262067.99</v>
      </c>
      <c r="V403" s="39">
        <f t="shared" si="25"/>
        <v>673714.45</v>
      </c>
      <c r="W403" s="40">
        <f>V403/U403</f>
        <v>6.5650943908821244E-2</v>
      </c>
      <c r="X403" s="38">
        <f t="shared" si="26"/>
        <v>6399357.2600000007</v>
      </c>
      <c r="Y403" s="39">
        <f t="shared" si="26"/>
        <v>5945206.9899999993</v>
      </c>
      <c r="Z403" s="39">
        <f t="shared" si="26"/>
        <v>454150.22</v>
      </c>
      <c r="AA403" s="40">
        <f>Z403/Y403</f>
        <v>7.6389303310026552E-2</v>
      </c>
      <c r="AB403" s="38">
        <f t="shared" si="27"/>
        <v>4536425.1800000006</v>
      </c>
      <c r="AC403" s="39">
        <f t="shared" si="27"/>
        <v>4123582.7299999995</v>
      </c>
      <c r="AD403" s="39">
        <f t="shared" si="27"/>
        <v>412842.44</v>
      </c>
      <c r="AE403" s="40">
        <f>AD403/AC403</f>
        <v>0.10011741415940988</v>
      </c>
    </row>
    <row r="404" spans="1:31" x14ac:dyDescent="0.35">
      <c r="A404" s="36"/>
      <c r="B404" s="37"/>
      <c r="C404" s="37" t="s">
        <v>77</v>
      </c>
      <c r="D404" s="38">
        <f t="shared" si="21"/>
        <v>2270051032.5100002</v>
      </c>
      <c r="E404" s="39">
        <f t="shared" si="21"/>
        <v>2204332169.4000001</v>
      </c>
      <c r="F404" s="39">
        <f t="shared" si="21"/>
        <v>65718863.109999999</v>
      </c>
      <c r="G404" s="40">
        <f>F404/E404</f>
        <v>2.9813502711747885E-2</v>
      </c>
      <c r="H404" s="38">
        <f t="shared" si="22"/>
        <v>14755331.720000001</v>
      </c>
      <c r="I404" s="39">
        <f t="shared" si="22"/>
        <v>14217385.419999998</v>
      </c>
      <c r="J404" s="39">
        <f t="shared" si="22"/>
        <v>537946.30000000005</v>
      </c>
      <c r="K404" s="40">
        <f>J404/I404</f>
        <v>3.7837217189262924E-2</v>
      </c>
      <c r="L404" s="38">
        <f t="shared" si="23"/>
        <v>4721706.16</v>
      </c>
      <c r="M404" s="39">
        <f t="shared" si="23"/>
        <v>4471781.6400000006</v>
      </c>
      <c r="N404" s="39">
        <f t="shared" si="23"/>
        <v>249924.52000000005</v>
      </c>
      <c r="O404" s="40">
        <f>N404/M404</f>
        <v>5.5889249547524868E-2</v>
      </c>
      <c r="P404" s="38">
        <f t="shared" si="24"/>
        <v>281106.74</v>
      </c>
      <c r="Q404" s="39">
        <f t="shared" si="24"/>
        <v>263681.40999999997</v>
      </c>
      <c r="R404" s="39">
        <f t="shared" si="24"/>
        <v>17425.330000000002</v>
      </c>
      <c r="S404" s="40">
        <f>R404/Q404</f>
        <v>6.6084787698912878E-2</v>
      </c>
      <c r="T404" s="38">
        <f t="shared" si="25"/>
        <v>9752518.8299999982</v>
      </c>
      <c r="U404" s="39">
        <f t="shared" si="25"/>
        <v>9298168.4800000004</v>
      </c>
      <c r="V404" s="39">
        <f t="shared" si="25"/>
        <v>454350.35</v>
      </c>
      <c r="W404" s="40">
        <f>V404/U404</f>
        <v>4.8864499603044398E-2</v>
      </c>
      <c r="X404" s="38">
        <f t="shared" si="26"/>
        <v>6113878.4900000002</v>
      </c>
      <c r="Y404" s="39">
        <f t="shared" si="26"/>
        <v>5766421.5500000007</v>
      </c>
      <c r="Z404" s="39">
        <f t="shared" si="26"/>
        <v>347456.92000000004</v>
      </c>
      <c r="AA404" s="40">
        <f>Z404/Y404</f>
        <v>6.0255206281268146E-2</v>
      </c>
      <c r="AB404" s="38">
        <f t="shared" si="27"/>
        <v>3638640.34</v>
      </c>
      <c r="AC404" s="39">
        <f t="shared" si="27"/>
        <v>3361777.5500000003</v>
      </c>
      <c r="AD404" s="39">
        <f t="shared" si="27"/>
        <v>276862.78000000003</v>
      </c>
      <c r="AE404" s="40">
        <f>AD404/AC404</f>
        <v>8.2356067848689152E-2</v>
      </c>
    </row>
    <row r="405" spans="1:31" x14ac:dyDescent="0.35">
      <c r="A405" s="36"/>
      <c r="B405" s="37"/>
      <c r="C405" s="37" t="s">
        <v>78</v>
      </c>
      <c r="D405" s="38">
        <f t="shared" si="21"/>
        <v>612302776.43000007</v>
      </c>
      <c r="E405" s="39">
        <f t="shared" si="21"/>
        <v>599454958.15999997</v>
      </c>
      <c r="F405" s="39">
        <f t="shared" si="21"/>
        <v>12847818.27</v>
      </c>
      <c r="G405" s="40">
        <f>F405/E405</f>
        <v>2.1432499798543329E-2</v>
      </c>
      <c r="H405" s="38">
        <f t="shared" si="22"/>
        <v>1836908.3299999998</v>
      </c>
      <c r="I405" s="39">
        <f t="shared" si="22"/>
        <v>1784363.97</v>
      </c>
      <c r="J405" s="39">
        <f t="shared" si="22"/>
        <v>52544.36</v>
      </c>
      <c r="K405" s="40">
        <f>J405/I405</f>
        <v>2.944710882051715E-2</v>
      </c>
      <c r="L405" s="38">
        <f t="shared" si="23"/>
        <v>330643.53000000003</v>
      </c>
      <c r="M405" s="39">
        <f t="shared" si="23"/>
        <v>315656.41000000003</v>
      </c>
      <c r="N405" s="39">
        <f t="shared" si="23"/>
        <v>14987.119999999999</v>
      </c>
      <c r="O405" s="40">
        <f>N405/M405</f>
        <v>4.7479219572952751E-2</v>
      </c>
      <c r="P405" s="38">
        <f t="shared" si="24"/>
        <v>75812.34</v>
      </c>
      <c r="Q405" s="39">
        <f t="shared" si="24"/>
        <v>71665.98</v>
      </c>
      <c r="R405" s="39">
        <f t="shared" si="24"/>
        <v>4146.3599999999997</v>
      </c>
      <c r="S405" s="40">
        <f>R405/Q405</f>
        <v>5.7856740394814941E-2</v>
      </c>
      <c r="T405" s="38">
        <f t="shared" si="25"/>
        <v>1430452.4699999997</v>
      </c>
      <c r="U405" s="39">
        <f t="shared" si="25"/>
        <v>1374843.25</v>
      </c>
      <c r="V405" s="39">
        <f t="shared" si="25"/>
        <v>55609.219999999994</v>
      </c>
      <c r="W405" s="40">
        <f>V405/U405</f>
        <v>4.0447680126443501E-2</v>
      </c>
      <c r="X405" s="38">
        <f t="shared" si="26"/>
        <v>761210.92</v>
      </c>
      <c r="Y405" s="39">
        <f t="shared" si="26"/>
        <v>724155.96</v>
      </c>
      <c r="Z405" s="39">
        <f t="shared" si="26"/>
        <v>37054.93</v>
      </c>
      <c r="AA405" s="40">
        <f>Z405/Y405</f>
        <v>5.1169819827209598E-2</v>
      </c>
      <c r="AB405" s="38">
        <f t="shared" si="27"/>
        <v>669241.55000000005</v>
      </c>
      <c r="AC405" s="39">
        <f t="shared" si="27"/>
        <v>622640.57000000007</v>
      </c>
      <c r="AD405" s="39">
        <f t="shared" si="27"/>
        <v>46600.969999999994</v>
      </c>
      <c r="AE405" s="40">
        <f>AD405/AC405</f>
        <v>7.4844095045075512E-2</v>
      </c>
    </row>
    <row r="406" spans="1:31" x14ac:dyDescent="0.35">
      <c r="A406" s="36"/>
      <c r="B406" s="37"/>
      <c r="C406" s="37" t="s">
        <v>79</v>
      </c>
      <c r="D406" s="38">
        <f t="shared" si="21"/>
        <v>920278396.56999993</v>
      </c>
      <c r="E406" s="39">
        <f t="shared" si="21"/>
        <v>897982058.13</v>
      </c>
      <c r="F406" s="39">
        <f t="shared" si="21"/>
        <v>22296338.439999998</v>
      </c>
      <c r="G406" s="40">
        <f>F406/E406</f>
        <v>2.4829380763387345E-2</v>
      </c>
      <c r="H406" s="38">
        <f t="shared" si="22"/>
        <v>4141252.78</v>
      </c>
      <c r="I406" s="39">
        <f t="shared" si="22"/>
        <v>4009577.9099999997</v>
      </c>
      <c r="J406" s="39">
        <f t="shared" si="22"/>
        <v>131674.87</v>
      </c>
      <c r="K406" s="40">
        <f>J406/I406</f>
        <v>3.2840082660970167E-2</v>
      </c>
      <c r="L406" s="38">
        <f t="shared" si="23"/>
        <v>911075.6</v>
      </c>
      <c r="M406" s="39">
        <f t="shared" si="23"/>
        <v>866977.91999999993</v>
      </c>
      <c r="N406" s="39">
        <f t="shared" si="23"/>
        <v>44097.68</v>
      </c>
      <c r="O406" s="40">
        <f>N406/M406</f>
        <v>5.0863671360857732E-2</v>
      </c>
      <c r="P406" s="38">
        <f t="shared" si="24"/>
        <v>113959.09000000001</v>
      </c>
      <c r="Q406" s="39">
        <f t="shared" si="24"/>
        <v>107383.93</v>
      </c>
      <c r="R406" s="39">
        <f t="shared" si="24"/>
        <v>6575.16</v>
      </c>
      <c r="S406" s="40">
        <f>R406/Q406</f>
        <v>6.1230390804285148E-2</v>
      </c>
      <c r="T406" s="38">
        <f t="shared" si="25"/>
        <v>3116218.12</v>
      </c>
      <c r="U406" s="39">
        <f t="shared" si="25"/>
        <v>2985336.17</v>
      </c>
      <c r="V406" s="39">
        <f t="shared" si="25"/>
        <v>130881.94999999998</v>
      </c>
      <c r="W406" s="40">
        <f>V406/U406</f>
        <v>4.3841611981675077E-2</v>
      </c>
      <c r="X406" s="38">
        <f t="shared" si="26"/>
        <v>1716290.3699999999</v>
      </c>
      <c r="Y406" s="39">
        <f t="shared" si="26"/>
        <v>1627581.6399999997</v>
      </c>
      <c r="Z406" s="39">
        <f t="shared" si="26"/>
        <v>88708.670000000013</v>
      </c>
      <c r="AA406" s="40">
        <f>Z406/Y406</f>
        <v>5.4503361195448255E-2</v>
      </c>
      <c r="AB406" s="38">
        <f t="shared" si="27"/>
        <v>1399927.75</v>
      </c>
      <c r="AC406" s="39">
        <f t="shared" si="27"/>
        <v>1298251.8700000001</v>
      </c>
      <c r="AD406" s="39">
        <f t="shared" si="27"/>
        <v>101675.9</v>
      </c>
      <c r="AE406" s="40">
        <f>AD406/AC406</f>
        <v>7.8317545577654343E-2</v>
      </c>
    </row>
    <row r="407" spans="1:31" x14ac:dyDescent="0.35">
      <c r="G407" s="5"/>
      <c r="K407" s="5"/>
      <c r="O407" s="5"/>
      <c r="S407" s="5"/>
      <c r="W407" s="5"/>
      <c r="AA407" s="5"/>
      <c r="AE407" s="5"/>
    </row>
    <row r="408" spans="1:31" x14ac:dyDescent="0.35">
      <c r="A408" s="41" t="s">
        <v>99</v>
      </c>
      <c r="B408" s="42"/>
      <c r="C408" s="42"/>
      <c r="D408" s="43">
        <f>SUM(D402:D406)</f>
        <v>6218824625.8600006</v>
      </c>
      <c r="E408" s="43">
        <f>SUM(E402:E406)</f>
        <v>6025313813.9100008</v>
      </c>
      <c r="F408" s="43">
        <f>SUM(F402:F406)</f>
        <v>193510811.95000002</v>
      </c>
      <c r="G408" s="44">
        <f>F408/E408</f>
        <v>3.211630429991251E-2</v>
      </c>
      <c r="H408" s="43">
        <f>SUM(H402:H406)</f>
        <v>43266787.060000002</v>
      </c>
      <c r="I408" s="43">
        <f>SUM(I402:I406)</f>
        <v>41487874.709999993</v>
      </c>
      <c r="J408" s="43">
        <f>SUM(J402:J406)</f>
        <v>1778912.35</v>
      </c>
      <c r="K408" s="44">
        <f>J408/I408</f>
        <v>4.2877885705994517E-2</v>
      </c>
      <c r="L408" s="43">
        <f>SUM(L402:L406)</f>
        <v>12769174.75</v>
      </c>
      <c r="M408" s="43">
        <f>SUM(M402:M406)</f>
        <v>12036482.730000002</v>
      </c>
      <c r="N408" s="43">
        <f>SUM(N402:N406)</f>
        <v>732692.02000000014</v>
      </c>
      <c r="O408" s="44">
        <f>N408/M408</f>
        <v>6.0872601775419158E-2</v>
      </c>
      <c r="P408" s="43">
        <f>SUM(P402:P406)</f>
        <v>770046.74999999988</v>
      </c>
      <c r="Q408" s="43">
        <f>SUM(Q402:Q406)</f>
        <v>720716.84999999986</v>
      </c>
      <c r="R408" s="43">
        <f>SUM(R402:R406)</f>
        <v>49329.900000000009</v>
      </c>
      <c r="S408" s="44">
        <f>R408/Q408</f>
        <v>6.844560384567118E-2</v>
      </c>
      <c r="T408" s="43">
        <f>SUM(T402:T406)</f>
        <v>29727565.59</v>
      </c>
      <c r="U408" s="43">
        <f>SUM(U402:U406)</f>
        <v>28204807.200000003</v>
      </c>
      <c r="V408" s="43">
        <f>SUM(V402:V406)</f>
        <v>1522758.39</v>
      </c>
      <c r="W408" s="44">
        <f>V408/U408</f>
        <v>5.3989321011916003E-2</v>
      </c>
      <c r="X408" s="43">
        <f>SUM(X402:X406)</f>
        <v>17929286.370000001</v>
      </c>
      <c r="Y408" s="43">
        <f>SUM(Y402:Y406)</f>
        <v>16835992.130000003</v>
      </c>
      <c r="Z408" s="43">
        <f>SUM(Z402:Z406)</f>
        <v>1093294.06</v>
      </c>
      <c r="AA408" s="44">
        <f>Z408/Y408</f>
        <v>6.4937905147381403E-2</v>
      </c>
      <c r="AB408" s="43">
        <f>SUM(AB402:AB406)</f>
        <v>11798279.220000003</v>
      </c>
      <c r="AC408" s="43">
        <f>SUM(AC402:AC406)</f>
        <v>10842193.850000001</v>
      </c>
      <c r="AD408" s="43">
        <f>SUM(AD402:AD406)</f>
        <v>956085.38</v>
      </c>
      <c r="AE408" s="44">
        <f>AD408/AC408</f>
        <v>8.818191163405549E-2</v>
      </c>
    </row>
  </sheetData>
  <conditionalFormatting sqref="F3:G406">
    <cfRule type="cellIs" dxfId="35" priority="1" operator="greaterThan">
      <formula>0</formula>
    </cfRule>
    <cfRule type="cellIs" dxfId="34" priority="2" operator="lessThan">
      <formula>0</formula>
    </cfRule>
  </conditionalFormatting>
  <conditionalFormatting sqref="J3:K406">
    <cfRule type="cellIs" dxfId="33" priority="5" operator="greaterThan">
      <formula>0</formula>
    </cfRule>
    <cfRule type="cellIs" dxfId="32" priority="6" operator="lessThan">
      <formula>0</formula>
    </cfRule>
  </conditionalFormatting>
  <conditionalFormatting sqref="N3:O406">
    <cfRule type="cellIs" dxfId="31" priority="9" operator="greaterThan">
      <formula>0</formula>
    </cfRule>
    <cfRule type="cellIs" dxfId="30" priority="10" operator="lessThan">
      <formula>0</formula>
    </cfRule>
  </conditionalFormatting>
  <conditionalFormatting sqref="R3:S406">
    <cfRule type="cellIs" dxfId="29" priority="13" operator="greaterThan">
      <formula>0</formula>
    </cfRule>
    <cfRule type="cellIs" dxfId="28" priority="14" operator="lessThan">
      <formula>0</formula>
    </cfRule>
  </conditionalFormatting>
  <conditionalFormatting sqref="V3:W406">
    <cfRule type="cellIs" dxfId="27" priority="17" operator="greaterThan">
      <formula>0</formula>
    </cfRule>
    <cfRule type="cellIs" dxfId="26" priority="18" operator="lessThan">
      <formula>0</formula>
    </cfRule>
  </conditionalFormatting>
  <conditionalFormatting sqref="Z3:AA406">
    <cfRule type="cellIs" dxfId="25" priority="21" operator="greaterThan">
      <formula>0</formula>
    </cfRule>
    <cfRule type="cellIs" dxfId="24" priority="22" operator="lessThan">
      <formula>0</formula>
    </cfRule>
  </conditionalFormatting>
  <conditionalFormatting sqref="AD3:AE406">
    <cfRule type="cellIs" dxfId="23" priority="25" operator="greaterThan">
      <formula>0</formula>
    </cfRule>
    <cfRule type="cellIs" dxfId="22" priority="26" operator="lessThan">
      <formula>0</formula>
    </cfRule>
  </conditionalFormatting>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766E"/>
    <pageSetUpPr fitToPage="1"/>
  </sheetPr>
  <dimension ref="A1:S44"/>
  <sheetViews>
    <sheetView showGridLines="0" zoomScale="70" zoomScaleNormal="70" workbookViewId="0">
      <pane xSplit="2" ySplit="2" topLeftCell="C3" activePane="bottomRight" state="frozen"/>
      <selection pane="topRight"/>
      <selection pane="bottomLeft"/>
      <selection pane="bottomRight" activeCell="C3" sqref="C3"/>
    </sheetView>
  </sheetViews>
  <sheetFormatPr defaultColWidth="8.81640625" defaultRowHeight="14.5" x14ac:dyDescent="0.35"/>
  <cols>
    <col min="1" max="1" width="22" customWidth="1"/>
    <col min="2" max="2" width="24" customWidth="1"/>
    <col min="3" max="3" width="16" customWidth="1"/>
    <col min="4" max="4" width="14" customWidth="1"/>
    <col min="5" max="7" width="16" customWidth="1"/>
    <col min="8" max="8" width="60" customWidth="1"/>
  </cols>
  <sheetData>
    <row r="1" spans="1:19" ht="40" customHeight="1" x14ac:dyDescent="0.35">
      <c r="A1" s="45" t="s">
        <v>100</v>
      </c>
      <c r="B1" s="46" t="s">
        <v>101</v>
      </c>
      <c r="C1" s="133" t="s">
        <v>102</v>
      </c>
      <c r="D1" s="134"/>
      <c r="E1" s="134"/>
      <c r="F1" s="134"/>
      <c r="G1" s="134"/>
      <c r="H1" s="134"/>
      <c r="I1" s="47"/>
      <c r="J1" s="47"/>
      <c r="K1" s="47"/>
      <c r="L1" s="47"/>
      <c r="M1" s="47"/>
      <c r="N1" s="47"/>
      <c r="O1" s="47"/>
      <c r="P1" s="47"/>
      <c r="Q1" s="47"/>
      <c r="R1" s="47"/>
      <c r="S1" s="47"/>
    </row>
    <row r="2" spans="1:19" ht="34" customHeight="1" x14ac:dyDescent="0.35">
      <c r="A2" s="9" t="s">
        <v>43</v>
      </c>
      <c r="B2" s="9" t="s">
        <v>44</v>
      </c>
      <c r="C2" s="9" t="s">
        <v>103</v>
      </c>
      <c r="D2" s="9" t="s">
        <v>104</v>
      </c>
      <c r="E2" s="9" t="s">
        <v>105</v>
      </c>
      <c r="F2" s="9" t="s">
        <v>106</v>
      </c>
      <c r="G2" s="9" t="s">
        <v>107</v>
      </c>
      <c r="H2" s="9" t="s">
        <v>108</v>
      </c>
      <c r="I2" s="47"/>
      <c r="J2" s="47"/>
      <c r="K2" s="47"/>
      <c r="L2" s="47"/>
      <c r="M2" s="47"/>
      <c r="N2" s="47"/>
      <c r="O2" s="47"/>
      <c r="P2" s="47"/>
      <c r="Q2" s="47"/>
      <c r="R2" s="47"/>
      <c r="S2" s="47"/>
    </row>
    <row r="3" spans="1:19" x14ac:dyDescent="0.35">
      <c r="A3" s="48" t="s">
        <v>74</v>
      </c>
      <c r="B3" s="49" t="s">
        <v>75</v>
      </c>
      <c r="C3" s="50">
        <v>0.2</v>
      </c>
      <c r="D3" s="51">
        <v>7.4999999999999997E-3</v>
      </c>
      <c r="E3" s="50">
        <v>0.35</v>
      </c>
      <c r="F3" s="52">
        <v>6.9999999999999994E-5</v>
      </c>
      <c r="G3" s="50">
        <v>0.4</v>
      </c>
      <c r="H3" s="53"/>
      <c r="I3" s="47"/>
      <c r="J3" s="47"/>
      <c r="K3" s="47"/>
      <c r="L3" s="54"/>
      <c r="M3" s="54"/>
      <c r="N3" s="54"/>
      <c r="O3" s="54"/>
      <c r="P3" s="54"/>
      <c r="Q3" s="47"/>
      <c r="R3" s="47"/>
      <c r="S3" s="47"/>
    </row>
    <row r="4" spans="1:19" x14ac:dyDescent="0.35">
      <c r="A4" s="48" t="s">
        <v>74</v>
      </c>
      <c r="B4" s="49" t="s">
        <v>76</v>
      </c>
      <c r="C4" s="50">
        <v>0.2</v>
      </c>
      <c r="D4" s="51">
        <v>1.0500000000000001E-2</v>
      </c>
      <c r="E4" s="50">
        <v>0.28000000000000003</v>
      </c>
      <c r="F4" s="52">
        <v>6.9999999999999994E-5</v>
      </c>
      <c r="G4" s="50">
        <v>0.4</v>
      </c>
      <c r="H4" s="53"/>
      <c r="I4" s="47"/>
      <c r="J4" s="47"/>
      <c r="K4" s="47"/>
      <c r="L4" s="54"/>
      <c r="M4" s="54"/>
      <c r="N4" s="54"/>
      <c r="O4" s="54"/>
      <c r="P4" s="54"/>
      <c r="Q4" s="47"/>
      <c r="R4" s="47"/>
      <c r="S4" s="47"/>
    </row>
    <row r="5" spans="1:19" x14ac:dyDescent="0.35">
      <c r="A5" s="48" t="s">
        <v>74</v>
      </c>
      <c r="B5" s="49" t="s">
        <v>77</v>
      </c>
      <c r="C5" s="50">
        <v>0.4</v>
      </c>
      <c r="D5" s="51">
        <v>6.4999999999999997E-3</v>
      </c>
      <c r="E5" s="50">
        <v>0.32</v>
      </c>
      <c r="F5" s="52">
        <v>6.9999999999999994E-5</v>
      </c>
      <c r="G5" s="50">
        <v>0.4</v>
      </c>
      <c r="H5" s="53"/>
      <c r="I5" s="47"/>
      <c r="J5" s="47"/>
      <c r="K5" s="47"/>
      <c r="L5" s="54"/>
      <c r="M5" s="54"/>
      <c r="N5" s="54"/>
      <c r="O5" s="54"/>
      <c r="P5" s="54"/>
      <c r="Q5" s="47"/>
      <c r="R5" s="47"/>
      <c r="S5" s="47"/>
    </row>
    <row r="6" spans="1:19" x14ac:dyDescent="0.35">
      <c r="A6" s="48" t="s">
        <v>74</v>
      </c>
      <c r="B6" s="49" t="s">
        <v>78</v>
      </c>
      <c r="C6" s="50">
        <v>0.2</v>
      </c>
      <c r="D6" s="51">
        <v>3.0000000000000001E-3</v>
      </c>
      <c r="E6" s="50">
        <v>0.18</v>
      </c>
      <c r="F6" s="52">
        <v>6.9999999999999994E-5</v>
      </c>
      <c r="G6" s="50">
        <v>0.4</v>
      </c>
      <c r="H6" s="53"/>
      <c r="I6" s="47"/>
      <c r="J6" s="47"/>
      <c r="K6" s="47"/>
      <c r="L6" s="54"/>
      <c r="M6" s="54"/>
      <c r="N6" s="54"/>
      <c r="O6" s="54"/>
      <c r="P6" s="54"/>
      <c r="Q6" s="47"/>
      <c r="R6" s="47"/>
      <c r="S6" s="47"/>
    </row>
    <row r="7" spans="1:19" x14ac:dyDescent="0.35">
      <c r="A7" s="48" t="s">
        <v>74</v>
      </c>
      <c r="B7" s="49" t="s">
        <v>79</v>
      </c>
      <c r="C7" s="50">
        <v>0.2</v>
      </c>
      <c r="D7" s="51">
        <v>4.4999999999999997E-3</v>
      </c>
      <c r="E7" s="50">
        <v>0.22</v>
      </c>
      <c r="F7" s="52">
        <v>6.9999999999999994E-5</v>
      </c>
      <c r="G7" s="50">
        <v>0.4</v>
      </c>
      <c r="H7" s="53"/>
      <c r="I7" s="47"/>
      <c r="J7" s="47"/>
      <c r="K7" s="47"/>
      <c r="L7" s="54"/>
      <c r="M7" s="54"/>
      <c r="N7" s="54"/>
      <c r="O7" s="54"/>
      <c r="P7" s="54"/>
      <c r="Q7" s="47"/>
      <c r="R7" s="47"/>
      <c r="S7" s="47"/>
    </row>
    <row r="8" spans="1:19" x14ac:dyDescent="0.35">
      <c r="A8" s="55" t="s">
        <v>80</v>
      </c>
      <c r="B8" s="56" t="s">
        <v>75</v>
      </c>
      <c r="C8" s="50">
        <v>0.06</v>
      </c>
      <c r="D8" s="51">
        <v>7.4999999999999997E-3</v>
      </c>
      <c r="E8" s="50">
        <v>0.35</v>
      </c>
      <c r="F8" s="52">
        <v>1.4999999999999999E-4</v>
      </c>
      <c r="G8" s="50">
        <v>0.4</v>
      </c>
      <c r="H8" s="57"/>
      <c r="I8" s="47"/>
      <c r="J8" s="47"/>
      <c r="K8" s="47"/>
      <c r="L8" s="54"/>
      <c r="M8" s="54"/>
      <c r="N8" s="54"/>
      <c r="O8" s="54"/>
      <c r="P8" s="54"/>
      <c r="Q8" s="47"/>
      <c r="R8" s="47"/>
      <c r="S8" s="47"/>
    </row>
    <row r="9" spans="1:19" x14ac:dyDescent="0.35">
      <c r="A9" s="55" t="s">
        <v>80</v>
      </c>
      <c r="B9" s="56" t="s">
        <v>76</v>
      </c>
      <c r="C9" s="50">
        <v>0.06</v>
      </c>
      <c r="D9" s="51">
        <v>1.0500000000000001E-2</v>
      </c>
      <c r="E9" s="50">
        <v>0.28000000000000003</v>
      </c>
      <c r="F9" s="52">
        <v>1.4999999999999999E-4</v>
      </c>
      <c r="G9" s="50">
        <v>0.4</v>
      </c>
      <c r="H9" s="57"/>
      <c r="I9" s="47"/>
      <c r="J9" s="47"/>
      <c r="K9" s="47"/>
      <c r="L9" s="54"/>
      <c r="M9" s="54"/>
      <c r="N9" s="54"/>
      <c r="O9" s="54"/>
      <c r="P9" s="54"/>
      <c r="Q9" s="47"/>
      <c r="R9" s="47"/>
      <c r="S9" s="47"/>
    </row>
    <row r="10" spans="1:19" x14ac:dyDescent="0.35">
      <c r="A10" s="55" t="s">
        <v>80</v>
      </c>
      <c r="B10" s="56" t="s">
        <v>77</v>
      </c>
      <c r="C10" s="50">
        <v>0.12</v>
      </c>
      <c r="D10" s="51">
        <v>6.4999999999999997E-3</v>
      </c>
      <c r="E10" s="50">
        <v>0.32</v>
      </c>
      <c r="F10" s="52">
        <v>1.4999999999999999E-4</v>
      </c>
      <c r="G10" s="50">
        <v>0.4</v>
      </c>
      <c r="H10" s="57"/>
      <c r="I10" s="47"/>
      <c r="J10" s="47"/>
      <c r="K10" s="47"/>
      <c r="L10" s="54"/>
      <c r="M10" s="54"/>
      <c r="N10" s="54"/>
      <c r="O10" s="54"/>
      <c r="P10" s="54"/>
      <c r="Q10" s="47"/>
      <c r="R10" s="47"/>
      <c r="S10" s="47"/>
    </row>
    <row r="11" spans="1:19" x14ac:dyDescent="0.35">
      <c r="A11" s="55" t="s">
        <v>80</v>
      </c>
      <c r="B11" s="56" t="s">
        <v>78</v>
      </c>
      <c r="C11" s="50">
        <v>0.06</v>
      </c>
      <c r="D11" s="51">
        <v>3.0000000000000001E-3</v>
      </c>
      <c r="E11" s="50">
        <v>0.18</v>
      </c>
      <c r="F11" s="52">
        <v>1.4999999999999999E-4</v>
      </c>
      <c r="G11" s="50">
        <v>0.4</v>
      </c>
      <c r="H11" s="57"/>
      <c r="I11" s="47"/>
      <c r="J11" s="47"/>
      <c r="K11" s="47"/>
      <c r="L11" s="54"/>
      <c r="M11" s="54"/>
      <c r="N11" s="54"/>
      <c r="O11" s="54"/>
      <c r="P11" s="54"/>
      <c r="Q11" s="47"/>
      <c r="R11" s="47"/>
      <c r="S11" s="47"/>
    </row>
    <row r="12" spans="1:19" x14ac:dyDescent="0.35">
      <c r="A12" s="55" t="s">
        <v>80</v>
      </c>
      <c r="B12" s="56" t="s">
        <v>79</v>
      </c>
      <c r="C12" s="50">
        <v>0.06</v>
      </c>
      <c r="D12" s="51">
        <v>4.4999999999999997E-3</v>
      </c>
      <c r="E12" s="50">
        <v>0.22</v>
      </c>
      <c r="F12" s="52">
        <v>1.4999999999999999E-4</v>
      </c>
      <c r="G12" s="50">
        <v>0.4</v>
      </c>
      <c r="H12" s="57"/>
      <c r="I12" s="47"/>
      <c r="J12" s="47"/>
      <c r="K12" s="47"/>
      <c r="L12" s="54"/>
      <c r="M12" s="54"/>
      <c r="N12" s="54"/>
      <c r="O12" s="54"/>
      <c r="P12" s="54"/>
      <c r="Q12" s="47"/>
      <c r="R12" s="47"/>
      <c r="S12" s="47"/>
    </row>
    <row r="13" spans="1:19" x14ac:dyDescent="0.35">
      <c r="A13" s="48" t="s">
        <v>81</v>
      </c>
      <c r="B13" s="49" t="s">
        <v>75</v>
      </c>
      <c r="C13" s="50">
        <v>0.12</v>
      </c>
      <c r="D13" s="51">
        <v>7.4999999999999997E-3</v>
      </c>
      <c r="E13" s="50">
        <v>0.35</v>
      </c>
      <c r="F13" s="52">
        <v>1.8000000000000001E-4</v>
      </c>
      <c r="G13" s="50">
        <v>0.4</v>
      </c>
      <c r="H13" s="53"/>
      <c r="I13" s="47"/>
      <c r="J13" s="47"/>
      <c r="K13" s="47"/>
      <c r="L13" s="54"/>
      <c r="M13" s="54"/>
      <c r="N13" s="54"/>
      <c r="O13" s="54"/>
      <c r="P13" s="54"/>
      <c r="Q13" s="47"/>
      <c r="R13" s="47"/>
      <c r="S13" s="47"/>
    </row>
    <row r="14" spans="1:19" x14ac:dyDescent="0.35">
      <c r="A14" s="48" t="s">
        <v>81</v>
      </c>
      <c r="B14" s="49" t="s">
        <v>76</v>
      </c>
      <c r="C14" s="50">
        <v>0.12</v>
      </c>
      <c r="D14" s="51">
        <v>1.0500000000000001E-2</v>
      </c>
      <c r="E14" s="50">
        <v>0.28000000000000003</v>
      </c>
      <c r="F14" s="52">
        <v>1.8000000000000001E-4</v>
      </c>
      <c r="G14" s="50">
        <v>0.4</v>
      </c>
      <c r="H14" s="53"/>
      <c r="I14" s="47"/>
      <c r="J14" s="47"/>
      <c r="K14" s="47"/>
      <c r="L14" s="54"/>
      <c r="M14" s="54"/>
      <c r="N14" s="54"/>
      <c r="O14" s="54"/>
      <c r="P14" s="54"/>
      <c r="Q14" s="47"/>
      <c r="R14" s="47"/>
      <c r="S14" s="47"/>
    </row>
    <row r="15" spans="1:19" x14ac:dyDescent="0.35">
      <c r="A15" s="48" t="s">
        <v>81</v>
      </c>
      <c r="B15" s="49" t="s">
        <v>77</v>
      </c>
      <c r="C15" s="50">
        <v>0.24</v>
      </c>
      <c r="D15" s="51">
        <v>6.4999999999999997E-3</v>
      </c>
      <c r="E15" s="50">
        <v>0.32</v>
      </c>
      <c r="F15" s="52">
        <v>1.8000000000000001E-4</v>
      </c>
      <c r="G15" s="50">
        <v>0.4</v>
      </c>
      <c r="H15" s="53"/>
      <c r="I15" s="47"/>
      <c r="J15" s="47"/>
      <c r="K15" s="47"/>
      <c r="L15" s="54"/>
      <c r="M15" s="54"/>
      <c r="N15" s="54"/>
      <c r="O15" s="54"/>
      <c r="P15" s="54"/>
      <c r="Q15" s="47"/>
      <c r="R15" s="47"/>
      <c r="S15" s="47"/>
    </row>
    <row r="16" spans="1:19" x14ac:dyDescent="0.35">
      <c r="A16" s="48" t="s">
        <v>81</v>
      </c>
      <c r="B16" s="49" t="s">
        <v>78</v>
      </c>
      <c r="C16" s="50">
        <v>0.12</v>
      </c>
      <c r="D16" s="51">
        <v>3.0000000000000001E-3</v>
      </c>
      <c r="E16" s="50">
        <v>0.18</v>
      </c>
      <c r="F16" s="52">
        <v>1.8000000000000001E-4</v>
      </c>
      <c r="G16" s="50">
        <v>0.4</v>
      </c>
      <c r="H16" s="53"/>
      <c r="I16" s="47"/>
      <c r="J16" s="47"/>
      <c r="K16" s="47"/>
      <c r="L16" s="54"/>
      <c r="M16" s="54"/>
      <c r="N16" s="54"/>
      <c r="O16" s="54"/>
      <c r="P16" s="54"/>
      <c r="Q16" s="47"/>
      <c r="R16" s="47"/>
      <c r="S16" s="47"/>
    </row>
    <row r="17" spans="1:19" x14ac:dyDescent="0.35">
      <c r="A17" s="48" t="s">
        <v>81</v>
      </c>
      <c r="B17" s="49" t="s">
        <v>79</v>
      </c>
      <c r="C17" s="50">
        <v>0.12</v>
      </c>
      <c r="D17" s="51">
        <v>4.4999999999999997E-3</v>
      </c>
      <c r="E17" s="50">
        <v>0.22</v>
      </c>
      <c r="F17" s="52">
        <v>1.8000000000000001E-4</v>
      </c>
      <c r="G17" s="50">
        <v>0.4</v>
      </c>
      <c r="H17" s="53"/>
      <c r="I17" s="47"/>
      <c r="J17" s="47"/>
      <c r="K17" s="47"/>
      <c r="L17" s="54"/>
      <c r="M17" s="54"/>
      <c r="N17" s="54"/>
      <c r="O17" s="54"/>
      <c r="P17" s="54"/>
      <c r="Q17" s="47"/>
      <c r="R17" s="47"/>
      <c r="S17" s="47"/>
    </row>
    <row r="18" spans="1:19" x14ac:dyDescent="0.35">
      <c r="A18" s="55" t="s">
        <v>82</v>
      </c>
      <c r="B18" s="56" t="s">
        <v>75</v>
      </c>
      <c r="C18" s="50">
        <v>0.15</v>
      </c>
      <c r="D18" s="51">
        <v>7.4999999999999997E-3</v>
      </c>
      <c r="E18" s="50">
        <v>0.35</v>
      </c>
      <c r="F18" s="52">
        <v>8.0000000000000007E-5</v>
      </c>
      <c r="G18" s="50">
        <v>0.4</v>
      </c>
      <c r="H18" s="57"/>
      <c r="I18" s="47"/>
      <c r="J18" s="47"/>
      <c r="K18" s="47"/>
      <c r="L18" s="54"/>
      <c r="M18" s="54"/>
      <c r="N18" s="54"/>
      <c r="O18" s="54"/>
      <c r="P18" s="54"/>
      <c r="Q18" s="47"/>
      <c r="R18" s="47"/>
      <c r="S18" s="47"/>
    </row>
    <row r="19" spans="1:19" x14ac:dyDescent="0.35">
      <c r="A19" s="55" t="s">
        <v>82</v>
      </c>
      <c r="B19" s="56" t="s">
        <v>76</v>
      </c>
      <c r="C19" s="50">
        <v>0.15</v>
      </c>
      <c r="D19" s="51">
        <v>1.0500000000000001E-2</v>
      </c>
      <c r="E19" s="50">
        <v>0.28000000000000003</v>
      </c>
      <c r="F19" s="52">
        <v>8.0000000000000007E-5</v>
      </c>
      <c r="G19" s="50">
        <v>0.4</v>
      </c>
      <c r="H19" s="57"/>
      <c r="I19" s="47"/>
      <c r="J19" s="47"/>
      <c r="K19" s="47"/>
      <c r="L19" s="54"/>
      <c r="M19" s="54"/>
      <c r="N19" s="54"/>
      <c r="O19" s="54"/>
      <c r="P19" s="54"/>
      <c r="Q19" s="47"/>
      <c r="R19" s="47"/>
      <c r="S19" s="47"/>
    </row>
    <row r="20" spans="1:19" x14ac:dyDescent="0.35">
      <c r="A20" s="55" t="s">
        <v>82</v>
      </c>
      <c r="B20" s="56" t="s">
        <v>77</v>
      </c>
      <c r="C20" s="50">
        <v>0.3</v>
      </c>
      <c r="D20" s="51">
        <v>6.4999999999999997E-3</v>
      </c>
      <c r="E20" s="50">
        <v>0.32</v>
      </c>
      <c r="F20" s="52">
        <v>8.0000000000000007E-5</v>
      </c>
      <c r="G20" s="50">
        <v>0.4</v>
      </c>
      <c r="H20" s="57"/>
      <c r="I20" s="47"/>
      <c r="J20" s="47"/>
      <c r="K20" s="47"/>
      <c r="L20" s="54"/>
      <c r="M20" s="54"/>
      <c r="N20" s="54"/>
      <c r="O20" s="54"/>
      <c r="P20" s="54"/>
      <c r="Q20" s="47"/>
      <c r="R20" s="47"/>
      <c r="S20" s="47"/>
    </row>
    <row r="21" spans="1:19" x14ac:dyDescent="0.35">
      <c r="A21" s="55" t="s">
        <v>82</v>
      </c>
      <c r="B21" s="56" t="s">
        <v>78</v>
      </c>
      <c r="C21" s="50">
        <v>0.15</v>
      </c>
      <c r="D21" s="51">
        <v>3.0000000000000001E-3</v>
      </c>
      <c r="E21" s="50">
        <v>0.18</v>
      </c>
      <c r="F21" s="52">
        <v>8.0000000000000007E-5</v>
      </c>
      <c r="G21" s="50">
        <v>0.4</v>
      </c>
      <c r="H21" s="57"/>
      <c r="I21" s="47"/>
      <c r="J21" s="47"/>
      <c r="K21" s="47"/>
      <c r="L21" s="54"/>
      <c r="M21" s="54"/>
      <c r="N21" s="54"/>
      <c r="O21" s="54"/>
      <c r="P21" s="54"/>
      <c r="Q21" s="47"/>
      <c r="R21" s="47"/>
      <c r="S21" s="47"/>
    </row>
    <row r="22" spans="1:19" x14ac:dyDescent="0.35">
      <c r="A22" s="55" t="s">
        <v>82</v>
      </c>
      <c r="B22" s="56" t="s">
        <v>79</v>
      </c>
      <c r="C22" s="50">
        <v>0.15</v>
      </c>
      <c r="D22" s="51">
        <v>4.4999999999999997E-3</v>
      </c>
      <c r="E22" s="50">
        <v>0.22</v>
      </c>
      <c r="F22" s="52">
        <v>8.0000000000000007E-5</v>
      </c>
      <c r="G22" s="50">
        <v>0.4</v>
      </c>
      <c r="H22" s="57"/>
      <c r="I22" s="47"/>
      <c r="J22" s="47"/>
      <c r="K22" s="47"/>
      <c r="L22" s="54"/>
      <c r="M22" s="54"/>
      <c r="N22" s="54"/>
      <c r="O22" s="54"/>
      <c r="P22" s="54"/>
      <c r="Q22" s="47"/>
      <c r="R22" s="47"/>
      <c r="S22" s="47"/>
    </row>
    <row r="23" spans="1:19" x14ac:dyDescent="0.35">
      <c r="A23" s="48" t="s">
        <v>83</v>
      </c>
      <c r="B23" s="49" t="s">
        <v>75</v>
      </c>
      <c r="C23" s="50">
        <v>0.05</v>
      </c>
      <c r="D23" s="51">
        <v>7.4999999999999997E-3</v>
      </c>
      <c r="E23" s="50">
        <v>0.35</v>
      </c>
      <c r="F23" s="52">
        <v>9.0000000000000006E-5</v>
      </c>
      <c r="G23" s="50">
        <v>0.4</v>
      </c>
      <c r="H23" s="53"/>
      <c r="I23" s="47"/>
      <c r="J23" s="47"/>
      <c r="K23" s="47"/>
      <c r="L23" s="54"/>
      <c r="M23" s="54"/>
      <c r="N23" s="54"/>
      <c r="O23" s="54"/>
      <c r="P23" s="54"/>
      <c r="Q23" s="47"/>
      <c r="R23" s="47"/>
      <c r="S23" s="47"/>
    </row>
    <row r="24" spans="1:19" x14ac:dyDescent="0.35">
      <c r="A24" s="48" t="s">
        <v>83</v>
      </c>
      <c r="B24" s="49" t="s">
        <v>76</v>
      </c>
      <c r="C24" s="50">
        <v>0.05</v>
      </c>
      <c r="D24" s="51">
        <v>1.0500000000000001E-2</v>
      </c>
      <c r="E24" s="50">
        <v>0.28000000000000003</v>
      </c>
      <c r="F24" s="52">
        <v>9.0000000000000006E-5</v>
      </c>
      <c r="G24" s="50">
        <v>0.4</v>
      </c>
      <c r="H24" s="53"/>
      <c r="I24" s="47"/>
      <c r="J24" s="47"/>
      <c r="K24" s="47"/>
      <c r="L24" s="54"/>
      <c r="M24" s="54"/>
      <c r="N24" s="54"/>
      <c r="O24" s="54"/>
      <c r="P24" s="54"/>
      <c r="Q24" s="47"/>
      <c r="R24" s="47"/>
      <c r="S24" s="47"/>
    </row>
    <row r="25" spans="1:19" x14ac:dyDescent="0.35">
      <c r="A25" s="48" t="s">
        <v>83</v>
      </c>
      <c r="B25" s="49" t="s">
        <v>77</v>
      </c>
      <c r="C25" s="50">
        <v>0.1</v>
      </c>
      <c r="D25" s="51">
        <v>6.4999999999999997E-3</v>
      </c>
      <c r="E25" s="50">
        <v>0.32</v>
      </c>
      <c r="F25" s="52">
        <v>9.0000000000000006E-5</v>
      </c>
      <c r="G25" s="50">
        <v>0.4</v>
      </c>
      <c r="H25" s="53"/>
      <c r="I25" s="47"/>
      <c r="J25" s="47"/>
      <c r="K25" s="47"/>
      <c r="L25" s="54"/>
      <c r="M25" s="54"/>
      <c r="N25" s="54"/>
      <c r="O25" s="54"/>
      <c r="P25" s="54"/>
      <c r="Q25" s="47"/>
      <c r="R25" s="47"/>
      <c r="S25" s="47"/>
    </row>
    <row r="26" spans="1:19" x14ac:dyDescent="0.35">
      <c r="A26" s="48" t="s">
        <v>83</v>
      </c>
      <c r="B26" s="49" t="s">
        <v>78</v>
      </c>
      <c r="C26" s="50">
        <v>0.05</v>
      </c>
      <c r="D26" s="51">
        <v>3.0000000000000001E-3</v>
      </c>
      <c r="E26" s="50">
        <v>0.18</v>
      </c>
      <c r="F26" s="52">
        <v>9.0000000000000006E-5</v>
      </c>
      <c r="G26" s="50">
        <v>0.4</v>
      </c>
      <c r="H26" s="53"/>
      <c r="I26" s="47"/>
      <c r="J26" s="47"/>
      <c r="K26" s="47"/>
      <c r="L26" s="54"/>
      <c r="M26" s="54"/>
      <c r="N26" s="54"/>
      <c r="O26" s="54"/>
      <c r="P26" s="54"/>
      <c r="Q26" s="47"/>
      <c r="R26" s="47"/>
      <c r="S26" s="47"/>
    </row>
    <row r="27" spans="1:19" x14ac:dyDescent="0.35">
      <c r="A27" s="48" t="s">
        <v>83</v>
      </c>
      <c r="B27" s="49" t="s">
        <v>79</v>
      </c>
      <c r="C27" s="50">
        <v>0.05</v>
      </c>
      <c r="D27" s="51">
        <v>4.4999999999999997E-3</v>
      </c>
      <c r="E27" s="50">
        <v>0.22</v>
      </c>
      <c r="F27" s="52">
        <v>9.0000000000000006E-5</v>
      </c>
      <c r="G27" s="50">
        <v>0.4</v>
      </c>
      <c r="H27" s="53"/>
      <c r="I27" s="47"/>
      <c r="J27" s="47"/>
      <c r="K27" s="47"/>
      <c r="L27" s="54"/>
      <c r="M27" s="54"/>
      <c r="N27" s="54"/>
      <c r="O27" s="54"/>
      <c r="P27" s="54"/>
      <c r="Q27" s="47"/>
      <c r="R27" s="47"/>
      <c r="S27" s="47"/>
    </row>
    <row r="28" spans="1:19" x14ac:dyDescent="0.35">
      <c r="A28" s="55" t="s">
        <v>84</v>
      </c>
      <c r="B28" s="56" t="s">
        <v>75</v>
      </c>
      <c r="C28" s="50">
        <v>0.1</v>
      </c>
      <c r="D28" s="51">
        <v>7.4999999999999997E-3</v>
      </c>
      <c r="E28" s="50">
        <v>0.35</v>
      </c>
      <c r="F28" s="52">
        <v>2.0000000000000001E-4</v>
      </c>
      <c r="G28" s="50">
        <v>0.4</v>
      </c>
      <c r="H28" s="57"/>
      <c r="I28" s="47"/>
      <c r="J28" s="47"/>
      <c r="K28" s="47"/>
      <c r="L28" s="54"/>
      <c r="M28" s="54"/>
      <c r="N28" s="54"/>
      <c r="O28" s="54"/>
      <c r="P28" s="54"/>
      <c r="Q28" s="47"/>
      <c r="R28" s="47"/>
      <c r="S28" s="47"/>
    </row>
    <row r="29" spans="1:19" x14ac:dyDescent="0.35">
      <c r="A29" s="55" t="s">
        <v>84</v>
      </c>
      <c r="B29" s="56" t="s">
        <v>76</v>
      </c>
      <c r="C29" s="50">
        <v>0.1</v>
      </c>
      <c r="D29" s="51">
        <v>1.0500000000000001E-2</v>
      </c>
      <c r="E29" s="50">
        <v>0.28000000000000003</v>
      </c>
      <c r="F29" s="52">
        <v>2.0000000000000001E-4</v>
      </c>
      <c r="G29" s="50">
        <v>0.4</v>
      </c>
      <c r="H29" s="57"/>
      <c r="I29" s="47"/>
      <c r="J29" s="47"/>
      <c r="K29" s="47"/>
      <c r="L29" s="54"/>
      <c r="M29" s="54"/>
      <c r="N29" s="54"/>
      <c r="O29" s="54"/>
      <c r="P29" s="54"/>
      <c r="Q29" s="47"/>
      <c r="R29" s="47"/>
      <c r="S29" s="47"/>
    </row>
    <row r="30" spans="1:19" x14ac:dyDescent="0.35">
      <c r="A30" s="55" t="s">
        <v>84</v>
      </c>
      <c r="B30" s="56" t="s">
        <v>77</v>
      </c>
      <c r="C30" s="50">
        <v>0.2</v>
      </c>
      <c r="D30" s="51">
        <v>6.4999999999999997E-3</v>
      </c>
      <c r="E30" s="50">
        <v>0.32</v>
      </c>
      <c r="F30" s="52">
        <v>2.0000000000000001E-4</v>
      </c>
      <c r="G30" s="50">
        <v>0.4</v>
      </c>
      <c r="H30" s="57"/>
      <c r="I30" s="47"/>
      <c r="J30" s="47"/>
      <c r="K30" s="47"/>
      <c r="L30" s="54"/>
      <c r="M30" s="54"/>
      <c r="N30" s="54"/>
      <c r="O30" s="54"/>
      <c r="P30" s="54"/>
      <c r="Q30" s="47"/>
      <c r="R30" s="47"/>
      <c r="S30" s="47"/>
    </row>
    <row r="31" spans="1:19" x14ac:dyDescent="0.35">
      <c r="A31" s="55" t="s">
        <v>84</v>
      </c>
      <c r="B31" s="56" t="s">
        <v>78</v>
      </c>
      <c r="C31" s="50">
        <v>0.1</v>
      </c>
      <c r="D31" s="51">
        <v>3.0000000000000001E-3</v>
      </c>
      <c r="E31" s="50">
        <v>0.18</v>
      </c>
      <c r="F31" s="52">
        <v>2.0000000000000001E-4</v>
      </c>
      <c r="G31" s="50">
        <v>0.4</v>
      </c>
      <c r="H31" s="57"/>
      <c r="I31" s="47"/>
      <c r="J31" s="47"/>
      <c r="K31" s="47"/>
      <c r="L31" s="54"/>
      <c r="M31" s="54"/>
      <c r="N31" s="54"/>
      <c r="O31" s="54"/>
      <c r="P31" s="54"/>
      <c r="Q31" s="47"/>
      <c r="R31" s="47"/>
      <c r="S31" s="47"/>
    </row>
    <row r="32" spans="1:19" x14ac:dyDescent="0.35">
      <c r="A32" s="55" t="s">
        <v>84</v>
      </c>
      <c r="B32" s="56" t="s">
        <v>79</v>
      </c>
      <c r="C32" s="50">
        <v>0.1</v>
      </c>
      <c r="D32" s="51">
        <v>4.4999999999999997E-3</v>
      </c>
      <c r="E32" s="50">
        <v>0.22</v>
      </c>
      <c r="F32" s="52">
        <v>2.0000000000000001E-4</v>
      </c>
      <c r="G32" s="50">
        <v>0.4</v>
      </c>
      <c r="H32" s="57"/>
      <c r="I32" s="47"/>
      <c r="J32" s="47"/>
      <c r="K32" s="47"/>
      <c r="L32" s="54"/>
      <c r="M32" s="54"/>
      <c r="N32" s="54"/>
      <c r="O32" s="54"/>
      <c r="P32" s="54"/>
      <c r="Q32" s="47"/>
      <c r="R32" s="47"/>
      <c r="S32" s="47"/>
    </row>
    <row r="33" spans="1:19" x14ac:dyDescent="0.35">
      <c r="C33" s="3"/>
      <c r="I33" s="47"/>
      <c r="J33" s="47"/>
      <c r="K33" s="47"/>
      <c r="L33" s="47"/>
      <c r="M33" s="47"/>
      <c r="N33" s="47"/>
      <c r="O33" s="47"/>
      <c r="P33" s="47"/>
      <c r="Q33" s="47"/>
      <c r="R33" s="47"/>
      <c r="S33" s="47"/>
    </row>
    <row r="34" spans="1:19" x14ac:dyDescent="0.35">
      <c r="A34" s="58" t="s">
        <v>109</v>
      </c>
      <c r="I34" s="47"/>
      <c r="J34" s="47"/>
      <c r="K34" s="47"/>
      <c r="L34" s="47"/>
      <c r="M34" s="47"/>
      <c r="N34" s="47"/>
      <c r="O34" s="47"/>
      <c r="P34" s="47"/>
      <c r="Q34" s="47"/>
      <c r="R34" s="47"/>
      <c r="S34" s="47"/>
    </row>
    <row r="35" spans="1:19" x14ac:dyDescent="0.35">
      <c r="I35" s="47"/>
      <c r="J35" s="47"/>
      <c r="K35" s="47"/>
      <c r="L35" s="47"/>
      <c r="M35" s="47"/>
      <c r="N35" s="47"/>
      <c r="O35" s="47"/>
      <c r="P35" s="47"/>
      <c r="Q35" s="47"/>
      <c r="R35" s="47"/>
      <c r="S35" s="47"/>
    </row>
    <row r="36" spans="1:19" x14ac:dyDescent="0.35">
      <c r="I36" s="47"/>
      <c r="J36" s="47"/>
      <c r="K36" s="47"/>
      <c r="L36" s="47"/>
      <c r="M36" s="47"/>
      <c r="N36" s="47"/>
      <c r="O36" s="47"/>
      <c r="P36" s="47"/>
      <c r="Q36" s="47"/>
      <c r="R36" s="47"/>
      <c r="S36" s="47"/>
    </row>
    <row r="37" spans="1:19" x14ac:dyDescent="0.35">
      <c r="I37" s="47"/>
      <c r="J37" s="47"/>
      <c r="K37" s="47"/>
      <c r="L37" s="47"/>
      <c r="M37" s="47"/>
      <c r="N37" s="47"/>
      <c r="O37" s="47"/>
      <c r="P37" s="47"/>
      <c r="Q37" s="47"/>
      <c r="R37" s="47"/>
      <c r="S37" s="47"/>
    </row>
    <row r="38" spans="1:19" x14ac:dyDescent="0.35">
      <c r="I38" s="47"/>
      <c r="J38" s="47"/>
      <c r="K38" s="47"/>
      <c r="L38" s="47"/>
      <c r="M38" s="47"/>
      <c r="N38" s="47"/>
      <c r="O38" s="47"/>
      <c r="P38" s="47"/>
      <c r="Q38" s="47"/>
      <c r="R38" s="47"/>
      <c r="S38" s="47"/>
    </row>
    <row r="39" spans="1:19" x14ac:dyDescent="0.35">
      <c r="I39" s="47"/>
      <c r="J39" s="47"/>
      <c r="K39" s="47"/>
      <c r="L39" s="47"/>
      <c r="M39" s="47"/>
      <c r="N39" s="47"/>
      <c r="O39" s="47"/>
      <c r="P39" s="47"/>
      <c r="Q39" s="47"/>
      <c r="R39" s="47"/>
      <c r="S39" s="47"/>
    </row>
    <row r="40" spans="1:19" x14ac:dyDescent="0.35">
      <c r="I40" s="47"/>
      <c r="J40" s="47"/>
      <c r="K40" s="47"/>
      <c r="L40" s="47"/>
      <c r="M40" s="47"/>
      <c r="N40" s="47"/>
      <c r="O40" s="47"/>
      <c r="P40" s="47"/>
      <c r="Q40" s="47"/>
      <c r="R40" s="47"/>
      <c r="S40" s="47"/>
    </row>
    <row r="41" spans="1:19" x14ac:dyDescent="0.35">
      <c r="I41" s="47"/>
      <c r="J41" s="47"/>
      <c r="K41" s="47"/>
      <c r="L41" s="47"/>
      <c r="M41" s="47"/>
      <c r="N41" s="47"/>
      <c r="O41" s="47"/>
      <c r="P41" s="47"/>
      <c r="Q41" s="47"/>
      <c r="R41" s="47"/>
      <c r="S41" s="47"/>
    </row>
    <row r="42" spans="1:19" x14ac:dyDescent="0.35">
      <c r="I42" s="47"/>
      <c r="J42" s="47"/>
      <c r="K42" s="47"/>
      <c r="L42" s="47"/>
      <c r="M42" s="47"/>
      <c r="N42" s="47"/>
      <c r="O42" s="47"/>
      <c r="P42" s="47"/>
      <c r="Q42" s="47"/>
      <c r="R42" s="47"/>
      <c r="S42" s="47"/>
    </row>
    <row r="43" spans="1:19" x14ac:dyDescent="0.35">
      <c r="I43" s="47"/>
      <c r="J43" s="47"/>
      <c r="K43" s="47"/>
      <c r="L43" s="47"/>
      <c r="M43" s="47"/>
      <c r="N43" s="47"/>
      <c r="O43" s="47"/>
      <c r="P43" s="47"/>
      <c r="Q43" s="47"/>
      <c r="R43" s="47"/>
      <c r="S43" s="47"/>
    </row>
    <row r="44" spans="1:19" x14ac:dyDescent="0.35">
      <c r="I44" s="47"/>
      <c r="J44" s="47"/>
      <c r="K44" s="47"/>
      <c r="L44" s="47"/>
      <c r="M44" s="47"/>
      <c r="N44" s="47"/>
      <c r="O44" s="47"/>
      <c r="P44" s="47"/>
      <c r="Q44" s="47"/>
      <c r="R44" s="47"/>
      <c r="S44" s="47"/>
    </row>
  </sheetData>
  <mergeCells count="1">
    <mergeCell ref="C1:H1"/>
  </mergeCells>
  <pageMargins left="0.75" right="0.75" top="1" bottom="1" header="0.5" footer="0.5"/>
  <pageSetup fitToHeight="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563EB"/>
    <pageSetUpPr fitToPage="1"/>
  </sheetPr>
  <dimension ref="A1:S44"/>
  <sheetViews>
    <sheetView showGridLines="0" zoomScale="70" zoomScaleNormal="70" workbookViewId="0">
      <pane xSplit="2" ySplit="2" topLeftCell="C3" activePane="bottomRight" state="frozen"/>
      <selection pane="topRight"/>
      <selection pane="bottomLeft"/>
      <selection pane="bottomRight" activeCell="C3" sqref="C3"/>
    </sheetView>
  </sheetViews>
  <sheetFormatPr defaultColWidth="8.81640625" defaultRowHeight="14.5" x14ac:dyDescent="0.35"/>
  <cols>
    <col min="1" max="1" width="22" customWidth="1"/>
    <col min="2" max="2" width="24" customWidth="1"/>
    <col min="3" max="3" width="16" customWidth="1"/>
    <col min="4" max="4" width="14" customWidth="1"/>
    <col min="5" max="7" width="16" customWidth="1"/>
    <col min="8" max="8" width="60" customWidth="1"/>
  </cols>
  <sheetData>
    <row r="1" spans="1:19" ht="40" customHeight="1" x14ac:dyDescent="0.35">
      <c r="A1" s="45" t="s">
        <v>100</v>
      </c>
      <c r="B1" s="46" t="s">
        <v>101</v>
      </c>
      <c r="C1" s="135" t="s">
        <v>110</v>
      </c>
      <c r="D1" s="136"/>
      <c r="E1" s="136"/>
      <c r="F1" s="136"/>
      <c r="G1" s="136"/>
      <c r="H1" s="136"/>
      <c r="I1" s="47"/>
      <c r="J1" s="47"/>
      <c r="K1" s="47"/>
      <c r="L1" s="47"/>
      <c r="M1" s="47"/>
      <c r="N1" s="47"/>
      <c r="O1" s="47"/>
      <c r="P1" s="47"/>
      <c r="Q1" s="47"/>
      <c r="R1" s="47"/>
      <c r="S1" s="47"/>
    </row>
    <row r="2" spans="1:19" ht="34" customHeight="1" x14ac:dyDescent="0.35">
      <c r="A2" s="59" t="s">
        <v>43</v>
      </c>
      <c r="B2" s="59" t="s">
        <v>44</v>
      </c>
      <c r="C2" s="59" t="s">
        <v>103</v>
      </c>
      <c r="D2" s="59" t="s">
        <v>104</v>
      </c>
      <c r="E2" s="59" t="s">
        <v>105</v>
      </c>
      <c r="F2" s="59" t="s">
        <v>106</v>
      </c>
      <c r="G2" s="59" t="s">
        <v>107</v>
      </c>
      <c r="H2" s="59" t="s">
        <v>108</v>
      </c>
      <c r="I2" s="47"/>
      <c r="J2" s="47"/>
      <c r="K2" s="47"/>
      <c r="L2" s="47"/>
      <c r="M2" s="47"/>
      <c r="N2" s="47"/>
      <c r="O2" s="47"/>
      <c r="P2" s="47"/>
      <c r="Q2" s="47"/>
      <c r="R2" s="47"/>
      <c r="S2" s="47"/>
    </row>
    <row r="3" spans="1:19" x14ac:dyDescent="0.35">
      <c r="A3" s="48" t="s">
        <v>74</v>
      </c>
      <c r="B3" s="49" t="s">
        <v>75</v>
      </c>
      <c r="C3" s="50">
        <f>2*'Assumption-Base'!C3</f>
        <v>0.4</v>
      </c>
      <c r="D3" s="51">
        <v>7.4999999999999997E-3</v>
      </c>
      <c r="E3" s="50">
        <v>0.35</v>
      </c>
      <c r="F3" s="52">
        <v>6.9999999999999994E-5</v>
      </c>
      <c r="G3" s="50">
        <v>0.35</v>
      </c>
      <c r="H3" s="53"/>
      <c r="I3" s="47"/>
      <c r="J3" s="47"/>
      <c r="K3" s="47"/>
      <c r="L3" s="54"/>
      <c r="M3" s="54"/>
      <c r="N3" s="54"/>
      <c r="O3" s="54"/>
      <c r="P3" s="54"/>
      <c r="Q3" s="47"/>
      <c r="R3" s="47"/>
      <c r="S3" s="47"/>
    </row>
    <row r="4" spans="1:19" x14ac:dyDescent="0.35">
      <c r="A4" s="48" t="s">
        <v>74</v>
      </c>
      <c r="B4" s="49" t="s">
        <v>76</v>
      </c>
      <c r="C4" s="50">
        <f>2*'Assumption-Base'!C4</f>
        <v>0.4</v>
      </c>
      <c r="D4" s="51">
        <v>1.0500000000000001E-2</v>
      </c>
      <c r="E4" s="50">
        <v>0.28000000000000003</v>
      </c>
      <c r="F4" s="52">
        <v>6.9999999999999994E-5</v>
      </c>
      <c r="G4" s="50">
        <v>0.35</v>
      </c>
      <c r="H4" s="53"/>
      <c r="I4" s="47"/>
      <c r="J4" s="47"/>
      <c r="K4" s="47"/>
      <c r="L4" s="54"/>
      <c r="M4" s="54"/>
      <c r="N4" s="54"/>
      <c r="O4" s="54"/>
      <c r="P4" s="54"/>
      <c r="Q4" s="47"/>
      <c r="R4" s="47"/>
      <c r="S4" s="47"/>
    </row>
    <row r="5" spans="1:19" x14ac:dyDescent="0.35">
      <c r="A5" s="48" t="s">
        <v>74</v>
      </c>
      <c r="B5" s="49" t="s">
        <v>77</v>
      </c>
      <c r="C5" s="50">
        <f>2*'Assumption-Base'!C5</f>
        <v>0.8</v>
      </c>
      <c r="D5" s="51">
        <v>6.4999999999999997E-3</v>
      </c>
      <c r="E5" s="50">
        <v>0.32</v>
      </c>
      <c r="F5" s="52">
        <v>6.9999999999999994E-5</v>
      </c>
      <c r="G5" s="50">
        <v>0.35</v>
      </c>
      <c r="H5" s="53"/>
      <c r="I5" s="47"/>
      <c r="J5" s="47"/>
      <c r="K5" s="47"/>
      <c r="L5" s="54"/>
      <c r="M5" s="54"/>
      <c r="N5" s="54"/>
      <c r="O5" s="54"/>
      <c r="P5" s="54"/>
      <c r="Q5" s="47"/>
      <c r="R5" s="47"/>
      <c r="S5" s="47"/>
    </row>
    <row r="6" spans="1:19" x14ac:dyDescent="0.35">
      <c r="A6" s="48" t="s">
        <v>74</v>
      </c>
      <c r="B6" s="49" t="s">
        <v>78</v>
      </c>
      <c r="C6" s="50">
        <f>2*'Assumption-Base'!C6</f>
        <v>0.4</v>
      </c>
      <c r="D6" s="51">
        <v>3.0000000000000001E-3</v>
      </c>
      <c r="E6" s="50">
        <v>0.18</v>
      </c>
      <c r="F6" s="52">
        <v>6.9999999999999994E-5</v>
      </c>
      <c r="G6" s="50">
        <v>0.35</v>
      </c>
      <c r="H6" s="53"/>
      <c r="I6" s="47"/>
      <c r="J6" s="47"/>
      <c r="K6" s="47"/>
      <c r="L6" s="54"/>
      <c r="M6" s="54"/>
      <c r="N6" s="54"/>
      <c r="O6" s="54"/>
      <c r="P6" s="54"/>
      <c r="Q6" s="47"/>
      <c r="R6" s="47"/>
      <c r="S6" s="47"/>
    </row>
    <row r="7" spans="1:19" x14ac:dyDescent="0.35">
      <c r="A7" s="48" t="s">
        <v>74</v>
      </c>
      <c r="B7" s="49" t="s">
        <v>79</v>
      </c>
      <c r="C7" s="50">
        <f>2*'Assumption-Base'!C7</f>
        <v>0.4</v>
      </c>
      <c r="D7" s="51">
        <v>4.4999999999999997E-3</v>
      </c>
      <c r="E7" s="50">
        <v>0.22</v>
      </c>
      <c r="F7" s="52">
        <v>6.9999999999999994E-5</v>
      </c>
      <c r="G7" s="50">
        <v>0.35</v>
      </c>
      <c r="H7" s="53"/>
      <c r="I7" s="47"/>
      <c r="J7" s="47"/>
      <c r="K7" s="47"/>
      <c r="L7" s="54"/>
      <c r="M7" s="54"/>
      <c r="N7" s="54"/>
      <c r="O7" s="54"/>
      <c r="P7" s="54"/>
      <c r="Q7" s="47"/>
      <c r="R7" s="47"/>
      <c r="S7" s="47"/>
    </row>
    <row r="8" spans="1:19" x14ac:dyDescent="0.35">
      <c r="A8" s="55" t="s">
        <v>80</v>
      </c>
      <c r="B8" s="56" t="s">
        <v>75</v>
      </c>
      <c r="C8" s="50">
        <f>2*'Assumption-Base'!C8</f>
        <v>0.12</v>
      </c>
      <c r="D8" s="51">
        <v>7.4999999999999997E-3</v>
      </c>
      <c r="E8" s="50">
        <v>0.35</v>
      </c>
      <c r="F8" s="52">
        <v>1.4999999999999999E-4</v>
      </c>
      <c r="G8" s="50">
        <v>0.35</v>
      </c>
      <c r="H8" s="57"/>
      <c r="I8" s="47"/>
      <c r="J8" s="47"/>
      <c r="K8" s="47"/>
      <c r="L8" s="54"/>
      <c r="M8" s="54"/>
      <c r="N8" s="54"/>
      <c r="O8" s="54"/>
      <c r="P8" s="54"/>
      <c r="Q8" s="47"/>
      <c r="R8" s="47"/>
      <c r="S8" s="47"/>
    </row>
    <row r="9" spans="1:19" x14ac:dyDescent="0.35">
      <c r="A9" s="55" t="s">
        <v>80</v>
      </c>
      <c r="B9" s="56" t="s">
        <v>76</v>
      </c>
      <c r="C9" s="50">
        <f>2*'Assumption-Base'!C9</f>
        <v>0.12</v>
      </c>
      <c r="D9" s="51">
        <v>1.0500000000000001E-2</v>
      </c>
      <c r="E9" s="50">
        <v>0.28000000000000003</v>
      </c>
      <c r="F9" s="52">
        <v>1.4999999999999999E-4</v>
      </c>
      <c r="G9" s="50">
        <v>0.35</v>
      </c>
      <c r="H9" s="57"/>
      <c r="I9" s="47"/>
      <c r="J9" s="47"/>
      <c r="K9" s="47"/>
      <c r="L9" s="54"/>
      <c r="M9" s="54"/>
      <c r="N9" s="54"/>
      <c r="O9" s="54"/>
      <c r="P9" s="54"/>
      <c r="Q9" s="47"/>
      <c r="R9" s="47"/>
      <c r="S9" s="47"/>
    </row>
    <row r="10" spans="1:19" x14ac:dyDescent="0.35">
      <c r="A10" s="55" t="s">
        <v>80</v>
      </c>
      <c r="B10" s="56" t="s">
        <v>77</v>
      </c>
      <c r="C10" s="50">
        <f>2*'Assumption-Base'!C10</f>
        <v>0.24</v>
      </c>
      <c r="D10" s="51">
        <v>6.4999999999999997E-3</v>
      </c>
      <c r="E10" s="50">
        <v>0.32</v>
      </c>
      <c r="F10" s="52">
        <v>1.4999999999999999E-4</v>
      </c>
      <c r="G10" s="50">
        <v>0.35</v>
      </c>
      <c r="H10" s="57"/>
      <c r="I10" s="47"/>
      <c r="J10" s="47"/>
      <c r="K10" s="47"/>
      <c r="L10" s="54"/>
      <c r="M10" s="54"/>
      <c r="N10" s="54"/>
      <c r="O10" s="54"/>
      <c r="P10" s="54"/>
      <c r="Q10" s="47"/>
      <c r="R10" s="47"/>
      <c r="S10" s="47"/>
    </row>
    <row r="11" spans="1:19" x14ac:dyDescent="0.35">
      <c r="A11" s="55" t="s">
        <v>80</v>
      </c>
      <c r="B11" s="56" t="s">
        <v>78</v>
      </c>
      <c r="C11" s="50">
        <f>2*'Assumption-Base'!C11</f>
        <v>0.12</v>
      </c>
      <c r="D11" s="51">
        <v>3.0000000000000001E-3</v>
      </c>
      <c r="E11" s="50">
        <v>0.18</v>
      </c>
      <c r="F11" s="52">
        <v>1.4999999999999999E-4</v>
      </c>
      <c r="G11" s="50">
        <v>0.35</v>
      </c>
      <c r="H11" s="57"/>
      <c r="I11" s="47"/>
      <c r="J11" s="47"/>
      <c r="K11" s="47"/>
      <c r="L11" s="54"/>
      <c r="M11" s="54"/>
      <c r="N11" s="54"/>
      <c r="O11" s="54"/>
      <c r="P11" s="54"/>
      <c r="Q11" s="47"/>
      <c r="R11" s="47"/>
      <c r="S11" s="47"/>
    </row>
    <row r="12" spans="1:19" x14ac:dyDescent="0.35">
      <c r="A12" s="55" t="s">
        <v>80</v>
      </c>
      <c r="B12" s="56" t="s">
        <v>79</v>
      </c>
      <c r="C12" s="50">
        <f>2*'Assumption-Base'!C12</f>
        <v>0.12</v>
      </c>
      <c r="D12" s="51">
        <v>4.4999999999999997E-3</v>
      </c>
      <c r="E12" s="50">
        <v>0.22</v>
      </c>
      <c r="F12" s="52">
        <v>1.4999999999999999E-4</v>
      </c>
      <c r="G12" s="50">
        <v>0.35</v>
      </c>
      <c r="H12" s="57"/>
      <c r="I12" s="47"/>
      <c r="J12" s="47"/>
      <c r="K12" s="47"/>
      <c r="L12" s="54"/>
      <c r="M12" s="54"/>
      <c r="N12" s="54"/>
      <c r="O12" s="54"/>
      <c r="P12" s="54"/>
      <c r="Q12" s="47"/>
      <c r="R12" s="47"/>
      <c r="S12" s="47"/>
    </row>
    <row r="13" spans="1:19" x14ac:dyDescent="0.35">
      <c r="A13" s="48" t="s">
        <v>81</v>
      </c>
      <c r="B13" s="49" t="s">
        <v>75</v>
      </c>
      <c r="C13" s="50">
        <f>2*'Assumption-Base'!C13</f>
        <v>0.24</v>
      </c>
      <c r="D13" s="51">
        <v>7.4999999999999997E-3</v>
      </c>
      <c r="E13" s="50">
        <v>0.35</v>
      </c>
      <c r="F13" s="52">
        <v>1.8000000000000001E-4</v>
      </c>
      <c r="G13" s="50">
        <v>0.35</v>
      </c>
      <c r="H13" s="53"/>
      <c r="I13" s="47"/>
      <c r="J13" s="47"/>
      <c r="K13" s="47"/>
      <c r="L13" s="54"/>
      <c r="M13" s="54"/>
      <c r="N13" s="54"/>
      <c r="O13" s="54"/>
      <c r="P13" s="54"/>
      <c r="Q13" s="47"/>
      <c r="R13" s="47"/>
      <c r="S13" s="47"/>
    </row>
    <row r="14" spans="1:19" x14ac:dyDescent="0.35">
      <c r="A14" s="48" t="s">
        <v>81</v>
      </c>
      <c r="B14" s="49" t="s">
        <v>76</v>
      </c>
      <c r="C14" s="50">
        <f>2*'Assumption-Base'!C14</f>
        <v>0.24</v>
      </c>
      <c r="D14" s="51">
        <v>1.0500000000000001E-2</v>
      </c>
      <c r="E14" s="50">
        <v>0.28000000000000003</v>
      </c>
      <c r="F14" s="52">
        <v>1.8000000000000001E-4</v>
      </c>
      <c r="G14" s="50">
        <v>0.35</v>
      </c>
      <c r="H14" s="53"/>
      <c r="I14" s="47"/>
      <c r="J14" s="47"/>
      <c r="K14" s="47"/>
      <c r="L14" s="54"/>
      <c r="M14" s="54"/>
      <c r="N14" s="54"/>
      <c r="O14" s="54"/>
      <c r="P14" s="54"/>
      <c r="Q14" s="47"/>
      <c r="R14" s="47"/>
      <c r="S14" s="47"/>
    </row>
    <row r="15" spans="1:19" x14ac:dyDescent="0.35">
      <c r="A15" s="48" t="s">
        <v>81</v>
      </c>
      <c r="B15" s="49" t="s">
        <v>77</v>
      </c>
      <c r="C15" s="50">
        <f>2*'Assumption-Base'!C15</f>
        <v>0.48</v>
      </c>
      <c r="D15" s="51">
        <v>6.4999999999999997E-3</v>
      </c>
      <c r="E15" s="50">
        <v>0.32</v>
      </c>
      <c r="F15" s="52">
        <v>1.8000000000000001E-4</v>
      </c>
      <c r="G15" s="50">
        <v>0.35</v>
      </c>
      <c r="H15" s="53"/>
      <c r="I15" s="47"/>
      <c r="J15" s="47"/>
      <c r="K15" s="47"/>
      <c r="L15" s="54"/>
      <c r="M15" s="54"/>
      <c r="N15" s="54"/>
      <c r="O15" s="54"/>
      <c r="P15" s="54"/>
      <c r="Q15" s="47"/>
      <c r="R15" s="47"/>
      <c r="S15" s="47"/>
    </row>
    <row r="16" spans="1:19" x14ac:dyDescent="0.35">
      <c r="A16" s="48" t="s">
        <v>81</v>
      </c>
      <c r="B16" s="49" t="s">
        <v>78</v>
      </c>
      <c r="C16" s="50">
        <f>2*'Assumption-Base'!C16</f>
        <v>0.24</v>
      </c>
      <c r="D16" s="51">
        <v>3.0000000000000001E-3</v>
      </c>
      <c r="E16" s="50">
        <v>0.18</v>
      </c>
      <c r="F16" s="52">
        <v>1.8000000000000001E-4</v>
      </c>
      <c r="G16" s="50">
        <v>0.35</v>
      </c>
      <c r="H16" s="53"/>
      <c r="I16" s="47"/>
      <c r="J16" s="47"/>
      <c r="K16" s="47"/>
      <c r="L16" s="54"/>
      <c r="M16" s="54"/>
      <c r="N16" s="54"/>
      <c r="O16" s="54"/>
      <c r="P16" s="54"/>
      <c r="Q16" s="47"/>
      <c r="R16" s="47"/>
      <c r="S16" s="47"/>
    </row>
    <row r="17" spans="1:19" x14ac:dyDescent="0.35">
      <c r="A17" s="48" t="s">
        <v>81</v>
      </c>
      <c r="B17" s="49" t="s">
        <v>79</v>
      </c>
      <c r="C17" s="50">
        <f>2*'Assumption-Base'!C17</f>
        <v>0.24</v>
      </c>
      <c r="D17" s="51">
        <v>4.4999999999999997E-3</v>
      </c>
      <c r="E17" s="50">
        <v>0.22</v>
      </c>
      <c r="F17" s="52">
        <v>1.8000000000000001E-4</v>
      </c>
      <c r="G17" s="50">
        <v>0.35</v>
      </c>
      <c r="H17" s="53"/>
      <c r="I17" s="47"/>
      <c r="J17" s="47"/>
      <c r="K17" s="47"/>
      <c r="L17" s="54"/>
      <c r="M17" s="54"/>
      <c r="N17" s="54"/>
      <c r="O17" s="54"/>
      <c r="P17" s="54"/>
      <c r="Q17" s="47"/>
      <c r="R17" s="47"/>
      <c r="S17" s="47"/>
    </row>
    <row r="18" spans="1:19" x14ac:dyDescent="0.35">
      <c r="A18" s="55" t="s">
        <v>82</v>
      </c>
      <c r="B18" s="56" t="s">
        <v>75</v>
      </c>
      <c r="C18" s="50">
        <f>2*'Assumption-Base'!C18</f>
        <v>0.3</v>
      </c>
      <c r="D18" s="51">
        <v>7.4999999999999997E-3</v>
      </c>
      <c r="E18" s="50">
        <v>0.35</v>
      </c>
      <c r="F18" s="52">
        <v>8.0000000000000007E-5</v>
      </c>
      <c r="G18" s="50">
        <v>0.35</v>
      </c>
      <c r="H18" s="57"/>
      <c r="I18" s="47"/>
      <c r="J18" s="47"/>
      <c r="K18" s="47"/>
      <c r="L18" s="54"/>
      <c r="M18" s="54"/>
      <c r="N18" s="54"/>
      <c r="O18" s="54"/>
      <c r="P18" s="54"/>
      <c r="Q18" s="47"/>
      <c r="R18" s="47"/>
      <c r="S18" s="47"/>
    </row>
    <row r="19" spans="1:19" x14ac:dyDescent="0.35">
      <c r="A19" s="55" t="s">
        <v>82</v>
      </c>
      <c r="B19" s="56" t="s">
        <v>76</v>
      </c>
      <c r="C19" s="50">
        <f>2*'Assumption-Base'!C19</f>
        <v>0.3</v>
      </c>
      <c r="D19" s="51">
        <v>1.0500000000000001E-2</v>
      </c>
      <c r="E19" s="50">
        <v>0.28000000000000003</v>
      </c>
      <c r="F19" s="52">
        <v>8.0000000000000007E-5</v>
      </c>
      <c r="G19" s="50">
        <v>0.35</v>
      </c>
      <c r="H19" s="57"/>
      <c r="I19" s="47"/>
      <c r="J19" s="47"/>
      <c r="K19" s="47"/>
      <c r="L19" s="54"/>
      <c r="M19" s="54"/>
      <c r="N19" s="54"/>
      <c r="O19" s="54"/>
      <c r="P19" s="54"/>
      <c r="Q19" s="47"/>
      <c r="R19" s="47"/>
      <c r="S19" s="47"/>
    </row>
    <row r="20" spans="1:19" x14ac:dyDescent="0.35">
      <c r="A20" s="55" t="s">
        <v>82</v>
      </c>
      <c r="B20" s="56" t="s">
        <v>77</v>
      </c>
      <c r="C20" s="50">
        <f>2*'Assumption-Base'!C20</f>
        <v>0.6</v>
      </c>
      <c r="D20" s="51">
        <v>6.4999999999999997E-3</v>
      </c>
      <c r="E20" s="50">
        <v>0.32</v>
      </c>
      <c r="F20" s="52">
        <v>8.0000000000000007E-5</v>
      </c>
      <c r="G20" s="50">
        <v>0.35</v>
      </c>
      <c r="H20" s="57"/>
      <c r="I20" s="47"/>
      <c r="J20" s="47"/>
      <c r="K20" s="47"/>
      <c r="L20" s="54"/>
      <c r="M20" s="54"/>
      <c r="N20" s="54"/>
      <c r="O20" s="54"/>
      <c r="P20" s="54"/>
      <c r="Q20" s="47"/>
      <c r="R20" s="47"/>
      <c r="S20" s="47"/>
    </row>
    <row r="21" spans="1:19" x14ac:dyDescent="0.35">
      <c r="A21" s="55" t="s">
        <v>82</v>
      </c>
      <c r="B21" s="56" t="s">
        <v>78</v>
      </c>
      <c r="C21" s="50">
        <f>2*'Assumption-Base'!C21</f>
        <v>0.3</v>
      </c>
      <c r="D21" s="51">
        <v>3.0000000000000001E-3</v>
      </c>
      <c r="E21" s="50">
        <v>0.18</v>
      </c>
      <c r="F21" s="52">
        <v>8.0000000000000007E-5</v>
      </c>
      <c r="G21" s="50">
        <v>0.35</v>
      </c>
      <c r="H21" s="57"/>
      <c r="I21" s="47"/>
      <c r="J21" s="47"/>
      <c r="K21" s="47"/>
      <c r="L21" s="54"/>
      <c r="M21" s="54"/>
      <c r="N21" s="54"/>
      <c r="O21" s="54"/>
      <c r="P21" s="54"/>
      <c r="Q21" s="47"/>
      <c r="R21" s="47"/>
      <c r="S21" s="47"/>
    </row>
    <row r="22" spans="1:19" x14ac:dyDescent="0.35">
      <c r="A22" s="55" t="s">
        <v>82</v>
      </c>
      <c r="B22" s="56" t="s">
        <v>79</v>
      </c>
      <c r="C22" s="50">
        <f>2*'Assumption-Base'!C22</f>
        <v>0.3</v>
      </c>
      <c r="D22" s="51">
        <v>4.4999999999999997E-3</v>
      </c>
      <c r="E22" s="50">
        <v>0.22</v>
      </c>
      <c r="F22" s="52">
        <v>8.0000000000000007E-5</v>
      </c>
      <c r="G22" s="50">
        <v>0.35</v>
      </c>
      <c r="H22" s="57"/>
      <c r="I22" s="47"/>
      <c r="J22" s="47"/>
      <c r="K22" s="47"/>
      <c r="L22" s="54"/>
      <c r="M22" s="54"/>
      <c r="N22" s="54"/>
      <c r="O22" s="54"/>
      <c r="P22" s="54"/>
      <c r="Q22" s="47"/>
      <c r="R22" s="47"/>
      <c r="S22" s="47"/>
    </row>
    <row r="23" spans="1:19" x14ac:dyDescent="0.35">
      <c r="A23" s="48" t="s">
        <v>83</v>
      </c>
      <c r="B23" s="49" t="s">
        <v>75</v>
      </c>
      <c r="C23" s="50">
        <f>2*'Assumption-Base'!C23</f>
        <v>0.1</v>
      </c>
      <c r="D23" s="51">
        <v>7.4999999999999997E-3</v>
      </c>
      <c r="E23" s="50">
        <v>0.35</v>
      </c>
      <c r="F23" s="52">
        <v>9.0000000000000006E-5</v>
      </c>
      <c r="G23" s="50">
        <v>0.35</v>
      </c>
      <c r="H23" s="53"/>
      <c r="I23" s="47"/>
      <c r="J23" s="47"/>
      <c r="K23" s="47"/>
      <c r="L23" s="54"/>
      <c r="M23" s="54"/>
      <c r="N23" s="54"/>
      <c r="O23" s="54"/>
      <c r="P23" s="54"/>
      <c r="Q23" s="47"/>
      <c r="R23" s="47"/>
      <c r="S23" s="47"/>
    </row>
    <row r="24" spans="1:19" x14ac:dyDescent="0.35">
      <c r="A24" s="48" t="s">
        <v>83</v>
      </c>
      <c r="B24" s="49" t="s">
        <v>76</v>
      </c>
      <c r="C24" s="50">
        <f>2*'Assumption-Base'!C24</f>
        <v>0.1</v>
      </c>
      <c r="D24" s="51">
        <v>1.0500000000000001E-2</v>
      </c>
      <c r="E24" s="50">
        <v>0.28000000000000003</v>
      </c>
      <c r="F24" s="52">
        <v>9.0000000000000006E-5</v>
      </c>
      <c r="G24" s="50">
        <v>0.35</v>
      </c>
      <c r="H24" s="53"/>
      <c r="I24" s="47"/>
      <c r="J24" s="47"/>
      <c r="K24" s="47"/>
      <c r="L24" s="54"/>
      <c r="M24" s="54"/>
      <c r="N24" s="54"/>
      <c r="O24" s="54"/>
      <c r="P24" s="54"/>
      <c r="Q24" s="47"/>
      <c r="R24" s="47"/>
      <c r="S24" s="47"/>
    </row>
    <row r="25" spans="1:19" x14ac:dyDescent="0.35">
      <c r="A25" s="48" t="s">
        <v>83</v>
      </c>
      <c r="B25" s="49" t="s">
        <v>77</v>
      </c>
      <c r="C25" s="50">
        <f>2*'Assumption-Base'!C25</f>
        <v>0.2</v>
      </c>
      <c r="D25" s="51">
        <v>6.4999999999999997E-3</v>
      </c>
      <c r="E25" s="50">
        <v>0.32</v>
      </c>
      <c r="F25" s="52">
        <v>9.0000000000000006E-5</v>
      </c>
      <c r="G25" s="50">
        <v>0.35</v>
      </c>
      <c r="H25" s="53"/>
      <c r="I25" s="47"/>
      <c r="J25" s="47"/>
      <c r="K25" s="47"/>
      <c r="L25" s="54"/>
      <c r="M25" s="54"/>
      <c r="N25" s="54"/>
      <c r="O25" s="54"/>
      <c r="P25" s="54"/>
      <c r="Q25" s="47"/>
      <c r="R25" s="47"/>
      <c r="S25" s="47"/>
    </row>
    <row r="26" spans="1:19" x14ac:dyDescent="0.35">
      <c r="A26" s="48" t="s">
        <v>83</v>
      </c>
      <c r="B26" s="49" t="s">
        <v>78</v>
      </c>
      <c r="C26" s="50">
        <f>2*'Assumption-Base'!C26</f>
        <v>0.1</v>
      </c>
      <c r="D26" s="51">
        <v>3.0000000000000001E-3</v>
      </c>
      <c r="E26" s="50">
        <v>0.18</v>
      </c>
      <c r="F26" s="52">
        <v>9.0000000000000006E-5</v>
      </c>
      <c r="G26" s="50">
        <v>0.35</v>
      </c>
      <c r="H26" s="53"/>
      <c r="I26" s="47"/>
      <c r="J26" s="47"/>
      <c r="K26" s="47"/>
      <c r="L26" s="54"/>
      <c r="M26" s="54"/>
      <c r="N26" s="54"/>
      <c r="O26" s="54"/>
      <c r="P26" s="54"/>
      <c r="Q26" s="47"/>
      <c r="R26" s="47"/>
      <c r="S26" s="47"/>
    </row>
    <row r="27" spans="1:19" x14ac:dyDescent="0.35">
      <c r="A27" s="48" t="s">
        <v>83</v>
      </c>
      <c r="B27" s="49" t="s">
        <v>79</v>
      </c>
      <c r="C27" s="50">
        <f>2*'Assumption-Base'!C27</f>
        <v>0.1</v>
      </c>
      <c r="D27" s="51">
        <v>4.4999999999999997E-3</v>
      </c>
      <c r="E27" s="50">
        <v>0.22</v>
      </c>
      <c r="F27" s="52">
        <v>9.0000000000000006E-5</v>
      </c>
      <c r="G27" s="50">
        <v>0.35</v>
      </c>
      <c r="H27" s="53"/>
      <c r="I27" s="47"/>
      <c r="J27" s="47"/>
      <c r="K27" s="47"/>
      <c r="L27" s="54"/>
      <c r="M27" s="54"/>
      <c r="N27" s="54"/>
      <c r="O27" s="54"/>
      <c r="P27" s="54"/>
      <c r="Q27" s="47"/>
      <c r="R27" s="47"/>
      <c r="S27" s="47"/>
    </row>
    <row r="28" spans="1:19" x14ac:dyDescent="0.35">
      <c r="A28" s="55" t="s">
        <v>84</v>
      </c>
      <c r="B28" s="56" t="s">
        <v>75</v>
      </c>
      <c r="C28" s="50">
        <f>2*'Assumption-Base'!C28</f>
        <v>0.2</v>
      </c>
      <c r="D28" s="51">
        <v>7.4999999999999997E-3</v>
      </c>
      <c r="E28" s="50">
        <v>0.35</v>
      </c>
      <c r="F28" s="52">
        <v>2.0000000000000001E-4</v>
      </c>
      <c r="G28" s="50">
        <v>0.35</v>
      </c>
      <c r="H28" s="57"/>
      <c r="I28" s="47"/>
      <c r="J28" s="47"/>
      <c r="K28" s="47"/>
      <c r="L28" s="54"/>
      <c r="M28" s="54"/>
      <c r="N28" s="54"/>
      <c r="O28" s="54"/>
      <c r="P28" s="54"/>
      <c r="Q28" s="47"/>
      <c r="R28" s="47"/>
      <c r="S28" s="47"/>
    </row>
    <row r="29" spans="1:19" x14ac:dyDescent="0.35">
      <c r="A29" s="55" t="s">
        <v>84</v>
      </c>
      <c r="B29" s="56" t="s">
        <v>76</v>
      </c>
      <c r="C29" s="50">
        <f>2*'Assumption-Base'!C29</f>
        <v>0.2</v>
      </c>
      <c r="D29" s="51">
        <v>1.0500000000000001E-2</v>
      </c>
      <c r="E29" s="50">
        <v>0.28000000000000003</v>
      </c>
      <c r="F29" s="52">
        <v>2.0000000000000001E-4</v>
      </c>
      <c r="G29" s="50">
        <v>0.35</v>
      </c>
      <c r="H29" s="57"/>
      <c r="I29" s="47"/>
      <c r="J29" s="47"/>
      <c r="K29" s="47"/>
      <c r="L29" s="54"/>
      <c r="M29" s="54"/>
      <c r="N29" s="54"/>
      <c r="O29" s="54"/>
      <c r="P29" s="54"/>
      <c r="Q29" s="47"/>
      <c r="R29" s="47"/>
      <c r="S29" s="47"/>
    </row>
    <row r="30" spans="1:19" x14ac:dyDescent="0.35">
      <c r="A30" s="55" t="s">
        <v>84</v>
      </c>
      <c r="B30" s="56" t="s">
        <v>77</v>
      </c>
      <c r="C30" s="50">
        <f>2*'Assumption-Base'!C30</f>
        <v>0.4</v>
      </c>
      <c r="D30" s="51">
        <v>6.4999999999999997E-3</v>
      </c>
      <c r="E30" s="50">
        <v>0.32</v>
      </c>
      <c r="F30" s="52">
        <v>2.0000000000000001E-4</v>
      </c>
      <c r="G30" s="50">
        <v>0.35</v>
      </c>
      <c r="H30" s="57"/>
      <c r="I30" s="47"/>
      <c r="J30" s="47"/>
      <c r="K30" s="47"/>
      <c r="L30" s="54"/>
      <c r="M30" s="54"/>
      <c r="N30" s="54"/>
      <c r="O30" s="54"/>
      <c r="P30" s="54"/>
      <c r="Q30" s="47"/>
      <c r="R30" s="47"/>
      <c r="S30" s="47"/>
    </row>
    <row r="31" spans="1:19" x14ac:dyDescent="0.35">
      <c r="A31" s="55" t="s">
        <v>84</v>
      </c>
      <c r="B31" s="56" t="s">
        <v>78</v>
      </c>
      <c r="C31" s="50">
        <f>2*'Assumption-Base'!C31</f>
        <v>0.2</v>
      </c>
      <c r="D31" s="51">
        <v>3.0000000000000001E-3</v>
      </c>
      <c r="E31" s="50">
        <v>0.18</v>
      </c>
      <c r="F31" s="52">
        <v>2.0000000000000001E-4</v>
      </c>
      <c r="G31" s="50">
        <v>0.35</v>
      </c>
      <c r="H31" s="57"/>
      <c r="I31" s="47"/>
      <c r="J31" s="47"/>
      <c r="K31" s="47"/>
      <c r="L31" s="54"/>
      <c r="M31" s="54"/>
      <c r="N31" s="54"/>
      <c r="O31" s="54"/>
      <c r="P31" s="54"/>
      <c r="Q31" s="47"/>
      <c r="R31" s="47"/>
      <c r="S31" s="47"/>
    </row>
    <row r="32" spans="1:19" x14ac:dyDescent="0.35">
      <c r="A32" s="55" t="s">
        <v>84</v>
      </c>
      <c r="B32" s="56" t="s">
        <v>79</v>
      </c>
      <c r="C32" s="50">
        <f>2*'Assumption-Base'!C32</f>
        <v>0.2</v>
      </c>
      <c r="D32" s="51">
        <v>4.4999999999999997E-3</v>
      </c>
      <c r="E32" s="50">
        <v>0.22</v>
      </c>
      <c r="F32" s="52">
        <v>2.0000000000000001E-4</v>
      </c>
      <c r="G32" s="50">
        <v>0.35</v>
      </c>
      <c r="H32" s="57"/>
      <c r="I32" s="47"/>
      <c r="J32" s="47"/>
      <c r="K32" s="47"/>
      <c r="L32" s="54"/>
      <c r="M32" s="54"/>
      <c r="N32" s="54"/>
      <c r="O32" s="54"/>
      <c r="P32" s="54"/>
      <c r="Q32" s="47"/>
      <c r="R32" s="47"/>
      <c r="S32" s="47"/>
    </row>
    <row r="33" spans="1:19" x14ac:dyDescent="0.35">
      <c r="C33" s="3"/>
      <c r="I33" s="47"/>
      <c r="J33" s="47"/>
      <c r="K33" s="47"/>
      <c r="L33" s="47"/>
      <c r="M33" s="47"/>
      <c r="N33" s="47"/>
      <c r="O33" s="47"/>
      <c r="P33" s="47"/>
      <c r="Q33" s="47"/>
      <c r="R33" s="47"/>
      <c r="S33" s="47"/>
    </row>
    <row r="34" spans="1:19" x14ac:dyDescent="0.35">
      <c r="A34" s="58" t="s">
        <v>109</v>
      </c>
      <c r="I34" s="47"/>
      <c r="J34" s="47"/>
      <c r="K34" s="47"/>
      <c r="L34" s="47"/>
      <c r="M34" s="47"/>
      <c r="N34" s="47"/>
      <c r="O34" s="47"/>
      <c r="P34" s="47"/>
      <c r="Q34" s="47"/>
      <c r="R34" s="47"/>
      <c r="S34" s="47"/>
    </row>
    <row r="35" spans="1:19" x14ac:dyDescent="0.35">
      <c r="I35" s="47"/>
      <c r="J35" s="47"/>
      <c r="K35" s="47"/>
      <c r="L35" s="47"/>
      <c r="M35" s="47"/>
      <c r="N35" s="47"/>
      <c r="O35" s="47"/>
      <c r="P35" s="47"/>
      <c r="Q35" s="47"/>
      <c r="R35" s="47"/>
      <c r="S35" s="47"/>
    </row>
    <row r="36" spans="1:19" x14ac:dyDescent="0.35">
      <c r="I36" s="47"/>
      <c r="J36" s="47"/>
      <c r="K36" s="47"/>
      <c r="L36" s="47"/>
      <c r="M36" s="47"/>
      <c r="N36" s="47"/>
      <c r="O36" s="47"/>
      <c r="P36" s="47"/>
      <c r="Q36" s="47"/>
      <c r="R36" s="47"/>
      <c r="S36" s="47"/>
    </row>
    <row r="37" spans="1:19" x14ac:dyDescent="0.35">
      <c r="I37" s="47"/>
      <c r="J37" s="47"/>
      <c r="K37" s="47"/>
      <c r="L37" s="47"/>
      <c r="M37" s="47"/>
      <c r="N37" s="47"/>
      <c r="O37" s="47"/>
      <c r="P37" s="47"/>
      <c r="Q37" s="47"/>
      <c r="R37" s="47"/>
      <c r="S37" s="47"/>
    </row>
    <row r="38" spans="1:19" x14ac:dyDescent="0.35">
      <c r="I38" s="47"/>
      <c r="J38" s="47"/>
      <c r="K38" s="47"/>
      <c r="L38" s="47"/>
      <c r="M38" s="47"/>
      <c r="N38" s="47"/>
      <c r="O38" s="47"/>
      <c r="P38" s="47"/>
      <c r="Q38" s="47"/>
      <c r="R38" s="47"/>
      <c r="S38" s="47"/>
    </row>
    <row r="39" spans="1:19" x14ac:dyDescent="0.35">
      <c r="I39" s="47"/>
      <c r="J39" s="47"/>
      <c r="K39" s="47"/>
      <c r="L39" s="47"/>
      <c r="M39" s="47"/>
      <c r="N39" s="47"/>
      <c r="O39" s="47"/>
      <c r="P39" s="47"/>
      <c r="Q39" s="47"/>
      <c r="R39" s="47"/>
      <c r="S39" s="47"/>
    </row>
    <row r="40" spans="1:19" x14ac:dyDescent="0.35">
      <c r="I40" s="47"/>
      <c r="J40" s="47"/>
      <c r="K40" s="47"/>
      <c r="L40" s="47"/>
      <c r="M40" s="47"/>
      <c r="N40" s="47"/>
      <c r="O40" s="47"/>
      <c r="P40" s="47"/>
      <c r="Q40" s="47"/>
      <c r="R40" s="47"/>
      <c r="S40" s="47"/>
    </row>
    <row r="41" spans="1:19" x14ac:dyDescent="0.35">
      <c r="I41" s="47"/>
      <c r="J41" s="47"/>
      <c r="K41" s="47"/>
      <c r="L41" s="47"/>
      <c r="M41" s="47"/>
      <c r="N41" s="47"/>
      <c r="O41" s="47"/>
      <c r="P41" s="47"/>
      <c r="Q41" s="47"/>
      <c r="R41" s="47"/>
      <c r="S41" s="47"/>
    </row>
    <row r="42" spans="1:19" x14ac:dyDescent="0.35">
      <c r="I42" s="47"/>
      <c r="J42" s="47"/>
      <c r="K42" s="47"/>
      <c r="L42" s="47"/>
      <c r="M42" s="47"/>
      <c r="N42" s="47"/>
      <c r="O42" s="47"/>
      <c r="P42" s="47"/>
      <c r="Q42" s="47"/>
      <c r="R42" s="47"/>
      <c r="S42" s="47"/>
    </row>
    <row r="43" spans="1:19" x14ac:dyDescent="0.35">
      <c r="I43" s="47"/>
      <c r="J43" s="47"/>
      <c r="K43" s="47"/>
      <c r="L43" s="47"/>
      <c r="M43" s="47"/>
      <c r="N43" s="47"/>
      <c r="O43" s="47"/>
      <c r="P43" s="47"/>
      <c r="Q43" s="47"/>
      <c r="R43" s="47"/>
      <c r="S43" s="47"/>
    </row>
    <row r="44" spans="1:19" x14ac:dyDescent="0.35">
      <c r="I44" s="47"/>
      <c r="J44" s="47"/>
      <c r="K44" s="47"/>
      <c r="L44" s="47"/>
      <c r="M44" s="47"/>
      <c r="N44" s="47"/>
      <c r="O44" s="47"/>
      <c r="P44" s="47"/>
      <c r="Q44" s="47"/>
      <c r="R44" s="47"/>
      <c r="S44" s="47"/>
    </row>
  </sheetData>
  <mergeCells count="1">
    <mergeCell ref="C1:H1"/>
  </mergeCells>
  <pageMargins left="0.75" right="0.75" top="1" bottom="1" header="0.5" footer="0.5"/>
  <pageSetup fitToHeight="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A580C"/>
    <pageSetUpPr fitToPage="1"/>
  </sheetPr>
  <dimension ref="A1:S44"/>
  <sheetViews>
    <sheetView showGridLines="0" zoomScale="70" zoomScaleNormal="70" workbookViewId="0">
      <pane xSplit="2" ySplit="2" topLeftCell="C3" activePane="bottomRight" state="frozen"/>
      <selection pane="topRight"/>
      <selection pane="bottomLeft"/>
      <selection pane="bottomRight" activeCell="C3" sqref="C3"/>
    </sheetView>
  </sheetViews>
  <sheetFormatPr defaultColWidth="8.81640625" defaultRowHeight="14.5" x14ac:dyDescent="0.35"/>
  <cols>
    <col min="1" max="1" width="22" customWidth="1"/>
    <col min="2" max="2" width="24" customWidth="1"/>
    <col min="3" max="3" width="16" customWidth="1"/>
    <col min="4" max="4" width="14" customWidth="1"/>
    <col min="5" max="7" width="16" customWidth="1"/>
    <col min="8" max="8" width="60" customWidth="1"/>
  </cols>
  <sheetData>
    <row r="1" spans="1:19" ht="40" customHeight="1" x14ac:dyDescent="0.35">
      <c r="A1" s="45" t="s">
        <v>100</v>
      </c>
      <c r="B1" s="46" t="s">
        <v>101</v>
      </c>
      <c r="C1" s="137" t="s">
        <v>111</v>
      </c>
      <c r="D1" s="138"/>
      <c r="E1" s="138"/>
      <c r="F1" s="138"/>
      <c r="G1" s="138"/>
      <c r="H1" s="138"/>
      <c r="I1" s="47"/>
      <c r="J1" s="47"/>
      <c r="K1" s="47"/>
      <c r="L1" s="47"/>
      <c r="M1" s="47"/>
      <c r="N1" s="47"/>
      <c r="O1" s="47"/>
      <c r="P1" s="47"/>
      <c r="Q1" s="47"/>
      <c r="R1" s="47"/>
      <c r="S1" s="47"/>
    </row>
    <row r="2" spans="1:19" ht="34" customHeight="1" x14ac:dyDescent="0.35">
      <c r="A2" s="60" t="s">
        <v>43</v>
      </c>
      <c r="B2" s="60" t="s">
        <v>44</v>
      </c>
      <c r="C2" s="60" t="s">
        <v>103</v>
      </c>
      <c r="D2" s="60" t="s">
        <v>104</v>
      </c>
      <c r="E2" s="60" t="s">
        <v>105</v>
      </c>
      <c r="F2" s="60" t="s">
        <v>106</v>
      </c>
      <c r="G2" s="60" t="s">
        <v>107</v>
      </c>
      <c r="H2" s="60" t="s">
        <v>108</v>
      </c>
      <c r="I2" s="47"/>
      <c r="J2" s="47"/>
      <c r="K2" s="47"/>
      <c r="L2" s="47"/>
      <c r="M2" s="47"/>
      <c r="N2" s="47"/>
      <c r="O2" s="47"/>
      <c r="P2" s="47"/>
      <c r="Q2" s="47"/>
      <c r="R2" s="47"/>
      <c r="S2" s="47"/>
    </row>
    <row r="3" spans="1:19" x14ac:dyDescent="0.35">
      <c r="A3" s="48" t="s">
        <v>74</v>
      </c>
      <c r="B3" s="49" t="s">
        <v>75</v>
      </c>
      <c r="C3" s="50">
        <f>0.5*'Assumption-Base'!C3</f>
        <v>0.1</v>
      </c>
      <c r="D3" s="51">
        <v>7.4999999999999997E-3</v>
      </c>
      <c r="E3" s="50">
        <v>0.35</v>
      </c>
      <c r="F3" s="52">
        <v>6.9999999999999994E-5</v>
      </c>
      <c r="G3" s="50">
        <v>0.45</v>
      </c>
      <c r="H3" s="53"/>
      <c r="I3" s="47"/>
      <c r="J3" s="47"/>
      <c r="K3" s="47"/>
      <c r="L3" s="54"/>
      <c r="M3" s="54"/>
      <c r="N3" s="54"/>
      <c r="O3" s="54"/>
      <c r="P3" s="54"/>
      <c r="Q3" s="47"/>
      <c r="R3" s="47"/>
      <c r="S3" s="47"/>
    </row>
    <row r="4" spans="1:19" x14ac:dyDescent="0.35">
      <c r="A4" s="48" t="s">
        <v>74</v>
      </c>
      <c r="B4" s="49" t="s">
        <v>76</v>
      </c>
      <c r="C4" s="50">
        <f>0.5*'Assumption-Base'!C4</f>
        <v>0.1</v>
      </c>
      <c r="D4" s="51">
        <v>1.0500000000000001E-2</v>
      </c>
      <c r="E4" s="50">
        <v>0.28000000000000003</v>
      </c>
      <c r="F4" s="52">
        <v>6.9999999999999994E-5</v>
      </c>
      <c r="G4" s="50">
        <v>0.45</v>
      </c>
      <c r="H4" s="53"/>
      <c r="I4" s="47"/>
      <c r="J4" s="47"/>
      <c r="K4" s="47"/>
      <c r="L4" s="54"/>
      <c r="M4" s="54"/>
      <c r="N4" s="54"/>
      <c r="O4" s="54"/>
      <c r="P4" s="54"/>
      <c r="Q4" s="47"/>
      <c r="R4" s="47"/>
      <c r="S4" s="47"/>
    </row>
    <row r="5" spans="1:19" x14ac:dyDescent="0.35">
      <c r="A5" s="48" t="s">
        <v>74</v>
      </c>
      <c r="B5" s="49" t="s">
        <v>77</v>
      </c>
      <c r="C5" s="50">
        <f>0.5*'Assumption-Base'!C5</f>
        <v>0.2</v>
      </c>
      <c r="D5" s="51">
        <v>6.4999999999999997E-3</v>
      </c>
      <c r="E5" s="50">
        <v>0.32</v>
      </c>
      <c r="F5" s="52">
        <v>6.9999999999999994E-5</v>
      </c>
      <c r="G5" s="50">
        <v>0.45</v>
      </c>
      <c r="H5" s="53"/>
      <c r="I5" s="47"/>
      <c r="J5" s="47"/>
      <c r="K5" s="47"/>
      <c r="L5" s="54"/>
      <c r="M5" s="54"/>
      <c r="N5" s="54"/>
      <c r="O5" s="54"/>
      <c r="P5" s="54"/>
      <c r="Q5" s="47"/>
      <c r="R5" s="47"/>
      <c r="S5" s="47"/>
    </row>
    <row r="6" spans="1:19" x14ac:dyDescent="0.35">
      <c r="A6" s="48" t="s">
        <v>74</v>
      </c>
      <c r="B6" s="49" t="s">
        <v>78</v>
      </c>
      <c r="C6" s="50">
        <f>0.5*'Assumption-Base'!C6</f>
        <v>0.1</v>
      </c>
      <c r="D6" s="51">
        <v>3.0000000000000001E-3</v>
      </c>
      <c r="E6" s="50">
        <v>0.18</v>
      </c>
      <c r="F6" s="52">
        <v>6.9999999999999994E-5</v>
      </c>
      <c r="G6" s="50">
        <v>0.45</v>
      </c>
      <c r="H6" s="53"/>
      <c r="I6" s="47"/>
      <c r="J6" s="47"/>
      <c r="K6" s="47"/>
      <c r="L6" s="54"/>
      <c r="M6" s="54"/>
      <c r="N6" s="54"/>
      <c r="O6" s="54"/>
      <c r="P6" s="54"/>
      <c r="Q6" s="47"/>
      <c r="R6" s="47"/>
      <c r="S6" s="47"/>
    </row>
    <row r="7" spans="1:19" x14ac:dyDescent="0.35">
      <c r="A7" s="48" t="s">
        <v>74</v>
      </c>
      <c r="B7" s="49" t="s">
        <v>79</v>
      </c>
      <c r="C7" s="50">
        <f>0.5*'Assumption-Base'!C7</f>
        <v>0.1</v>
      </c>
      <c r="D7" s="51">
        <v>4.4999999999999997E-3</v>
      </c>
      <c r="E7" s="50">
        <v>0.22</v>
      </c>
      <c r="F7" s="52">
        <v>6.9999999999999994E-5</v>
      </c>
      <c r="G7" s="50">
        <v>0.45</v>
      </c>
      <c r="H7" s="53"/>
      <c r="I7" s="47"/>
      <c r="J7" s="47"/>
      <c r="K7" s="47"/>
      <c r="L7" s="54"/>
      <c r="M7" s="54"/>
      <c r="N7" s="54"/>
      <c r="O7" s="54"/>
      <c r="P7" s="54"/>
      <c r="Q7" s="47"/>
      <c r="R7" s="47"/>
      <c r="S7" s="47"/>
    </row>
    <row r="8" spans="1:19" x14ac:dyDescent="0.35">
      <c r="A8" s="55" t="s">
        <v>80</v>
      </c>
      <c r="B8" s="56" t="s">
        <v>75</v>
      </c>
      <c r="C8" s="50">
        <f>0.5*'Assumption-Base'!C8</f>
        <v>0.03</v>
      </c>
      <c r="D8" s="51">
        <v>7.4999999999999997E-3</v>
      </c>
      <c r="E8" s="50">
        <v>0.35</v>
      </c>
      <c r="F8" s="52">
        <v>1.4999999999999999E-4</v>
      </c>
      <c r="G8" s="50">
        <v>0.45</v>
      </c>
      <c r="H8" s="57"/>
      <c r="I8" s="47"/>
      <c r="J8" s="47"/>
      <c r="K8" s="47"/>
      <c r="L8" s="54"/>
      <c r="M8" s="54"/>
      <c r="N8" s="54"/>
      <c r="O8" s="54"/>
      <c r="P8" s="54"/>
      <c r="Q8" s="47"/>
      <c r="R8" s="47"/>
      <c r="S8" s="47"/>
    </row>
    <row r="9" spans="1:19" x14ac:dyDescent="0.35">
      <c r="A9" s="55" t="s">
        <v>80</v>
      </c>
      <c r="B9" s="56" t="s">
        <v>76</v>
      </c>
      <c r="C9" s="50">
        <f>0.5*'Assumption-Base'!C9</f>
        <v>0.03</v>
      </c>
      <c r="D9" s="51">
        <v>1.0500000000000001E-2</v>
      </c>
      <c r="E9" s="50">
        <v>0.28000000000000003</v>
      </c>
      <c r="F9" s="52">
        <v>1.4999999999999999E-4</v>
      </c>
      <c r="G9" s="50">
        <v>0.45</v>
      </c>
      <c r="H9" s="57"/>
      <c r="I9" s="47"/>
      <c r="J9" s="47"/>
      <c r="K9" s="47"/>
      <c r="L9" s="54"/>
      <c r="M9" s="54"/>
      <c r="N9" s="54"/>
      <c r="O9" s="54"/>
      <c r="P9" s="54"/>
      <c r="Q9" s="47"/>
      <c r="R9" s="47"/>
      <c r="S9" s="47"/>
    </row>
    <row r="10" spans="1:19" x14ac:dyDescent="0.35">
      <c r="A10" s="55" t="s">
        <v>80</v>
      </c>
      <c r="B10" s="56" t="s">
        <v>77</v>
      </c>
      <c r="C10" s="50">
        <f>0.5*'Assumption-Base'!C10</f>
        <v>0.06</v>
      </c>
      <c r="D10" s="51">
        <v>6.4999999999999997E-3</v>
      </c>
      <c r="E10" s="50">
        <v>0.32</v>
      </c>
      <c r="F10" s="52">
        <v>1.4999999999999999E-4</v>
      </c>
      <c r="G10" s="50">
        <v>0.45</v>
      </c>
      <c r="H10" s="57"/>
      <c r="I10" s="47"/>
      <c r="J10" s="47"/>
      <c r="K10" s="47"/>
      <c r="L10" s="54"/>
      <c r="M10" s="54"/>
      <c r="N10" s="54"/>
      <c r="O10" s="54"/>
      <c r="P10" s="54"/>
      <c r="Q10" s="47"/>
      <c r="R10" s="47"/>
      <c r="S10" s="47"/>
    </row>
    <row r="11" spans="1:19" x14ac:dyDescent="0.35">
      <c r="A11" s="55" t="s">
        <v>80</v>
      </c>
      <c r="B11" s="56" t="s">
        <v>78</v>
      </c>
      <c r="C11" s="50">
        <f>0.5*'Assumption-Base'!C11</f>
        <v>0.03</v>
      </c>
      <c r="D11" s="51">
        <v>3.0000000000000001E-3</v>
      </c>
      <c r="E11" s="50">
        <v>0.18</v>
      </c>
      <c r="F11" s="52">
        <v>1.4999999999999999E-4</v>
      </c>
      <c r="G11" s="50">
        <v>0.45</v>
      </c>
      <c r="H11" s="57"/>
      <c r="I11" s="47"/>
      <c r="J11" s="47"/>
      <c r="K11" s="47"/>
      <c r="L11" s="54"/>
      <c r="M11" s="54"/>
      <c r="N11" s="54"/>
      <c r="O11" s="54"/>
      <c r="P11" s="54"/>
      <c r="Q11" s="47"/>
      <c r="R11" s="47"/>
      <c r="S11" s="47"/>
    </row>
    <row r="12" spans="1:19" x14ac:dyDescent="0.35">
      <c r="A12" s="55" t="s">
        <v>80</v>
      </c>
      <c r="B12" s="56" t="s">
        <v>79</v>
      </c>
      <c r="C12" s="50">
        <f>0.5*'Assumption-Base'!C12</f>
        <v>0.03</v>
      </c>
      <c r="D12" s="51">
        <v>4.4999999999999997E-3</v>
      </c>
      <c r="E12" s="50">
        <v>0.22</v>
      </c>
      <c r="F12" s="52">
        <v>1.4999999999999999E-4</v>
      </c>
      <c r="G12" s="50">
        <v>0.45</v>
      </c>
      <c r="H12" s="57"/>
      <c r="I12" s="47"/>
      <c r="J12" s="47"/>
      <c r="K12" s="47"/>
      <c r="L12" s="54"/>
      <c r="M12" s="54"/>
      <c r="N12" s="54"/>
      <c r="O12" s="54"/>
      <c r="P12" s="54"/>
      <c r="Q12" s="47"/>
      <c r="R12" s="47"/>
      <c r="S12" s="47"/>
    </row>
    <row r="13" spans="1:19" x14ac:dyDescent="0.35">
      <c r="A13" s="48" t="s">
        <v>81</v>
      </c>
      <c r="B13" s="49" t="s">
        <v>75</v>
      </c>
      <c r="C13" s="50">
        <f>0.5*'Assumption-Base'!C13</f>
        <v>0.06</v>
      </c>
      <c r="D13" s="51">
        <v>7.4999999999999997E-3</v>
      </c>
      <c r="E13" s="50">
        <v>0.35</v>
      </c>
      <c r="F13" s="52">
        <v>1.8000000000000001E-4</v>
      </c>
      <c r="G13" s="50">
        <v>0.45</v>
      </c>
      <c r="H13" s="53"/>
      <c r="I13" s="47"/>
      <c r="J13" s="47"/>
      <c r="K13" s="47"/>
      <c r="L13" s="54"/>
      <c r="M13" s="54"/>
      <c r="N13" s="54"/>
      <c r="O13" s="54"/>
      <c r="P13" s="54"/>
      <c r="Q13" s="47"/>
      <c r="R13" s="47"/>
      <c r="S13" s="47"/>
    </row>
    <row r="14" spans="1:19" x14ac:dyDescent="0.35">
      <c r="A14" s="48" t="s">
        <v>81</v>
      </c>
      <c r="B14" s="49" t="s">
        <v>76</v>
      </c>
      <c r="C14" s="50">
        <f>0.5*'Assumption-Base'!C14</f>
        <v>0.06</v>
      </c>
      <c r="D14" s="51">
        <v>1.0500000000000001E-2</v>
      </c>
      <c r="E14" s="50">
        <v>0.28000000000000003</v>
      </c>
      <c r="F14" s="52">
        <v>1.8000000000000001E-4</v>
      </c>
      <c r="G14" s="50">
        <v>0.45</v>
      </c>
      <c r="H14" s="53"/>
      <c r="I14" s="47"/>
      <c r="J14" s="47"/>
      <c r="K14" s="47"/>
      <c r="L14" s="54"/>
      <c r="M14" s="54"/>
      <c r="N14" s="54"/>
      <c r="O14" s="54"/>
      <c r="P14" s="54"/>
      <c r="Q14" s="47"/>
      <c r="R14" s="47"/>
      <c r="S14" s="47"/>
    </row>
    <row r="15" spans="1:19" x14ac:dyDescent="0.35">
      <c r="A15" s="48" t="s">
        <v>81</v>
      </c>
      <c r="B15" s="49" t="s">
        <v>77</v>
      </c>
      <c r="C15" s="50">
        <f>0.5*'Assumption-Base'!C15</f>
        <v>0.12</v>
      </c>
      <c r="D15" s="51">
        <v>6.4999999999999997E-3</v>
      </c>
      <c r="E15" s="50">
        <v>0.32</v>
      </c>
      <c r="F15" s="52">
        <v>1.8000000000000001E-4</v>
      </c>
      <c r="G15" s="50">
        <v>0.45</v>
      </c>
      <c r="H15" s="53"/>
      <c r="I15" s="47"/>
      <c r="J15" s="47"/>
      <c r="K15" s="47"/>
      <c r="L15" s="54"/>
      <c r="M15" s="54"/>
      <c r="N15" s="54"/>
      <c r="O15" s="54"/>
      <c r="P15" s="54"/>
      <c r="Q15" s="47"/>
      <c r="R15" s="47"/>
      <c r="S15" s="47"/>
    </row>
    <row r="16" spans="1:19" x14ac:dyDescent="0.35">
      <c r="A16" s="48" t="s">
        <v>81</v>
      </c>
      <c r="B16" s="49" t="s">
        <v>78</v>
      </c>
      <c r="C16" s="50">
        <f>0.5*'Assumption-Base'!C16</f>
        <v>0.06</v>
      </c>
      <c r="D16" s="51">
        <v>3.0000000000000001E-3</v>
      </c>
      <c r="E16" s="50">
        <v>0.18</v>
      </c>
      <c r="F16" s="52">
        <v>1.8000000000000001E-4</v>
      </c>
      <c r="G16" s="50">
        <v>0.45</v>
      </c>
      <c r="H16" s="53"/>
      <c r="I16" s="47"/>
      <c r="J16" s="47"/>
      <c r="K16" s="47"/>
      <c r="L16" s="54"/>
      <c r="M16" s="54"/>
      <c r="N16" s="54"/>
      <c r="O16" s="54"/>
      <c r="P16" s="54"/>
      <c r="Q16" s="47"/>
      <c r="R16" s="47"/>
      <c r="S16" s="47"/>
    </row>
    <row r="17" spans="1:19" x14ac:dyDescent="0.35">
      <c r="A17" s="48" t="s">
        <v>81</v>
      </c>
      <c r="B17" s="49" t="s">
        <v>79</v>
      </c>
      <c r="C17" s="50">
        <f>0.5*'Assumption-Base'!C17</f>
        <v>0.06</v>
      </c>
      <c r="D17" s="51">
        <v>4.4999999999999997E-3</v>
      </c>
      <c r="E17" s="50">
        <v>0.22</v>
      </c>
      <c r="F17" s="52">
        <v>1.8000000000000001E-4</v>
      </c>
      <c r="G17" s="50">
        <v>0.45</v>
      </c>
      <c r="H17" s="53"/>
      <c r="I17" s="47"/>
      <c r="J17" s="47"/>
      <c r="K17" s="47"/>
      <c r="L17" s="54"/>
      <c r="M17" s="54"/>
      <c r="N17" s="54"/>
      <c r="O17" s="54"/>
      <c r="P17" s="54"/>
      <c r="Q17" s="47"/>
      <c r="R17" s="47"/>
      <c r="S17" s="47"/>
    </row>
    <row r="18" spans="1:19" x14ac:dyDescent="0.35">
      <c r="A18" s="55" t="s">
        <v>82</v>
      </c>
      <c r="B18" s="56" t="s">
        <v>75</v>
      </c>
      <c r="C18" s="50">
        <f>0.5*'Assumption-Base'!C18</f>
        <v>7.4999999999999997E-2</v>
      </c>
      <c r="D18" s="51">
        <v>7.4999999999999997E-3</v>
      </c>
      <c r="E18" s="50">
        <v>0.35</v>
      </c>
      <c r="F18" s="52">
        <v>8.0000000000000007E-5</v>
      </c>
      <c r="G18" s="50">
        <v>0.45</v>
      </c>
      <c r="H18" s="57"/>
      <c r="I18" s="47"/>
      <c r="J18" s="47"/>
      <c r="K18" s="47"/>
      <c r="L18" s="54"/>
      <c r="M18" s="54"/>
      <c r="N18" s="54"/>
      <c r="O18" s="54"/>
      <c r="P18" s="54"/>
      <c r="Q18" s="47"/>
      <c r="R18" s="47"/>
      <c r="S18" s="47"/>
    </row>
    <row r="19" spans="1:19" x14ac:dyDescent="0.35">
      <c r="A19" s="55" t="s">
        <v>82</v>
      </c>
      <c r="B19" s="56" t="s">
        <v>76</v>
      </c>
      <c r="C19" s="50">
        <f>0.5*'Assumption-Base'!C19</f>
        <v>7.4999999999999997E-2</v>
      </c>
      <c r="D19" s="51">
        <v>1.0500000000000001E-2</v>
      </c>
      <c r="E19" s="50">
        <v>0.28000000000000003</v>
      </c>
      <c r="F19" s="52">
        <v>8.0000000000000007E-5</v>
      </c>
      <c r="G19" s="50">
        <v>0.45</v>
      </c>
      <c r="H19" s="57"/>
      <c r="I19" s="47"/>
      <c r="J19" s="47"/>
      <c r="K19" s="47"/>
      <c r="L19" s="54"/>
      <c r="M19" s="54"/>
      <c r="N19" s="54"/>
      <c r="O19" s="54"/>
      <c r="P19" s="54"/>
      <c r="Q19" s="47"/>
      <c r="R19" s="47"/>
      <c r="S19" s="47"/>
    </row>
    <row r="20" spans="1:19" x14ac:dyDescent="0.35">
      <c r="A20" s="55" t="s">
        <v>82</v>
      </c>
      <c r="B20" s="56" t="s">
        <v>77</v>
      </c>
      <c r="C20" s="50">
        <f>0.5*'Assumption-Base'!C20</f>
        <v>0.15</v>
      </c>
      <c r="D20" s="51">
        <v>6.4999999999999997E-3</v>
      </c>
      <c r="E20" s="50">
        <v>0.32</v>
      </c>
      <c r="F20" s="52">
        <v>8.0000000000000007E-5</v>
      </c>
      <c r="G20" s="50">
        <v>0.45</v>
      </c>
      <c r="H20" s="57"/>
      <c r="I20" s="47"/>
      <c r="J20" s="47"/>
      <c r="K20" s="47"/>
      <c r="L20" s="54"/>
      <c r="M20" s="54"/>
      <c r="N20" s="54"/>
      <c r="O20" s="54"/>
      <c r="P20" s="54"/>
      <c r="Q20" s="47"/>
      <c r="R20" s="47"/>
      <c r="S20" s="47"/>
    </row>
    <row r="21" spans="1:19" x14ac:dyDescent="0.35">
      <c r="A21" s="55" t="s">
        <v>82</v>
      </c>
      <c r="B21" s="56" t="s">
        <v>78</v>
      </c>
      <c r="C21" s="50">
        <f>0.5*'Assumption-Base'!C21</f>
        <v>7.4999999999999997E-2</v>
      </c>
      <c r="D21" s="51">
        <v>3.0000000000000001E-3</v>
      </c>
      <c r="E21" s="50">
        <v>0.18</v>
      </c>
      <c r="F21" s="52">
        <v>8.0000000000000007E-5</v>
      </c>
      <c r="G21" s="50">
        <v>0.45</v>
      </c>
      <c r="H21" s="57"/>
      <c r="I21" s="47"/>
      <c r="J21" s="47"/>
      <c r="K21" s="47"/>
      <c r="L21" s="54"/>
      <c r="M21" s="54"/>
      <c r="N21" s="54"/>
      <c r="O21" s="54"/>
      <c r="P21" s="54"/>
      <c r="Q21" s="47"/>
      <c r="R21" s="47"/>
      <c r="S21" s="47"/>
    </row>
    <row r="22" spans="1:19" x14ac:dyDescent="0.35">
      <c r="A22" s="55" t="s">
        <v>82</v>
      </c>
      <c r="B22" s="56" t="s">
        <v>79</v>
      </c>
      <c r="C22" s="50">
        <f>0.5*'Assumption-Base'!C22</f>
        <v>7.4999999999999997E-2</v>
      </c>
      <c r="D22" s="51">
        <v>4.4999999999999997E-3</v>
      </c>
      <c r="E22" s="50">
        <v>0.22</v>
      </c>
      <c r="F22" s="52">
        <v>8.0000000000000007E-5</v>
      </c>
      <c r="G22" s="50">
        <v>0.45</v>
      </c>
      <c r="H22" s="57"/>
      <c r="I22" s="47"/>
      <c r="J22" s="47"/>
      <c r="K22" s="47"/>
      <c r="L22" s="54"/>
      <c r="M22" s="54"/>
      <c r="N22" s="54"/>
      <c r="O22" s="54"/>
      <c r="P22" s="54"/>
      <c r="Q22" s="47"/>
      <c r="R22" s="47"/>
      <c r="S22" s="47"/>
    </row>
    <row r="23" spans="1:19" x14ac:dyDescent="0.35">
      <c r="A23" s="48" t="s">
        <v>83</v>
      </c>
      <c r="B23" s="49" t="s">
        <v>75</v>
      </c>
      <c r="C23" s="50">
        <f>0.5*'Assumption-Base'!C23</f>
        <v>2.5000000000000001E-2</v>
      </c>
      <c r="D23" s="51">
        <v>7.4999999999999997E-3</v>
      </c>
      <c r="E23" s="50">
        <v>0.35</v>
      </c>
      <c r="F23" s="52">
        <v>9.0000000000000006E-5</v>
      </c>
      <c r="G23" s="50">
        <v>0.45</v>
      </c>
      <c r="H23" s="53"/>
      <c r="I23" s="47"/>
      <c r="J23" s="47"/>
      <c r="K23" s="47"/>
      <c r="L23" s="54"/>
      <c r="M23" s="54"/>
      <c r="N23" s="54"/>
      <c r="O23" s="54"/>
      <c r="P23" s="54"/>
      <c r="Q23" s="47"/>
      <c r="R23" s="47"/>
      <c r="S23" s="47"/>
    </row>
    <row r="24" spans="1:19" x14ac:dyDescent="0.35">
      <c r="A24" s="48" t="s">
        <v>83</v>
      </c>
      <c r="B24" s="49" t="s">
        <v>76</v>
      </c>
      <c r="C24" s="50">
        <f>0.5*'Assumption-Base'!C24</f>
        <v>2.5000000000000001E-2</v>
      </c>
      <c r="D24" s="51">
        <v>1.0500000000000001E-2</v>
      </c>
      <c r="E24" s="50">
        <v>0.28000000000000003</v>
      </c>
      <c r="F24" s="52">
        <v>9.0000000000000006E-5</v>
      </c>
      <c r="G24" s="50">
        <v>0.45</v>
      </c>
      <c r="H24" s="53"/>
      <c r="I24" s="47"/>
      <c r="J24" s="47"/>
      <c r="K24" s="47"/>
      <c r="L24" s="54"/>
      <c r="M24" s="54"/>
      <c r="N24" s="54"/>
      <c r="O24" s="54"/>
      <c r="P24" s="54"/>
      <c r="Q24" s="47"/>
      <c r="R24" s="47"/>
      <c r="S24" s="47"/>
    </row>
    <row r="25" spans="1:19" x14ac:dyDescent="0.35">
      <c r="A25" s="48" t="s">
        <v>83</v>
      </c>
      <c r="B25" s="49" t="s">
        <v>77</v>
      </c>
      <c r="C25" s="50">
        <f>0.5*'Assumption-Base'!C25</f>
        <v>0.05</v>
      </c>
      <c r="D25" s="51">
        <v>6.4999999999999997E-3</v>
      </c>
      <c r="E25" s="50">
        <v>0.32</v>
      </c>
      <c r="F25" s="52">
        <v>9.0000000000000006E-5</v>
      </c>
      <c r="G25" s="50">
        <v>0.45</v>
      </c>
      <c r="H25" s="53"/>
      <c r="I25" s="47"/>
      <c r="J25" s="47"/>
      <c r="K25" s="47"/>
      <c r="L25" s="54"/>
      <c r="M25" s="54"/>
      <c r="N25" s="54"/>
      <c r="O25" s="54"/>
      <c r="P25" s="54"/>
      <c r="Q25" s="47"/>
      <c r="R25" s="47"/>
      <c r="S25" s="47"/>
    </row>
    <row r="26" spans="1:19" x14ac:dyDescent="0.35">
      <c r="A26" s="48" t="s">
        <v>83</v>
      </c>
      <c r="B26" s="49" t="s">
        <v>78</v>
      </c>
      <c r="C26" s="50">
        <f>0.5*'Assumption-Base'!C26</f>
        <v>2.5000000000000001E-2</v>
      </c>
      <c r="D26" s="51">
        <v>3.0000000000000001E-3</v>
      </c>
      <c r="E26" s="50">
        <v>0.18</v>
      </c>
      <c r="F26" s="52">
        <v>9.0000000000000006E-5</v>
      </c>
      <c r="G26" s="50">
        <v>0.45</v>
      </c>
      <c r="H26" s="53"/>
      <c r="I26" s="47"/>
      <c r="J26" s="47"/>
      <c r="K26" s="47"/>
      <c r="L26" s="54"/>
      <c r="M26" s="54"/>
      <c r="N26" s="54"/>
      <c r="O26" s="54"/>
      <c r="P26" s="54"/>
      <c r="Q26" s="47"/>
      <c r="R26" s="47"/>
      <c r="S26" s="47"/>
    </row>
    <row r="27" spans="1:19" x14ac:dyDescent="0.35">
      <c r="A27" s="48" t="s">
        <v>83</v>
      </c>
      <c r="B27" s="49" t="s">
        <v>79</v>
      </c>
      <c r="C27" s="50">
        <f>0.5*'Assumption-Base'!C27</f>
        <v>2.5000000000000001E-2</v>
      </c>
      <c r="D27" s="51">
        <v>4.4999999999999997E-3</v>
      </c>
      <c r="E27" s="50">
        <v>0.22</v>
      </c>
      <c r="F27" s="52">
        <v>9.0000000000000006E-5</v>
      </c>
      <c r="G27" s="50">
        <v>0.45</v>
      </c>
      <c r="H27" s="53"/>
      <c r="I27" s="47"/>
      <c r="J27" s="47"/>
      <c r="K27" s="47"/>
      <c r="L27" s="54"/>
      <c r="M27" s="54"/>
      <c r="N27" s="54"/>
      <c r="O27" s="54"/>
      <c r="P27" s="54"/>
      <c r="Q27" s="47"/>
      <c r="R27" s="47"/>
      <c r="S27" s="47"/>
    </row>
    <row r="28" spans="1:19" x14ac:dyDescent="0.35">
      <c r="A28" s="55" t="s">
        <v>84</v>
      </c>
      <c r="B28" s="56" t="s">
        <v>75</v>
      </c>
      <c r="C28" s="50">
        <f>0.5*'Assumption-Base'!C28</f>
        <v>0.05</v>
      </c>
      <c r="D28" s="51">
        <v>7.4999999999999997E-3</v>
      </c>
      <c r="E28" s="50">
        <v>0.35</v>
      </c>
      <c r="F28" s="52">
        <v>2.0000000000000001E-4</v>
      </c>
      <c r="G28" s="50">
        <v>0.45</v>
      </c>
      <c r="H28" s="57"/>
      <c r="I28" s="47"/>
      <c r="J28" s="47"/>
      <c r="K28" s="47"/>
      <c r="L28" s="54"/>
      <c r="M28" s="54"/>
      <c r="N28" s="54"/>
      <c r="O28" s="54"/>
      <c r="P28" s="54"/>
      <c r="Q28" s="47"/>
      <c r="R28" s="47"/>
      <c r="S28" s="47"/>
    </row>
    <row r="29" spans="1:19" x14ac:dyDescent="0.35">
      <c r="A29" s="55" t="s">
        <v>84</v>
      </c>
      <c r="B29" s="56" t="s">
        <v>76</v>
      </c>
      <c r="C29" s="50">
        <f>0.5*'Assumption-Base'!C29</f>
        <v>0.05</v>
      </c>
      <c r="D29" s="51">
        <v>1.0500000000000001E-2</v>
      </c>
      <c r="E29" s="50">
        <v>0.28000000000000003</v>
      </c>
      <c r="F29" s="52">
        <v>2.0000000000000001E-4</v>
      </c>
      <c r="G29" s="50">
        <v>0.45</v>
      </c>
      <c r="H29" s="57"/>
      <c r="I29" s="47"/>
      <c r="J29" s="47"/>
      <c r="K29" s="47"/>
      <c r="L29" s="54"/>
      <c r="M29" s="54"/>
      <c r="N29" s="54"/>
      <c r="O29" s="54"/>
      <c r="P29" s="54"/>
      <c r="Q29" s="47"/>
      <c r="R29" s="47"/>
      <c r="S29" s="47"/>
    </row>
    <row r="30" spans="1:19" x14ac:dyDescent="0.35">
      <c r="A30" s="55" t="s">
        <v>84</v>
      </c>
      <c r="B30" s="56" t="s">
        <v>77</v>
      </c>
      <c r="C30" s="50">
        <f>0.5*'Assumption-Base'!C30</f>
        <v>0.1</v>
      </c>
      <c r="D30" s="51">
        <v>6.4999999999999997E-3</v>
      </c>
      <c r="E30" s="50">
        <v>0.32</v>
      </c>
      <c r="F30" s="52">
        <v>2.0000000000000001E-4</v>
      </c>
      <c r="G30" s="50">
        <v>0.45</v>
      </c>
      <c r="H30" s="57"/>
      <c r="I30" s="47"/>
      <c r="J30" s="47"/>
      <c r="K30" s="47"/>
      <c r="L30" s="54"/>
      <c r="M30" s="54"/>
      <c r="N30" s="54"/>
      <c r="O30" s="54"/>
      <c r="P30" s="54"/>
      <c r="Q30" s="47"/>
      <c r="R30" s="47"/>
      <c r="S30" s="47"/>
    </row>
    <row r="31" spans="1:19" x14ac:dyDescent="0.35">
      <c r="A31" s="55" t="s">
        <v>84</v>
      </c>
      <c r="B31" s="56" t="s">
        <v>78</v>
      </c>
      <c r="C31" s="50">
        <f>0.5*'Assumption-Base'!C31</f>
        <v>0.05</v>
      </c>
      <c r="D31" s="51">
        <v>3.0000000000000001E-3</v>
      </c>
      <c r="E31" s="50">
        <v>0.18</v>
      </c>
      <c r="F31" s="52">
        <v>2.0000000000000001E-4</v>
      </c>
      <c r="G31" s="50">
        <v>0.45</v>
      </c>
      <c r="H31" s="57"/>
      <c r="I31" s="47"/>
      <c r="J31" s="47"/>
      <c r="K31" s="47"/>
      <c r="L31" s="54"/>
      <c r="M31" s="54"/>
      <c r="N31" s="54"/>
      <c r="O31" s="54"/>
      <c r="P31" s="54"/>
      <c r="Q31" s="47"/>
      <c r="R31" s="47"/>
      <c r="S31" s="47"/>
    </row>
    <row r="32" spans="1:19" x14ac:dyDescent="0.35">
      <c r="A32" s="55" t="s">
        <v>84</v>
      </c>
      <c r="B32" s="56" t="s">
        <v>79</v>
      </c>
      <c r="C32" s="50">
        <f>0.5*'Assumption-Base'!C32</f>
        <v>0.05</v>
      </c>
      <c r="D32" s="51">
        <v>4.4999999999999997E-3</v>
      </c>
      <c r="E32" s="50">
        <v>0.22</v>
      </c>
      <c r="F32" s="52">
        <v>2.0000000000000001E-4</v>
      </c>
      <c r="G32" s="50">
        <v>0.45</v>
      </c>
      <c r="H32" s="57"/>
      <c r="I32" s="47"/>
      <c r="J32" s="47"/>
      <c r="K32" s="47"/>
      <c r="L32" s="54"/>
      <c r="M32" s="54"/>
      <c r="N32" s="54"/>
      <c r="O32" s="54"/>
      <c r="P32" s="54"/>
      <c r="Q32" s="47"/>
      <c r="R32" s="47"/>
      <c r="S32" s="47"/>
    </row>
    <row r="33" spans="1:19" x14ac:dyDescent="0.35">
      <c r="C33" s="3"/>
      <c r="I33" s="47"/>
      <c r="J33" s="47"/>
      <c r="K33" s="47"/>
      <c r="L33" s="47"/>
      <c r="M33" s="47"/>
      <c r="N33" s="47"/>
      <c r="O33" s="47"/>
      <c r="P33" s="47"/>
      <c r="Q33" s="47"/>
      <c r="R33" s="47"/>
      <c r="S33" s="47"/>
    </row>
    <row r="34" spans="1:19" x14ac:dyDescent="0.35">
      <c r="A34" s="58" t="s">
        <v>109</v>
      </c>
      <c r="I34" s="47"/>
      <c r="J34" s="47"/>
      <c r="K34" s="47"/>
      <c r="L34" s="47"/>
      <c r="M34" s="47"/>
      <c r="N34" s="47"/>
      <c r="O34" s="47"/>
      <c r="P34" s="47"/>
      <c r="Q34" s="47"/>
      <c r="R34" s="47"/>
      <c r="S34" s="47"/>
    </row>
    <row r="35" spans="1:19" x14ac:dyDescent="0.35">
      <c r="I35" s="47"/>
      <c r="J35" s="47"/>
      <c r="K35" s="47"/>
      <c r="L35" s="47"/>
      <c r="M35" s="47"/>
      <c r="N35" s="47"/>
      <c r="O35" s="47"/>
      <c r="P35" s="47"/>
      <c r="Q35" s="47"/>
      <c r="R35" s="47"/>
      <c r="S35" s="47"/>
    </row>
    <row r="36" spans="1:19" x14ac:dyDescent="0.35">
      <c r="I36" s="47"/>
      <c r="J36" s="47"/>
      <c r="K36" s="47"/>
      <c r="L36" s="47"/>
      <c r="M36" s="47"/>
      <c r="N36" s="47"/>
      <c r="O36" s="47"/>
      <c r="P36" s="47"/>
      <c r="Q36" s="47"/>
      <c r="R36" s="47"/>
      <c r="S36" s="47"/>
    </row>
    <row r="37" spans="1:19" x14ac:dyDescent="0.35">
      <c r="I37" s="47"/>
      <c r="J37" s="47"/>
      <c r="K37" s="47"/>
      <c r="L37" s="47"/>
      <c r="M37" s="47"/>
      <c r="N37" s="47"/>
      <c r="O37" s="47"/>
      <c r="P37" s="47"/>
      <c r="Q37" s="47"/>
      <c r="R37" s="47"/>
      <c r="S37" s="47"/>
    </row>
    <row r="38" spans="1:19" x14ac:dyDescent="0.35">
      <c r="I38" s="47"/>
      <c r="J38" s="47"/>
      <c r="K38" s="47"/>
      <c r="L38" s="47"/>
      <c r="M38" s="47"/>
      <c r="N38" s="47"/>
      <c r="O38" s="47"/>
      <c r="P38" s="47"/>
      <c r="Q38" s="47"/>
      <c r="R38" s="47"/>
      <c r="S38" s="47"/>
    </row>
    <row r="39" spans="1:19" x14ac:dyDescent="0.35">
      <c r="I39" s="47"/>
      <c r="J39" s="47"/>
      <c r="K39" s="47"/>
      <c r="L39" s="47"/>
      <c r="M39" s="47"/>
      <c r="N39" s="47"/>
      <c r="O39" s="47"/>
      <c r="P39" s="47"/>
      <c r="Q39" s="47"/>
      <c r="R39" s="47"/>
      <c r="S39" s="47"/>
    </row>
    <row r="40" spans="1:19" x14ac:dyDescent="0.35">
      <c r="I40" s="47"/>
      <c r="J40" s="47"/>
      <c r="K40" s="47"/>
      <c r="L40" s="47"/>
      <c r="M40" s="47"/>
      <c r="N40" s="47"/>
      <c r="O40" s="47"/>
      <c r="P40" s="47"/>
      <c r="Q40" s="47"/>
      <c r="R40" s="47"/>
      <c r="S40" s="47"/>
    </row>
    <row r="41" spans="1:19" x14ac:dyDescent="0.35">
      <c r="I41" s="47"/>
      <c r="J41" s="47"/>
      <c r="K41" s="47"/>
      <c r="L41" s="47"/>
      <c r="M41" s="47"/>
      <c r="N41" s="47"/>
      <c r="O41" s="47"/>
      <c r="P41" s="47"/>
      <c r="Q41" s="47"/>
      <c r="R41" s="47"/>
      <c r="S41" s="47"/>
    </row>
    <row r="42" spans="1:19" x14ac:dyDescent="0.35">
      <c r="I42" s="47"/>
      <c r="J42" s="47"/>
      <c r="K42" s="47"/>
      <c r="L42" s="47"/>
      <c r="M42" s="47"/>
      <c r="N42" s="47"/>
      <c r="O42" s="47"/>
      <c r="P42" s="47"/>
      <c r="Q42" s="47"/>
      <c r="R42" s="47"/>
      <c r="S42" s="47"/>
    </row>
    <row r="43" spans="1:19" x14ac:dyDescent="0.35">
      <c r="I43" s="47"/>
      <c r="J43" s="47"/>
      <c r="K43" s="47"/>
      <c r="L43" s="47"/>
      <c r="M43" s="47"/>
      <c r="N43" s="47"/>
      <c r="O43" s="47"/>
      <c r="P43" s="47"/>
      <c r="Q43" s="47"/>
      <c r="R43" s="47"/>
      <c r="S43" s="47"/>
    </row>
    <row r="44" spans="1:19" x14ac:dyDescent="0.35">
      <c r="I44" s="47"/>
      <c r="J44" s="47"/>
      <c r="K44" s="47"/>
      <c r="L44" s="47"/>
      <c r="M44" s="47"/>
      <c r="N44" s="47"/>
      <c r="O44" s="47"/>
      <c r="P44" s="47"/>
      <c r="Q44" s="47"/>
      <c r="R44" s="47"/>
      <c r="S44" s="47"/>
    </row>
  </sheetData>
  <mergeCells count="1">
    <mergeCell ref="C1:H1"/>
  </mergeCells>
  <pageMargins left="0.75" right="0.75" top="1" bottom="1" header="0.5" footer="0.5"/>
  <pageSetup fitToHeight="0"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73763"/>
    <pageSetUpPr fitToPage="1"/>
  </sheetPr>
  <dimension ref="A1:AE44"/>
  <sheetViews>
    <sheetView showGridLines="0" zoomScale="70" zoomScaleNormal="70" workbookViewId="0">
      <selection activeCell="B4" sqref="B4"/>
    </sheetView>
  </sheetViews>
  <sheetFormatPr defaultRowHeight="14.5" x14ac:dyDescent="0.35"/>
  <cols>
    <col min="1" max="1" width="36" customWidth="1"/>
    <col min="2" max="2" width="30" customWidth="1"/>
    <col min="3" max="3" width="24" customWidth="1"/>
    <col min="4" max="7" width="40" customWidth="1"/>
    <col min="8" max="9" width="19.08984375" customWidth="1"/>
    <col min="10" max="11" width="14.36328125" customWidth="1"/>
    <col min="12" max="13" width="16.26953125" customWidth="1"/>
    <col min="14" max="15" width="14" customWidth="1"/>
    <col min="16" max="17" width="25.7265625" customWidth="1"/>
    <col min="18" max="19" width="21" customWidth="1"/>
    <col min="20" max="21" width="23.81640625" customWidth="1"/>
    <col min="22" max="23" width="19.08984375" customWidth="1"/>
    <col min="24" max="25" width="27" customWidth="1"/>
    <col min="26" max="27" width="14" customWidth="1"/>
    <col min="28" max="29" width="27" customWidth="1"/>
    <col min="30" max="31" width="22.90625" customWidth="1"/>
  </cols>
  <sheetData>
    <row r="1" spans="1:31" ht="30" customHeight="1" x14ac:dyDescent="0.35">
      <c r="A1" s="7" t="s">
        <v>112</v>
      </c>
      <c r="B1" s="7"/>
      <c r="C1" s="7"/>
      <c r="D1" s="7"/>
      <c r="E1" s="7"/>
      <c r="F1" s="7"/>
      <c r="G1" s="7"/>
    </row>
    <row r="3" spans="1:31" ht="28" customHeight="1" x14ac:dyDescent="0.35">
      <c r="A3" s="9" t="s">
        <v>1</v>
      </c>
      <c r="B3" s="9" t="s">
        <v>113</v>
      </c>
      <c r="C3" s="9" t="s">
        <v>114</v>
      </c>
      <c r="D3" s="9" t="s">
        <v>115</v>
      </c>
      <c r="E3" s="9" t="s">
        <v>116</v>
      </c>
      <c r="F3" s="9" t="s">
        <v>117</v>
      </c>
    </row>
    <row r="4" spans="1:31" ht="21" customHeight="1" x14ac:dyDescent="0.35">
      <c r="A4" s="61" t="s">
        <v>11</v>
      </c>
      <c r="B4" s="62">
        <f>'2025 actual v budget'!D408</f>
        <v>6218824625.8600006</v>
      </c>
      <c r="C4" s="62">
        <f>'2025 actual v budget'!E408</f>
        <v>6025313813.9100008</v>
      </c>
      <c r="D4" s="63">
        <f t="shared" ref="D4:D10" si="0">B4-C4</f>
        <v>193510811.94999981</v>
      </c>
      <c r="E4" s="64">
        <f t="shared" ref="E4:E10" si="1">D4/C4</f>
        <v>3.2116304299912475E-2</v>
      </c>
      <c r="F4" s="65" t="str">
        <f>IF(D4&gt;=0,"Favorable","Unfavorable")</f>
        <v>Favorable</v>
      </c>
    </row>
    <row r="5" spans="1:31" ht="21" customHeight="1" x14ac:dyDescent="0.35">
      <c r="A5" s="61" t="s">
        <v>12</v>
      </c>
      <c r="B5" s="62">
        <f>'2025 actual v budget'!H408</f>
        <v>43266787.060000002</v>
      </c>
      <c r="C5" s="62">
        <f>'2025 actual v budget'!I408</f>
        <v>41487874.709999993</v>
      </c>
      <c r="D5" s="63">
        <f t="shared" si="0"/>
        <v>1778912.3500000089</v>
      </c>
      <c r="E5" s="64">
        <f t="shared" si="1"/>
        <v>4.2877885705994732E-2</v>
      </c>
      <c r="F5" s="65" t="str">
        <f>IF(D5&gt;=0,"Favorable","Unfavorable")</f>
        <v>Favorable</v>
      </c>
    </row>
    <row r="6" spans="1:31" ht="21" customHeight="1" x14ac:dyDescent="0.35">
      <c r="A6" s="61" t="s">
        <v>13</v>
      </c>
      <c r="B6" s="62">
        <f>'2025 actual v budget'!L408</f>
        <v>12769174.75</v>
      </c>
      <c r="C6" s="62">
        <f>'2025 actual v budget'!M408</f>
        <v>12036482.730000002</v>
      </c>
      <c r="D6" s="63">
        <f t="shared" si="0"/>
        <v>732692.01999999769</v>
      </c>
      <c r="E6" s="64">
        <f t="shared" si="1"/>
        <v>6.087260177541895E-2</v>
      </c>
      <c r="F6" s="65" t="str">
        <f>IF(D6&lt;=0,"Favorable","Unfavorable")</f>
        <v>Unfavorable</v>
      </c>
    </row>
    <row r="7" spans="1:31" ht="21" customHeight="1" x14ac:dyDescent="0.35">
      <c r="A7" s="61" t="s">
        <v>14</v>
      </c>
      <c r="B7" s="62">
        <f>'2025 actual v budget'!P408</f>
        <v>770046.74999999988</v>
      </c>
      <c r="C7" s="62">
        <f>'2025 actual v budget'!Q408</f>
        <v>720716.84999999986</v>
      </c>
      <c r="D7" s="63">
        <f t="shared" si="0"/>
        <v>49329.900000000023</v>
      </c>
      <c r="E7" s="64">
        <f t="shared" si="1"/>
        <v>6.8445603845671193E-2</v>
      </c>
      <c r="F7" s="65" t="str">
        <f>IF(D7&lt;=0,"Favorable","Unfavorable")</f>
        <v>Unfavorable</v>
      </c>
    </row>
    <row r="8" spans="1:31" ht="21" customHeight="1" x14ac:dyDescent="0.35">
      <c r="A8" s="66" t="s">
        <v>15</v>
      </c>
      <c r="B8" s="67">
        <f>'2025 actual v budget'!T408</f>
        <v>29727565.59</v>
      </c>
      <c r="C8" s="67">
        <f>'2025 actual v budget'!U408</f>
        <v>28204807.200000003</v>
      </c>
      <c r="D8" s="68">
        <f t="shared" si="0"/>
        <v>1522758.3899999969</v>
      </c>
      <c r="E8" s="69">
        <f t="shared" si="1"/>
        <v>5.3989321011915892E-2</v>
      </c>
      <c r="F8" s="70" t="str">
        <f>IF(D8&gt;=0,"Favorable","Unfavorable")</f>
        <v>Favorable</v>
      </c>
    </row>
    <row r="9" spans="1:31" ht="21" customHeight="1" x14ac:dyDescent="0.35">
      <c r="A9" s="61" t="s">
        <v>16</v>
      </c>
      <c r="B9" s="62">
        <f>'2025 actual v budget'!X408</f>
        <v>17929286.370000001</v>
      </c>
      <c r="C9" s="62">
        <f>'2025 actual v budget'!Y408</f>
        <v>16835992.130000003</v>
      </c>
      <c r="D9" s="63">
        <f t="shared" si="0"/>
        <v>1093294.2399999984</v>
      </c>
      <c r="E9" s="64">
        <f t="shared" si="1"/>
        <v>6.4937915838761934E-2</v>
      </c>
      <c r="F9" s="65" t="str">
        <f>IF(D9&lt;=0,"Favorable","Unfavorable")</f>
        <v>Unfavorable</v>
      </c>
    </row>
    <row r="10" spans="1:31" ht="21" customHeight="1" x14ac:dyDescent="0.35">
      <c r="A10" s="66" t="s">
        <v>17</v>
      </c>
      <c r="B10" s="67">
        <f>'2025 actual v budget'!AB408</f>
        <v>11798279.220000003</v>
      </c>
      <c r="C10" s="67">
        <f>'2025 actual v budget'!AC408</f>
        <v>10842193.850000001</v>
      </c>
      <c r="D10" s="68">
        <f t="shared" si="0"/>
        <v>956085.37000000104</v>
      </c>
      <c r="E10" s="69">
        <f t="shared" si="1"/>
        <v>8.8181910711733022E-2</v>
      </c>
      <c r="F10" s="70" t="str">
        <f>IF(D10&gt;=0,"Favorable","Unfavorable")</f>
        <v>Favorable</v>
      </c>
    </row>
    <row r="12" spans="1:31" x14ac:dyDescent="0.35">
      <c r="A12" s="71" t="s">
        <v>118</v>
      </c>
      <c r="B12" s="58"/>
      <c r="C12" s="72">
        <f>C5-C6-C7</f>
        <v>28730675.129999988</v>
      </c>
      <c r="D12" s="73">
        <f>C12-C8</f>
        <v>525867.9299999848</v>
      </c>
      <c r="E12" s="58"/>
      <c r="F12" s="58"/>
    </row>
    <row r="14" spans="1:31" ht="24" customHeight="1" x14ac:dyDescent="0.35">
      <c r="A14" s="74" t="s">
        <v>97</v>
      </c>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row>
    <row r="15" spans="1:31" ht="40" customHeight="1" x14ac:dyDescent="0.35">
      <c r="B15" s="9" t="s">
        <v>43</v>
      </c>
      <c r="C15" s="9"/>
      <c r="D15" s="9" t="s">
        <v>45</v>
      </c>
      <c r="E15" s="9" t="s">
        <v>46</v>
      </c>
      <c r="F15" s="9" t="s">
        <v>47</v>
      </c>
      <c r="G15" s="9" t="s">
        <v>48</v>
      </c>
      <c r="H15" s="9" t="s">
        <v>49</v>
      </c>
      <c r="I15" s="9" t="s">
        <v>50</v>
      </c>
      <c r="J15" s="9" t="s">
        <v>51</v>
      </c>
      <c r="K15" s="9" t="s">
        <v>52</v>
      </c>
      <c r="L15" s="9" t="s">
        <v>53</v>
      </c>
      <c r="M15" s="9" t="s">
        <v>54</v>
      </c>
      <c r="N15" s="9" t="s">
        <v>55</v>
      </c>
      <c r="O15" s="9" t="s">
        <v>56</v>
      </c>
      <c r="P15" s="9" t="s">
        <v>57</v>
      </c>
      <c r="Q15" s="9" t="s">
        <v>58</v>
      </c>
      <c r="R15" s="9" t="s">
        <v>59</v>
      </c>
      <c r="S15" s="9" t="s">
        <v>60</v>
      </c>
      <c r="T15" s="9" t="s">
        <v>61</v>
      </c>
      <c r="U15" s="9" t="s">
        <v>62</v>
      </c>
      <c r="V15" s="9" t="s">
        <v>63</v>
      </c>
      <c r="W15" s="9" t="s">
        <v>64</v>
      </c>
      <c r="X15" s="9" t="s">
        <v>65</v>
      </c>
      <c r="Y15" s="9" t="s">
        <v>66</v>
      </c>
      <c r="Z15" s="9" t="s">
        <v>67</v>
      </c>
      <c r="AA15" s="9" t="s">
        <v>68</v>
      </c>
      <c r="AB15" s="9" t="s">
        <v>69</v>
      </c>
      <c r="AC15" s="9" t="s">
        <v>70</v>
      </c>
      <c r="AD15" s="9" t="s">
        <v>71</v>
      </c>
      <c r="AE15" s="9" t="s">
        <v>72</v>
      </c>
    </row>
    <row r="16" spans="1:31" ht="20" customHeight="1" x14ac:dyDescent="0.35">
      <c r="B16" s="61" t="str">
        <f>'2025 actual v budget'!B395</f>
        <v>Brazil</v>
      </c>
      <c r="C16" s="65"/>
      <c r="D16" s="63">
        <f>'2025 actual v budget'!D395</f>
        <v>1197664933</v>
      </c>
      <c r="E16" s="63">
        <f>'2025 actual v budget'!E395</f>
        <v>1154507602.0899999</v>
      </c>
      <c r="F16" s="63">
        <f>'2025 actual v budget'!F395</f>
        <v>43157330.909999996</v>
      </c>
      <c r="G16" s="64">
        <f>'2025 actual v budget'!G395</f>
        <v>3.7381590932682014E-2</v>
      </c>
      <c r="H16" s="75">
        <f>'2025 actual v budget'!H395</f>
        <v>8332492.2800000003</v>
      </c>
      <c r="I16" s="75">
        <f>'2025 actual v budget'!I395</f>
        <v>7949976.3800000008</v>
      </c>
      <c r="J16" s="75">
        <f>'2025 actual v budget'!J395</f>
        <v>382515.9</v>
      </c>
      <c r="K16" s="76">
        <f>'2025 actual v budget'!K395</f>
        <v>4.8115350501204884E-2</v>
      </c>
      <c r="L16" s="75">
        <f>'2025 actual v budget'!L395</f>
        <v>2459153.2200000002</v>
      </c>
      <c r="M16" s="75">
        <f>'2025 actual v budget'!M395</f>
        <v>2306712.85</v>
      </c>
      <c r="N16" s="75">
        <f>'2025 actual v budget'!N395</f>
        <v>152440.37</v>
      </c>
      <c r="O16" s="76">
        <f>'2025 actual v budget'!O395</f>
        <v>6.6085542463597061E-2</v>
      </c>
      <c r="P16" s="75">
        <f>'2025 actual v budget'!P395</f>
        <v>215579.65999999997</v>
      </c>
      <c r="Q16" s="75">
        <f>'2025 actual v budget'!Q395</f>
        <v>200824.49</v>
      </c>
      <c r="R16" s="75">
        <f>'2025 actual v budget'!R395</f>
        <v>14755.17</v>
      </c>
      <c r="S16" s="76">
        <f>'2025 actual v budget'!S395</f>
        <v>7.3472961390316491E-2</v>
      </c>
      <c r="T16" s="75">
        <f>'2025 actual v budget'!T395</f>
        <v>5657759.4100000001</v>
      </c>
      <c r="U16" s="75">
        <f>'2025 actual v budget'!U395</f>
        <v>5341129.24</v>
      </c>
      <c r="V16" s="75">
        <f>'2025 actual v budget'!V395</f>
        <v>316630.17000000004</v>
      </c>
      <c r="W16" s="76">
        <f>'2025 actual v budget'!W395</f>
        <v>5.9281503175160018E-2</v>
      </c>
      <c r="X16" s="75">
        <f>'2025 actual v budget'!X395</f>
        <v>3452479.85</v>
      </c>
      <c r="Y16" s="75">
        <f>'2025 actual v budget'!Y395</f>
        <v>3225791.4099999997</v>
      </c>
      <c r="Z16" s="75">
        <f>'2025 actual v budget'!Z395</f>
        <v>226688.36</v>
      </c>
      <c r="AA16" s="76">
        <f>'2025 actual v budget'!AA395</f>
        <v>7.027371927932563E-2</v>
      </c>
      <c r="AB16" s="75">
        <f>'2025 actual v budget'!AB395</f>
        <v>2205279.5600000005</v>
      </c>
      <c r="AC16" s="75">
        <f>'2025 actual v budget'!AC395</f>
        <v>2016860.74</v>
      </c>
      <c r="AD16" s="75">
        <f>'2025 actual v budget'!AD395</f>
        <v>188418.87000000002</v>
      </c>
      <c r="AE16" s="76">
        <f>'2025 actual v budget'!AE395</f>
        <v>9.342185420298281E-2</v>
      </c>
    </row>
    <row r="17" spans="1:31" ht="20" customHeight="1" x14ac:dyDescent="0.35">
      <c r="B17" s="66" t="str">
        <f>'2025 actual v budget'!B396</f>
        <v>Germany</v>
      </c>
      <c r="C17" s="77"/>
      <c r="D17" s="78">
        <f>'2025 actual v budget'!D396</f>
        <v>579022150.77999997</v>
      </c>
      <c r="E17" s="78">
        <f>'2025 actual v budget'!E396</f>
        <v>565050681.01999998</v>
      </c>
      <c r="F17" s="78">
        <f>'2025 actual v budget'!F396</f>
        <v>13971469.759999998</v>
      </c>
      <c r="G17" s="79">
        <f>'2025 actual v budget'!G396</f>
        <v>2.4726047112764171E-2</v>
      </c>
      <c r="H17" s="80">
        <f>'2025 actual v budget'!H396</f>
        <v>4028645.1900000004</v>
      </c>
      <c r="I17" s="80">
        <f>'2025 actual v budget'!I396</f>
        <v>3890364.35</v>
      </c>
      <c r="J17" s="80">
        <f>'2025 actual v budget'!J396</f>
        <v>138280.83999999997</v>
      </c>
      <c r="K17" s="81">
        <f>'2025 actual v budget'!K396</f>
        <v>3.554444457111066E-2</v>
      </c>
      <c r="L17" s="80">
        <f>'2025 actual v budget'!L396</f>
        <v>1188942.6000000001</v>
      </c>
      <c r="M17" s="80">
        <f>'2025 actual v budget'!M396</f>
        <v>1128503.78</v>
      </c>
      <c r="N17" s="80">
        <f>'2025 actual v budget'!N396</f>
        <v>60438.82</v>
      </c>
      <c r="O17" s="81">
        <f>'2025 actual v budget'!O396</f>
        <v>5.3556595087346538E-2</v>
      </c>
      <c r="P17" s="80">
        <f>'2025 actual v budget'!P396</f>
        <v>52112.04</v>
      </c>
      <c r="Q17" s="80">
        <f>'2025 actual v budget'!Q396</f>
        <v>49125.5</v>
      </c>
      <c r="R17" s="80">
        <f>'2025 actual v budget'!R396</f>
        <v>2986.5400000000004</v>
      </c>
      <c r="S17" s="81">
        <f>'2025 actual v budget'!S396</f>
        <v>6.0794088609785149E-2</v>
      </c>
      <c r="T17" s="80">
        <f>'2025 actual v budget'!T396</f>
        <v>2787590.59</v>
      </c>
      <c r="U17" s="80">
        <f>'2025 actual v budget'!U396</f>
        <v>2663402.66</v>
      </c>
      <c r="V17" s="80">
        <f>'2025 actual v budget'!V396</f>
        <v>124187.93</v>
      </c>
      <c r="W17" s="81">
        <f>'2025 actual v budget'!W396</f>
        <v>4.6627545982851869E-2</v>
      </c>
      <c r="X17" s="80">
        <f>'2025 actual v budget'!X396</f>
        <v>1669954.05</v>
      </c>
      <c r="Y17" s="80">
        <f>'2025 actual v budget'!Y396</f>
        <v>1579062.4</v>
      </c>
      <c r="Z17" s="80">
        <f>'2025 actual v budget'!Z396</f>
        <v>90891.590000000011</v>
      </c>
      <c r="AA17" s="81">
        <f>'2025 actual v budget'!AA396</f>
        <v>5.7560480193816294E-2</v>
      </c>
      <c r="AB17" s="80">
        <f>'2025 actual v budget'!AB396</f>
        <v>1117636.54</v>
      </c>
      <c r="AC17" s="80">
        <f>'2025 actual v budget'!AC396</f>
        <v>1034063.25</v>
      </c>
      <c r="AD17" s="80">
        <f>'2025 actual v budget'!AD396</f>
        <v>83573.25</v>
      </c>
      <c r="AE17" s="81">
        <f>'2025 actual v budget'!AE396</f>
        <v>8.0820249631731914E-2</v>
      </c>
    </row>
    <row r="18" spans="1:31" ht="20" customHeight="1" x14ac:dyDescent="0.35">
      <c r="B18" s="61" t="str">
        <f>'2025 actual v budget'!B397</f>
        <v>India</v>
      </c>
      <c r="C18" s="65"/>
      <c r="D18" s="63">
        <f>'2025 actual v budget'!D397</f>
        <v>816451378.55000007</v>
      </c>
      <c r="E18" s="63">
        <f>'2025 actual v budget'!E397</f>
        <v>790864794.05999994</v>
      </c>
      <c r="F18" s="63">
        <f>'2025 actual v budget'!F397</f>
        <v>25586584.490000002</v>
      </c>
      <c r="G18" s="64">
        <f>'2025 actual v budget'!G397</f>
        <v>3.2352665945146172E-2</v>
      </c>
      <c r="H18" s="75">
        <f>'2025 actual v budget'!H397</f>
        <v>5680125.8199999994</v>
      </c>
      <c r="I18" s="75">
        <f>'2025 actual v budget'!I397</f>
        <v>5445401.0599999987</v>
      </c>
      <c r="J18" s="75">
        <f>'2025 actual v budget'!J397</f>
        <v>234724.76000000004</v>
      </c>
      <c r="K18" s="76">
        <f>'2025 actual v budget'!K397</f>
        <v>4.3105137236668492E-2</v>
      </c>
      <c r="L18" s="75">
        <f>'2025 actual v budget'!L397</f>
        <v>1676380.3099999998</v>
      </c>
      <c r="M18" s="75">
        <f>'2025 actual v budget'!M397</f>
        <v>1579913.33</v>
      </c>
      <c r="N18" s="75">
        <f>'2025 actual v budget'!N397</f>
        <v>96466.98000000001</v>
      </c>
      <c r="O18" s="76">
        <f>'2025 actual v budget'!O397</f>
        <v>6.1058399956660916E-2</v>
      </c>
      <c r="P18" s="75">
        <f>'2025 actual v budget'!P397</f>
        <v>163290.29999999999</v>
      </c>
      <c r="Q18" s="75">
        <f>'2025 actual v budget'!Q397</f>
        <v>152828.96000000002</v>
      </c>
      <c r="R18" s="75">
        <f>'2025 actual v budget'!R397</f>
        <v>10461.34</v>
      </c>
      <c r="S18" s="76">
        <f>'2025 actual v budget'!S397</f>
        <v>6.8451293524473364E-2</v>
      </c>
      <c r="T18" s="75">
        <f>'2025 actual v budget'!T397</f>
        <v>3840455.2199999997</v>
      </c>
      <c r="U18" s="75">
        <f>'2025 actual v budget'!U397</f>
        <v>3642674.8400000003</v>
      </c>
      <c r="V18" s="75">
        <f>'2025 actual v budget'!V397</f>
        <v>197780.38</v>
      </c>
      <c r="W18" s="76">
        <f>'2025 actual v budget'!W397</f>
        <v>5.4295370486595503E-2</v>
      </c>
      <c r="X18" s="75">
        <f>'2025 actual v budget'!X397</f>
        <v>2352953.5699999998</v>
      </c>
      <c r="Y18" s="75">
        <f>'2025 actual v budget'!Y397</f>
        <v>2208744.7499999995</v>
      </c>
      <c r="Z18" s="75">
        <f>'2025 actual v budget'!Z397</f>
        <v>144208.84</v>
      </c>
      <c r="AA18" s="76">
        <f>'2025 actual v budget'!AA397</f>
        <v>6.5289952585059916E-2</v>
      </c>
      <c r="AB18" s="75">
        <f>'2025 actual v budget'!AB397</f>
        <v>1487501.6500000001</v>
      </c>
      <c r="AC18" s="75">
        <f>'2025 actual v budget'!AC397</f>
        <v>1366634.5</v>
      </c>
      <c r="AD18" s="75">
        <f>'2025 actual v budget'!AD397</f>
        <v>120867.17</v>
      </c>
      <c r="AE18" s="76">
        <f>'2025 actual v budget'!AE397</f>
        <v>8.8441474293236413E-2</v>
      </c>
    </row>
    <row r="19" spans="1:31" ht="20" customHeight="1" x14ac:dyDescent="0.35">
      <c r="B19" s="66" t="str">
        <f>'2025 actual v budget'!B398</f>
        <v>Mexico</v>
      </c>
      <c r="C19" s="77"/>
      <c r="D19" s="78">
        <f>'2025 actual v budget'!D398</f>
        <v>968980402.70999992</v>
      </c>
      <c r="E19" s="78">
        <f>'2025 actual v budget'!E398</f>
        <v>943839865.19000006</v>
      </c>
      <c r="F19" s="78">
        <f>'2025 actual v budget'!F398</f>
        <v>25140537.52</v>
      </c>
      <c r="G19" s="79">
        <f>'2025 actual v budget'!G398</f>
        <v>2.6636443794349662E-2</v>
      </c>
      <c r="H19" s="80">
        <f>'2025 actual v budget'!H398</f>
        <v>6741376.5600000005</v>
      </c>
      <c r="I19" s="80">
        <f>'2025 actual v budget'!I398</f>
        <v>6498110.6799999997</v>
      </c>
      <c r="J19" s="80">
        <f>'2025 actual v budget'!J398</f>
        <v>243265.88000000003</v>
      </c>
      <c r="K19" s="81">
        <f>'2025 actual v budget'!K398</f>
        <v>3.7436401437225139E-2</v>
      </c>
      <c r="L19" s="80">
        <f>'2025 actual v budget'!L398</f>
        <v>1989579.3100000003</v>
      </c>
      <c r="M19" s="80">
        <f>'2025 actual v budget'!M398</f>
        <v>1885107.8800000004</v>
      </c>
      <c r="N19" s="80">
        <f>'2025 actual v budget'!N398</f>
        <v>104471.43000000001</v>
      </c>
      <c r="O19" s="81">
        <f>'2025 actual v budget'!O398</f>
        <v>5.5419337592498945E-2</v>
      </c>
      <c r="P19" s="80">
        <f>'2025 actual v budget'!P398</f>
        <v>145347.06</v>
      </c>
      <c r="Q19" s="80">
        <f>'2025 actual v budget'!Q398</f>
        <v>136768.44</v>
      </c>
      <c r="R19" s="80">
        <f>'2025 actual v budget'!R398</f>
        <v>8578.619999999999</v>
      </c>
      <c r="S19" s="81">
        <f>'2025 actual v budget'!S398</f>
        <v>6.2723680989561617E-2</v>
      </c>
      <c r="T19" s="80">
        <f>'2025 actual v budget'!T398</f>
        <v>4606450.2</v>
      </c>
      <c r="U19" s="80">
        <f>'2025 actual v budget'!U398</f>
        <v>4393045.92</v>
      </c>
      <c r="V19" s="80">
        <f>'2025 actual v budget'!V398</f>
        <v>213404.28</v>
      </c>
      <c r="W19" s="81">
        <f>'2025 actual v budget'!W398</f>
        <v>4.8577748533983001E-2</v>
      </c>
      <c r="X19" s="80">
        <f>'2025 actual v budget'!X398</f>
        <v>2792896.87</v>
      </c>
      <c r="Y19" s="80">
        <f>'2025 actual v budget'!Y398</f>
        <v>2636093</v>
      </c>
      <c r="Z19" s="80">
        <f>'2025 actual v budget'!Z398</f>
        <v>156803.78999999998</v>
      </c>
      <c r="AA19" s="81">
        <f>'2025 actual v budget'!AA398</f>
        <v>5.948340593446437E-2</v>
      </c>
      <c r="AB19" s="80">
        <f>'2025 actual v budget'!AB398</f>
        <v>1813553.33</v>
      </c>
      <c r="AC19" s="80">
        <f>'2025 actual v budget'!AC398</f>
        <v>1674809.04</v>
      </c>
      <c r="AD19" s="80">
        <f>'2025 actual v budget'!AD398</f>
        <v>138744.29</v>
      </c>
      <c r="AE19" s="81">
        <f>'2025 actual v budget'!AE398</f>
        <v>8.2841856406507097E-2</v>
      </c>
    </row>
    <row r="20" spans="1:31" ht="20" customHeight="1" x14ac:dyDescent="0.35">
      <c r="B20" s="61" t="str">
        <f>'2025 actual v budget'!B399</f>
        <v>Singapore</v>
      </c>
      <c r="C20" s="65"/>
      <c r="D20" s="63">
        <f>'2025 actual v budget'!D399</f>
        <v>774829017.54000008</v>
      </c>
      <c r="E20" s="63">
        <f>'2025 actual v budget'!E399</f>
        <v>752152842.38999999</v>
      </c>
      <c r="F20" s="63">
        <f>'2025 actual v budget'!F399</f>
        <v>22676175.150000002</v>
      </c>
      <c r="G20" s="64">
        <f>'2025 actual v budget'!G399</f>
        <v>3.014836064162893E-2</v>
      </c>
      <c r="H20" s="75">
        <f>'2025 actual v budget'!H399</f>
        <v>5390853.5299999993</v>
      </c>
      <c r="I20" s="75">
        <f>'2025 actual v budget'!I399</f>
        <v>5179036.47</v>
      </c>
      <c r="J20" s="75">
        <f>'2025 actual v budget'!J399</f>
        <v>211817.05999999997</v>
      </c>
      <c r="K20" s="76">
        <f>'2025 actual v budget'!K399</f>
        <v>4.0898931920438857E-2</v>
      </c>
      <c r="L20" s="75">
        <f>'2025 actual v budget'!L399</f>
        <v>1590977.21</v>
      </c>
      <c r="M20" s="75">
        <f>'2025 actual v budget'!M399</f>
        <v>1502401.99</v>
      </c>
      <c r="N20" s="75">
        <f>'2025 actual v budget'!N399</f>
        <v>88575.22</v>
      </c>
      <c r="O20" s="76">
        <f>'2025 actual v budget'!O399</f>
        <v>5.8955739269221819E-2</v>
      </c>
      <c r="P20" s="75">
        <f>'2025 actual v budget'!P399</f>
        <v>61986.31</v>
      </c>
      <c r="Q20" s="75">
        <f>'2025 actual v budget'!Q399</f>
        <v>58136.84</v>
      </c>
      <c r="R20" s="75">
        <f>'2025 actual v budget'!R399</f>
        <v>3849.4700000000003</v>
      </c>
      <c r="S20" s="76">
        <f>'2025 actual v budget'!S399</f>
        <v>6.6213953149156374E-2</v>
      </c>
      <c r="T20" s="75">
        <f>'2025 actual v budget'!T399</f>
        <v>3737890.0199999996</v>
      </c>
      <c r="U20" s="75">
        <f>'2025 actual v budget'!U399</f>
        <v>3553278.2199999997</v>
      </c>
      <c r="V20" s="75">
        <f>'2025 actual v budget'!V399</f>
        <v>184611.8</v>
      </c>
      <c r="W20" s="76">
        <f>'2025 actual v budget'!W399</f>
        <v>5.1955346181701473E-2</v>
      </c>
      <c r="X20" s="75">
        <f>'2025 actual v budget'!X399</f>
        <v>2234140.8499999996</v>
      </c>
      <c r="Y20" s="75">
        <f>'2025 actual v budget'!Y399</f>
        <v>2102219.14</v>
      </c>
      <c r="Z20" s="75">
        <f>'2025 actual v budget'!Z399</f>
        <v>131921.65999999997</v>
      </c>
      <c r="AA20" s="76">
        <f>'2025 actual v budget'!AA399</f>
        <v>6.2753524354268772E-2</v>
      </c>
      <c r="AB20" s="75">
        <f>'2025 actual v budget'!AB399</f>
        <v>1503749.17</v>
      </c>
      <c r="AC20" s="75">
        <f>'2025 actual v budget'!AC399</f>
        <v>1384223.6600000001</v>
      </c>
      <c r="AD20" s="75">
        <f>'2025 actual v budget'!AD399</f>
        <v>119525.55</v>
      </c>
      <c r="AE20" s="76">
        <f>'2025 actual v budget'!AE399</f>
        <v>8.6348437361632724E-2</v>
      </c>
    </row>
    <row r="21" spans="1:31" ht="20" customHeight="1" x14ac:dyDescent="0.35">
      <c r="B21" s="66" t="str">
        <f>'2025 actual v budget'!B400</f>
        <v>USA</v>
      </c>
      <c r="C21" s="77"/>
      <c r="D21" s="78">
        <f>'2025 actual v budget'!D400</f>
        <v>1881876743.28</v>
      </c>
      <c r="E21" s="78">
        <f>'2025 actual v budget'!E400</f>
        <v>1818898029.1599998</v>
      </c>
      <c r="F21" s="78">
        <f>'2025 actual v budget'!F400</f>
        <v>62978714.120000005</v>
      </c>
      <c r="G21" s="79">
        <f>'2025 actual v budget'!G400</f>
        <v>3.4624653559652663E-2</v>
      </c>
      <c r="H21" s="80">
        <f>'2025 actual v budget'!H400</f>
        <v>13093293.68</v>
      </c>
      <c r="I21" s="80">
        <f>'2025 actual v budget'!I400</f>
        <v>12524985.770000003</v>
      </c>
      <c r="J21" s="80">
        <f>'2025 actual v budget'!J400</f>
        <v>568307.91</v>
      </c>
      <c r="K21" s="81">
        <f>'2025 actual v budget'!K400</f>
        <v>4.5373936580528337E-2</v>
      </c>
      <c r="L21" s="80">
        <f>'2025 actual v budget'!L400</f>
        <v>3864142.1</v>
      </c>
      <c r="M21" s="80">
        <f>'2025 actual v budget'!M400</f>
        <v>3633842.9000000004</v>
      </c>
      <c r="N21" s="80">
        <f>'2025 actual v budget'!N400</f>
        <v>230299.2</v>
      </c>
      <c r="O21" s="81">
        <f>'2025 actual v budget'!O400</f>
        <v>6.3376212548979474E-2</v>
      </c>
      <c r="P21" s="80">
        <f>'2025 actual v budget'!P400</f>
        <v>131731.38</v>
      </c>
      <c r="Q21" s="80">
        <f>'2025 actual v budget'!Q400</f>
        <v>123032.62000000001</v>
      </c>
      <c r="R21" s="80">
        <f>'2025 actual v budget'!R400</f>
        <v>8698.76</v>
      </c>
      <c r="S21" s="81">
        <f>'2025 actual v budget'!S400</f>
        <v>7.0702875383780325E-2</v>
      </c>
      <c r="T21" s="80">
        <f>'2025 actual v budget'!T400</f>
        <v>9097420.1500000004</v>
      </c>
      <c r="U21" s="80">
        <f>'2025 actual v budget'!U400</f>
        <v>8611276.3200000003</v>
      </c>
      <c r="V21" s="80">
        <f>'2025 actual v budget'!V400</f>
        <v>486143.82999999996</v>
      </c>
      <c r="W21" s="81">
        <f>'2025 actual v budget'!W400</f>
        <v>5.6454329408860492E-2</v>
      </c>
      <c r="X21" s="80">
        <f>'2025 actual v budget'!X400</f>
        <v>5426861.1800000006</v>
      </c>
      <c r="Y21" s="80">
        <f>'2025 actual v budget'!Y400</f>
        <v>5084081.4300000006</v>
      </c>
      <c r="Z21" s="80">
        <f>'2025 actual v budget'!Z400</f>
        <v>342779.82</v>
      </c>
      <c r="AA21" s="81">
        <f>'2025 actual v budget'!AA400</f>
        <v>6.7422173448547604E-2</v>
      </c>
      <c r="AB21" s="80">
        <f>'2025 actual v budget'!AB400</f>
        <v>3670558.97</v>
      </c>
      <c r="AC21" s="80">
        <f>'2025 actual v budget'!AC400</f>
        <v>3365602.6599999997</v>
      </c>
      <c r="AD21" s="80">
        <f>'2025 actual v budget'!AD400</f>
        <v>304956.25</v>
      </c>
      <c r="AE21" s="81">
        <f>'2025 actual v budget'!AE400</f>
        <v>9.0609700789813383E-2</v>
      </c>
    </row>
    <row r="24" spans="1:31" ht="24" customHeight="1" x14ac:dyDescent="0.35">
      <c r="A24" s="74" t="s">
        <v>98</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row>
    <row r="25" spans="1:31" ht="40" customHeight="1" x14ac:dyDescent="0.35">
      <c r="B25" s="9" t="s">
        <v>44</v>
      </c>
      <c r="C25" s="9"/>
      <c r="D25" s="9" t="s">
        <v>45</v>
      </c>
      <c r="E25" s="9" t="s">
        <v>46</v>
      </c>
      <c r="F25" s="9" t="s">
        <v>47</v>
      </c>
      <c r="G25" s="9" t="s">
        <v>48</v>
      </c>
      <c r="H25" s="9" t="s">
        <v>49</v>
      </c>
      <c r="I25" s="9" t="s">
        <v>50</v>
      </c>
      <c r="J25" s="9" t="s">
        <v>51</v>
      </c>
      <c r="K25" s="9" t="s">
        <v>52</v>
      </c>
      <c r="L25" s="9" t="s">
        <v>53</v>
      </c>
      <c r="M25" s="9" t="s">
        <v>54</v>
      </c>
      <c r="N25" s="9" t="s">
        <v>55</v>
      </c>
      <c r="O25" s="9" t="s">
        <v>56</v>
      </c>
      <c r="P25" s="9" t="s">
        <v>57</v>
      </c>
      <c r="Q25" s="9" t="s">
        <v>58</v>
      </c>
      <c r="R25" s="9" t="s">
        <v>59</v>
      </c>
      <c r="S25" s="9" t="s">
        <v>60</v>
      </c>
      <c r="T25" s="9" t="s">
        <v>61</v>
      </c>
      <c r="U25" s="9" t="s">
        <v>62</v>
      </c>
      <c r="V25" s="9" t="s">
        <v>63</v>
      </c>
      <c r="W25" s="9" t="s">
        <v>64</v>
      </c>
      <c r="X25" s="9" t="s">
        <v>65</v>
      </c>
      <c r="Y25" s="9" t="s">
        <v>66</v>
      </c>
      <c r="Z25" s="9" t="s">
        <v>67</v>
      </c>
      <c r="AA25" s="9" t="s">
        <v>68</v>
      </c>
      <c r="AB25" s="9" t="s">
        <v>69</v>
      </c>
      <c r="AC25" s="9" t="s">
        <v>70</v>
      </c>
      <c r="AD25" s="9" t="s">
        <v>71</v>
      </c>
      <c r="AE25" s="9" t="s">
        <v>72</v>
      </c>
    </row>
    <row r="26" spans="1:31" ht="20" customHeight="1" x14ac:dyDescent="0.35">
      <c r="B26" s="61" t="str">
        <f>'2025 actual v budget'!C402</f>
        <v>Cross-border Payouts</v>
      </c>
      <c r="C26" s="65"/>
      <c r="D26" s="63">
        <f>'2025 actual v budget'!D402</f>
        <v>945575419.82000005</v>
      </c>
      <c r="E26" s="63">
        <f>'2025 actual v budget'!E402</f>
        <v>918430809.51999998</v>
      </c>
      <c r="F26" s="63">
        <f>'2025 actual v budget'!F402</f>
        <v>27144610.299999997</v>
      </c>
      <c r="G26" s="64">
        <f>'2025 actual v budget'!G402</f>
        <v>2.9555422159875711E-2</v>
      </c>
      <c r="H26" s="75">
        <f>'2025 actual v budget'!H402</f>
        <v>7091815.669999999</v>
      </c>
      <c r="I26" s="75">
        <f>'2025 actual v budget'!I402</f>
        <v>6834997.9199999999</v>
      </c>
      <c r="J26" s="75">
        <f>'2025 actual v budget'!J402</f>
        <v>256817.75000000003</v>
      </c>
      <c r="K26" s="76">
        <f>'2025 actual v budget'!K402</f>
        <v>3.7573932429228893E-2</v>
      </c>
      <c r="L26" s="75">
        <f>'2025 actual v budget'!L402</f>
        <v>2482135.4900000002</v>
      </c>
      <c r="M26" s="75">
        <f>'2025 actual v budget'!M402</f>
        <v>2351365.38</v>
      </c>
      <c r="N26" s="75">
        <f>'2025 actual v budget'!N402</f>
        <v>130770.11</v>
      </c>
      <c r="O26" s="76">
        <f>'2025 actual v budget'!O402</f>
        <v>5.5614542559948722E-2</v>
      </c>
      <c r="P26" s="75">
        <f>'2025 actual v budget'!P402</f>
        <v>117086.48</v>
      </c>
      <c r="Q26" s="75">
        <f>'2025 actual v budget'!Q402</f>
        <v>109861.16</v>
      </c>
      <c r="R26" s="75">
        <f>'2025 actual v budget'!R402</f>
        <v>7225.3199999999988</v>
      </c>
      <c r="S26" s="76">
        <f>'2025 actual v budget'!S402</f>
        <v>6.5767738116000216E-2</v>
      </c>
      <c r="T26" s="75">
        <f>'2025 actual v budget'!T402</f>
        <v>4492593.7300000004</v>
      </c>
      <c r="U26" s="75">
        <f>'2025 actual v budget'!U402</f>
        <v>4284391.3100000005</v>
      </c>
      <c r="V26" s="75">
        <f>'2025 actual v budget'!V402</f>
        <v>208202.42</v>
      </c>
      <c r="W26" s="76">
        <f>'2025 actual v budget'!W402</f>
        <v>4.859556584246736E-2</v>
      </c>
      <c r="X26" s="75">
        <f>'2025 actual v budget'!X402</f>
        <v>2938549.33</v>
      </c>
      <c r="Y26" s="75">
        <f>'2025 actual v budget'!Y402</f>
        <v>2772625.99</v>
      </c>
      <c r="Z26" s="75">
        <f>'2025 actual v budget'!Z402</f>
        <v>165923.32</v>
      </c>
      <c r="AA26" s="76">
        <f>'2025 actual v budget'!AA402</f>
        <v>5.9843383347928582E-2</v>
      </c>
      <c r="AB26" s="75">
        <f>'2025 actual v budget'!AB402</f>
        <v>1554044.4000000001</v>
      </c>
      <c r="AC26" s="75">
        <f>'2025 actual v budget'!AC402</f>
        <v>1435941.1300000001</v>
      </c>
      <c r="AD26" s="75">
        <f>'2025 actual v budget'!AD402</f>
        <v>118103.29000000001</v>
      </c>
      <c r="AE26" s="76">
        <f>'2025 actual v budget'!AE402</f>
        <v>8.2248002743677939E-2</v>
      </c>
    </row>
    <row r="27" spans="1:31" ht="20" customHeight="1" x14ac:dyDescent="0.35">
      <c r="B27" s="66" t="str">
        <f>'2025 actual v budget'!C403</f>
        <v>FX Conversion</v>
      </c>
      <c r="C27" s="77"/>
      <c r="D27" s="78">
        <f>'2025 actual v budget'!D403</f>
        <v>1470617000.53</v>
      </c>
      <c r="E27" s="78">
        <f>'2025 actual v budget'!E403</f>
        <v>1405113818.7</v>
      </c>
      <c r="F27" s="78">
        <f>'2025 actual v budget'!F403</f>
        <v>65503181.829999998</v>
      </c>
      <c r="G27" s="79">
        <f>'2025 actual v budget'!G403</f>
        <v>4.6617705240848753E-2</v>
      </c>
      <c r="H27" s="80">
        <f>'2025 actual v budget'!H403</f>
        <v>15441478.560000002</v>
      </c>
      <c r="I27" s="80">
        <f>'2025 actual v budget'!I403</f>
        <v>14641549.49</v>
      </c>
      <c r="J27" s="80">
        <f>'2025 actual v budget'!J403</f>
        <v>799929.06999999983</v>
      </c>
      <c r="K27" s="81">
        <f>'2025 actual v budget'!K403</f>
        <v>5.463418134442271E-2</v>
      </c>
      <c r="L27" s="80">
        <f>'2025 actual v budget'!L403</f>
        <v>4323613.97</v>
      </c>
      <c r="M27" s="80">
        <f>'2025 actual v budget'!M403</f>
        <v>4030701.3800000008</v>
      </c>
      <c r="N27" s="80">
        <f>'2025 actual v budget'!N403</f>
        <v>292912.59000000003</v>
      </c>
      <c r="O27" s="81">
        <f>'2025 actual v budget'!O403</f>
        <v>7.2670377283072254E-2</v>
      </c>
      <c r="P27" s="80">
        <f>'2025 actual v budget'!P403</f>
        <v>182082.09999999998</v>
      </c>
      <c r="Q27" s="80">
        <f>'2025 actual v budget'!Q403</f>
        <v>168124.37</v>
      </c>
      <c r="R27" s="80">
        <f>'2025 actual v budget'!R403</f>
        <v>13957.730000000001</v>
      </c>
      <c r="S27" s="81">
        <f>'2025 actual v budget'!S403</f>
        <v>8.3020266484864755E-2</v>
      </c>
      <c r="T27" s="80">
        <f>'2025 actual v budget'!T403</f>
        <v>10935782.439999999</v>
      </c>
      <c r="U27" s="80">
        <f>'2025 actual v budget'!U403</f>
        <v>10262067.99</v>
      </c>
      <c r="V27" s="80">
        <f>'2025 actual v budget'!V403</f>
        <v>673714.45</v>
      </c>
      <c r="W27" s="81">
        <f>'2025 actual v budget'!W403</f>
        <v>6.5650943908821244E-2</v>
      </c>
      <c r="X27" s="80">
        <f>'2025 actual v budget'!X403</f>
        <v>6399357.2600000007</v>
      </c>
      <c r="Y27" s="80">
        <f>'2025 actual v budget'!Y403</f>
        <v>5945206.9899999993</v>
      </c>
      <c r="Z27" s="80">
        <f>'2025 actual v budget'!Z403</f>
        <v>454150.22</v>
      </c>
      <c r="AA27" s="81">
        <f>'2025 actual v budget'!AA403</f>
        <v>7.6389303310026552E-2</v>
      </c>
      <c r="AB27" s="80">
        <f>'2025 actual v budget'!AB403</f>
        <v>4536425.1800000006</v>
      </c>
      <c r="AC27" s="80">
        <f>'2025 actual v budget'!AC403</f>
        <v>4123582.7299999995</v>
      </c>
      <c r="AD27" s="80">
        <f>'2025 actual v budget'!AD403</f>
        <v>412842.44</v>
      </c>
      <c r="AE27" s="81">
        <f>'2025 actual v budget'!AE403</f>
        <v>0.10011741415940988</v>
      </c>
    </row>
    <row r="28" spans="1:31" ht="20" customHeight="1" x14ac:dyDescent="0.35">
      <c r="B28" s="61" t="str">
        <f>'2025 actual v budget'!C404</f>
        <v>Stablecoin Settlement</v>
      </c>
      <c r="C28" s="65"/>
      <c r="D28" s="63">
        <f>'2025 actual v budget'!D404</f>
        <v>2270051032.5100002</v>
      </c>
      <c r="E28" s="63">
        <f>'2025 actual v budget'!E404</f>
        <v>2204332169.4000001</v>
      </c>
      <c r="F28" s="63">
        <f>'2025 actual v budget'!F404</f>
        <v>65718863.109999999</v>
      </c>
      <c r="G28" s="64">
        <f>'2025 actual v budget'!G404</f>
        <v>2.9813502711747885E-2</v>
      </c>
      <c r="H28" s="75">
        <f>'2025 actual v budget'!H404</f>
        <v>14755331.720000001</v>
      </c>
      <c r="I28" s="75">
        <f>'2025 actual v budget'!I404</f>
        <v>14217385.419999998</v>
      </c>
      <c r="J28" s="75">
        <f>'2025 actual v budget'!J404</f>
        <v>537946.30000000005</v>
      </c>
      <c r="K28" s="76">
        <f>'2025 actual v budget'!K404</f>
        <v>3.7837217189262924E-2</v>
      </c>
      <c r="L28" s="75">
        <f>'2025 actual v budget'!L404</f>
        <v>4721706.16</v>
      </c>
      <c r="M28" s="75">
        <f>'2025 actual v budget'!M404</f>
        <v>4471781.6400000006</v>
      </c>
      <c r="N28" s="75">
        <f>'2025 actual v budget'!N404</f>
        <v>249924.52000000005</v>
      </c>
      <c r="O28" s="76">
        <f>'2025 actual v budget'!O404</f>
        <v>5.5889249547524868E-2</v>
      </c>
      <c r="P28" s="75">
        <f>'2025 actual v budget'!P404</f>
        <v>281106.74</v>
      </c>
      <c r="Q28" s="75">
        <f>'2025 actual v budget'!Q404</f>
        <v>263681.40999999997</v>
      </c>
      <c r="R28" s="75">
        <f>'2025 actual v budget'!R404</f>
        <v>17425.330000000002</v>
      </c>
      <c r="S28" s="76">
        <f>'2025 actual v budget'!S404</f>
        <v>6.6084787698912878E-2</v>
      </c>
      <c r="T28" s="75">
        <f>'2025 actual v budget'!T404</f>
        <v>9752518.8299999982</v>
      </c>
      <c r="U28" s="75">
        <f>'2025 actual v budget'!U404</f>
        <v>9298168.4800000004</v>
      </c>
      <c r="V28" s="75">
        <f>'2025 actual v budget'!V404</f>
        <v>454350.35</v>
      </c>
      <c r="W28" s="76">
        <f>'2025 actual v budget'!W404</f>
        <v>4.8864499603044398E-2</v>
      </c>
      <c r="X28" s="75">
        <f>'2025 actual v budget'!X404</f>
        <v>6113878.4900000002</v>
      </c>
      <c r="Y28" s="75">
        <f>'2025 actual v budget'!Y404</f>
        <v>5766421.5500000007</v>
      </c>
      <c r="Z28" s="75">
        <f>'2025 actual v budget'!Z404</f>
        <v>347456.92000000004</v>
      </c>
      <c r="AA28" s="76">
        <f>'2025 actual v budget'!AA404</f>
        <v>6.0255206281268146E-2</v>
      </c>
      <c r="AB28" s="75">
        <f>'2025 actual v budget'!AB404</f>
        <v>3638640.34</v>
      </c>
      <c r="AC28" s="75">
        <f>'2025 actual v budget'!AC404</f>
        <v>3361777.5500000003</v>
      </c>
      <c r="AD28" s="75">
        <f>'2025 actual v budget'!AD404</f>
        <v>276862.78000000003</v>
      </c>
      <c r="AE28" s="76">
        <f>'2025 actual v budget'!AE404</f>
        <v>8.2356067848689152E-2</v>
      </c>
    </row>
    <row r="29" spans="1:31" ht="20" customHeight="1" x14ac:dyDescent="0.35">
      <c r="B29" s="66" t="str">
        <f>'2025 actual v budget'!C405</f>
        <v>Treasury Yield</v>
      </c>
      <c r="C29" s="77"/>
      <c r="D29" s="78">
        <f>'2025 actual v budget'!D405</f>
        <v>612302776.43000007</v>
      </c>
      <c r="E29" s="78">
        <f>'2025 actual v budget'!E405</f>
        <v>599454958.15999997</v>
      </c>
      <c r="F29" s="78">
        <f>'2025 actual v budget'!F405</f>
        <v>12847818.27</v>
      </c>
      <c r="G29" s="79">
        <f>'2025 actual v budget'!G405</f>
        <v>2.1432499798543329E-2</v>
      </c>
      <c r="H29" s="80">
        <f>'2025 actual v budget'!H405</f>
        <v>1836908.3299999998</v>
      </c>
      <c r="I29" s="80">
        <f>'2025 actual v budget'!I405</f>
        <v>1784363.97</v>
      </c>
      <c r="J29" s="80">
        <f>'2025 actual v budget'!J405</f>
        <v>52544.36</v>
      </c>
      <c r="K29" s="81">
        <f>'2025 actual v budget'!K405</f>
        <v>2.944710882051715E-2</v>
      </c>
      <c r="L29" s="80">
        <f>'2025 actual v budget'!L405</f>
        <v>330643.53000000003</v>
      </c>
      <c r="M29" s="80">
        <f>'2025 actual v budget'!M405</f>
        <v>315656.41000000003</v>
      </c>
      <c r="N29" s="80">
        <f>'2025 actual v budget'!N405</f>
        <v>14987.119999999999</v>
      </c>
      <c r="O29" s="81">
        <f>'2025 actual v budget'!O405</f>
        <v>4.7479219572952751E-2</v>
      </c>
      <c r="P29" s="80">
        <f>'2025 actual v budget'!P405</f>
        <v>75812.34</v>
      </c>
      <c r="Q29" s="80">
        <f>'2025 actual v budget'!Q405</f>
        <v>71665.98</v>
      </c>
      <c r="R29" s="80">
        <f>'2025 actual v budget'!R405</f>
        <v>4146.3599999999997</v>
      </c>
      <c r="S29" s="81">
        <f>'2025 actual v budget'!S405</f>
        <v>5.7856740394814941E-2</v>
      </c>
      <c r="T29" s="80">
        <f>'2025 actual v budget'!T405</f>
        <v>1430452.4699999997</v>
      </c>
      <c r="U29" s="80">
        <f>'2025 actual v budget'!U405</f>
        <v>1374843.25</v>
      </c>
      <c r="V29" s="80">
        <f>'2025 actual v budget'!V405</f>
        <v>55609.219999999994</v>
      </c>
      <c r="W29" s="81">
        <f>'2025 actual v budget'!W405</f>
        <v>4.0447680126443501E-2</v>
      </c>
      <c r="X29" s="80">
        <f>'2025 actual v budget'!X405</f>
        <v>761210.92</v>
      </c>
      <c r="Y29" s="80">
        <f>'2025 actual v budget'!Y405</f>
        <v>724155.96</v>
      </c>
      <c r="Z29" s="80">
        <f>'2025 actual v budget'!Z405</f>
        <v>37054.93</v>
      </c>
      <c r="AA29" s="81">
        <f>'2025 actual v budget'!AA405</f>
        <v>5.1169819827209598E-2</v>
      </c>
      <c r="AB29" s="80">
        <f>'2025 actual v budget'!AB405</f>
        <v>669241.55000000005</v>
      </c>
      <c r="AC29" s="80">
        <f>'2025 actual v budget'!AC405</f>
        <v>622640.57000000007</v>
      </c>
      <c r="AD29" s="80">
        <f>'2025 actual v budget'!AD405</f>
        <v>46600.969999999994</v>
      </c>
      <c r="AE29" s="81">
        <f>'2025 actual v budget'!AE405</f>
        <v>7.4844095045075512E-2</v>
      </c>
    </row>
    <row r="30" spans="1:31" ht="20" customHeight="1" x14ac:dyDescent="0.35">
      <c r="B30" s="61" t="str">
        <f>'2025 actual v budget'!C406</f>
        <v>Virtual Accounts</v>
      </c>
      <c r="C30" s="65"/>
      <c r="D30" s="63">
        <f>'2025 actual v budget'!D406</f>
        <v>920278396.56999993</v>
      </c>
      <c r="E30" s="63">
        <f>'2025 actual v budget'!E406</f>
        <v>897982058.13</v>
      </c>
      <c r="F30" s="63">
        <f>'2025 actual v budget'!F406</f>
        <v>22296338.439999998</v>
      </c>
      <c r="G30" s="64">
        <f>'2025 actual v budget'!G406</f>
        <v>2.4829380763387345E-2</v>
      </c>
      <c r="H30" s="75">
        <f>'2025 actual v budget'!H406</f>
        <v>4141252.78</v>
      </c>
      <c r="I30" s="75">
        <f>'2025 actual v budget'!I406</f>
        <v>4009577.9099999997</v>
      </c>
      <c r="J30" s="75">
        <f>'2025 actual v budget'!J406</f>
        <v>131674.87</v>
      </c>
      <c r="K30" s="76">
        <f>'2025 actual v budget'!K406</f>
        <v>3.2840082660970167E-2</v>
      </c>
      <c r="L30" s="75">
        <f>'2025 actual v budget'!L406</f>
        <v>911075.6</v>
      </c>
      <c r="M30" s="75">
        <f>'2025 actual v budget'!M406</f>
        <v>866977.91999999993</v>
      </c>
      <c r="N30" s="75">
        <f>'2025 actual v budget'!N406</f>
        <v>44097.68</v>
      </c>
      <c r="O30" s="76">
        <f>'2025 actual v budget'!O406</f>
        <v>5.0863671360857732E-2</v>
      </c>
      <c r="P30" s="75">
        <f>'2025 actual v budget'!P406</f>
        <v>113959.09000000001</v>
      </c>
      <c r="Q30" s="75">
        <f>'2025 actual v budget'!Q406</f>
        <v>107383.93</v>
      </c>
      <c r="R30" s="75">
        <f>'2025 actual v budget'!R406</f>
        <v>6575.16</v>
      </c>
      <c r="S30" s="76">
        <f>'2025 actual v budget'!S406</f>
        <v>6.1230390804285148E-2</v>
      </c>
      <c r="T30" s="75">
        <f>'2025 actual v budget'!T406</f>
        <v>3116218.12</v>
      </c>
      <c r="U30" s="75">
        <f>'2025 actual v budget'!U406</f>
        <v>2985336.17</v>
      </c>
      <c r="V30" s="75">
        <f>'2025 actual v budget'!V406</f>
        <v>130881.94999999998</v>
      </c>
      <c r="W30" s="76">
        <f>'2025 actual v budget'!W406</f>
        <v>4.3841611981675077E-2</v>
      </c>
      <c r="X30" s="75">
        <f>'2025 actual v budget'!X406</f>
        <v>1716290.3699999999</v>
      </c>
      <c r="Y30" s="75">
        <f>'2025 actual v budget'!Y406</f>
        <v>1627581.6399999997</v>
      </c>
      <c r="Z30" s="75">
        <f>'2025 actual v budget'!Z406</f>
        <v>88708.670000000013</v>
      </c>
      <c r="AA30" s="76">
        <f>'2025 actual v budget'!AA406</f>
        <v>5.4503361195448255E-2</v>
      </c>
      <c r="AB30" s="75">
        <f>'2025 actual v budget'!AB406</f>
        <v>1399927.75</v>
      </c>
      <c r="AC30" s="75">
        <f>'2025 actual v budget'!AC406</f>
        <v>1298251.8700000001</v>
      </c>
      <c r="AD30" s="75">
        <f>'2025 actual v budget'!AD406</f>
        <v>101675.9</v>
      </c>
      <c r="AE30" s="76">
        <f>'2025 actual v budget'!AE406</f>
        <v>7.8317545577654343E-2</v>
      </c>
    </row>
    <row r="33" spans="1:7" ht="24" customHeight="1" x14ac:dyDescent="0.35">
      <c r="A33" s="82" t="s">
        <v>119</v>
      </c>
      <c r="B33" s="82"/>
      <c r="C33" s="82"/>
      <c r="D33" s="82"/>
      <c r="E33" s="82"/>
      <c r="F33" s="82"/>
      <c r="G33" s="82"/>
    </row>
    <row r="34" spans="1:7" ht="28" customHeight="1" x14ac:dyDescent="0.35">
      <c r="A34" s="83" t="s">
        <v>120</v>
      </c>
      <c r="B34" s="83" t="s">
        <v>121</v>
      </c>
      <c r="C34" s="83" t="s">
        <v>122</v>
      </c>
      <c r="D34" s="83" t="s">
        <v>123</v>
      </c>
      <c r="E34" s="83" t="s">
        <v>124</v>
      </c>
      <c r="F34" s="83" t="s">
        <v>125</v>
      </c>
      <c r="G34" s="83" t="s">
        <v>126</v>
      </c>
    </row>
    <row r="35" spans="1:7" ht="83" customHeight="1" x14ac:dyDescent="0.35">
      <c r="A35" s="84">
        <v>1</v>
      </c>
      <c r="B35" s="85" t="str">
        <f>INDEX('2025 actual v budget'!$B$364:$B$393,MATCH(C35,'2025 actual v budget'!$AD$364:$AD$393,0))&amp;" / "&amp;INDEX('2025 actual v budget'!$C$364:$C$393,MATCH(C35,'2025 actual v budget'!$AD$364:$AD$393,0))</f>
        <v>USA / FX Conversion</v>
      </c>
      <c r="C35" s="86">
        <f>LARGE('2025 actual v budget'!$AD$364:$AD$393,A35)</f>
        <v>129855.90000000001</v>
      </c>
      <c r="D35" s="87" t="s">
        <v>127</v>
      </c>
      <c r="E35" s="87" t="s">
        <v>128</v>
      </c>
      <c r="F35" s="87" t="s">
        <v>129</v>
      </c>
      <c r="G35" s="87" t="s">
        <v>130</v>
      </c>
    </row>
    <row r="36" spans="1:7" ht="53" customHeight="1" x14ac:dyDescent="0.35">
      <c r="A36" s="84">
        <v>2</v>
      </c>
      <c r="B36" s="85" t="str">
        <f>INDEX('2025 actual v budget'!$B$364:$B$393,MATCH(C36,'2025 actual v budget'!$AD$364:$AD$393,0))&amp;" / "&amp;INDEX('2025 actual v budget'!$C$364:$C$393,MATCH(C36,'2025 actual v budget'!$AD$364:$AD$393,0))</f>
        <v>USA / Stablecoin Settlement</v>
      </c>
      <c r="C36" s="86">
        <f>LARGE('2025 actual v budget'!$AD$364:$AD$393,A36)</f>
        <v>89046.15</v>
      </c>
      <c r="D36" s="87" t="s">
        <v>131</v>
      </c>
      <c r="E36" s="87" t="s">
        <v>132</v>
      </c>
      <c r="F36" s="87" t="s">
        <v>133</v>
      </c>
      <c r="G36" s="87" t="s">
        <v>134</v>
      </c>
    </row>
    <row r="37" spans="1:7" ht="68" customHeight="1" x14ac:dyDescent="0.35">
      <c r="A37" s="84">
        <v>3</v>
      </c>
      <c r="B37" s="85" t="str">
        <f>INDEX('2025 actual v budget'!$B$364:$B$393,MATCH(C37,'2025 actual v budget'!$AD$364:$AD$393,0))&amp;" / "&amp;INDEX('2025 actual v budget'!$C$364:$C$393,MATCH(C37,'2025 actual v budget'!$AD$364:$AD$393,0))</f>
        <v>Brazil / FX Conversion</v>
      </c>
      <c r="C37" s="86">
        <f>LARGE('2025 actual v budget'!$AD$364:$AD$393,A37)</f>
        <v>81763.88</v>
      </c>
      <c r="D37" s="87" t="s">
        <v>135</v>
      </c>
      <c r="E37" s="87" t="s">
        <v>136</v>
      </c>
      <c r="F37" s="87" t="s">
        <v>137</v>
      </c>
      <c r="G37" s="87" t="s">
        <v>138</v>
      </c>
    </row>
    <row r="40" spans="1:7" ht="24" customHeight="1" x14ac:dyDescent="0.35">
      <c r="A40" s="88" t="s">
        <v>139</v>
      </c>
      <c r="B40" s="88"/>
      <c r="C40" s="88"/>
      <c r="D40" s="88"/>
      <c r="E40" s="88"/>
      <c r="F40" s="88"/>
      <c r="G40" s="88"/>
    </row>
    <row r="41" spans="1:7" ht="28" customHeight="1" x14ac:dyDescent="0.35">
      <c r="A41" s="89" t="s">
        <v>120</v>
      </c>
      <c r="B41" s="89" t="s">
        <v>121</v>
      </c>
      <c r="C41" s="89" t="s">
        <v>140</v>
      </c>
      <c r="D41" s="89" t="s">
        <v>123</v>
      </c>
      <c r="E41" s="89" t="s">
        <v>124</v>
      </c>
      <c r="F41" s="89" t="s">
        <v>125</v>
      </c>
      <c r="G41" s="89" t="s">
        <v>126</v>
      </c>
    </row>
    <row r="42" spans="1:7" ht="83" customHeight="1" x14ac:dyDescent="0.35">
      <c r="A42" s="90">
        <v>1</v>
      </c>
      <c r="B42" s="85" t="str">
        <f>INDEX('2025 actual v budget'!$B$364:$B$393,MATCH(C42,'2025 actual v budget'!$Z$364:$Z$393,0))&amp;" / "&amp;INDEX('2025 actual v budget'!$C$364:$C$393,MATCH(C42,'2025 actual v budget'!$Z$364:$Z$393,0))</f>
        <v>USA / FX Conversion</v>
      </c>
      <c r="C42" s="86">
        <f>LARGE('2025 actual v budget'!$Z$364:$Z$393,A35)</f>
        <v>141432.6</v>
      </c>
      <c r="D42" s="87" t="s">
        <v>141</v>
      </c>
      <c r="E42" s="87" t="s">
        <v>142</v>
      </c>
      <c r="F42" s="87" t="s">
        <v>143</v>
      </c>
      <c r="G42" s="87" t="s">
        <v>144</v>
      </c>
    </row>
    <row r="43" spans="1:7" ht="53" customHeight="1" x14ac:dyDescent="0.35">
      <c r="A43" s="90">
        <v>2</v>
      </c>
      <c r="B43" s="85" t="str">
        <f>INDEX('2025 actual v budget'!$B$364:$B$393,MATCH(C43,'2025 actual v budget'!$Z$364:$Z$393,0))&amp;" / "&amp;INDEX('2025 actual v budget'!$C$364:$C$393,MATCH(C43,'2025 actual v budget'!$Z$364:$Z$393,0))</f>
        <v>USA / Stablecoin Settlement</v>
      </c>
      <c r="C43" s="86">
        <f>LARGE('2025 actual v budget'!$Z$364:$Z$393,A36)</f>
        <v>109323.23000000001</v>
      </c>
      <c r="D43" s="87" t="s">
        <v>145</v>
      </c>
      <c r="E43" s="87" t="s">
        <v>146</v>
      </c>
      <c r="F43" s="87" t="s">
        <v>147</v>
      </c>
      <c r="G43" s="87" t="s">
        <v>148</v>
      </c>
    </row>
    <row r="44" spans="1:7" ht="53" customHeight="1" x14ac:dyDescent="0.35">
      <c r="A44" s="90">
        <v>3</v>
      </c>
      <c r="B44" s="85" t="str">
        <f>INDEX('2025 actual v budget'!$B$364:$B$393,MATCH(C44,'2025 actual v budget'!$Z$364:$Z$393,0))&amp;" / "&amp;INDEX('2025 actual v budget'!$C$364:$C$393,MATCH(C44,'2025 actual v budget'!$Z$364:$Z$393,0))</f>
        <v>Brazil / FX Conversion</v>
      </c>
      <c r="C44" s="86">
        <f>LARGE('2025 actual v budget'!$Z$364:$Z$393,A37)</f>
        <v>93211.599999999991</v>
      </c>
      <c r="D44" s="87" t="s">
        <v>149</v>
      </c>
      <c r="E44" s="87" t="s">
        <v>150</v>
      </c>
      <c r="F44" s="87" t="s">
        <v>151</v>
      </c>
      <c r="G44" s="87" t="s">
        <v>152</v>
      </c>
    </row>
  </sheetData>
  <conditionalFormatting sqref="F4:F10">
    <cfRule type="cellIs" dxfId="21" priority="1" operator="equal">
      <formula>"Favorable"</formula>
    </cfRule>
    <cfRule type="cellIs" dxfId="20" priority="2" operator="equal">
      <formula>"Unfavorable"</formula>
    </cfRule>
  </conditionalFormatting>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F766E"/>
    <pageSetUpPr fitToPage="1"/>
  </sheetPr>
  <dimension ref="A1:P364"/>
  <sheetViews>
    <sheetView showGridLines="0" zoomScale="70" zoomScaleNormal="70" workbookViewId="0">
      <pane xSplit="3" ySplit="2" topLeftCell="D3" activePane="bottomRight" state="frozen"/>
      <selection pane="topRight"/>
      <selection pane="bottomLeft"/>
      <selection pane="bottomRight" activeCell="D3" sqref="D3"/>
    </sheetView>
  </sheetViews>
  <sheetFormatPr defaultColWidth="49.7265625" defaultRowHeight="14.5" x14ac:dyDescent="0.35"/>
  <cols>
    <col min="1" max="1" width="10" customWidth="1"/>
    <col min="2" max="2" width="12" customWidth="1"/>
    <col min="3" max="3" width="22" customWidth="1"/>
    <col min="4" max="4" width="17" customWidth="1"/>
    <col min="5" max="5" width="12" customWidth="1"/>
    <col min="6" max="6" width="17" customWidth="1"/>
    <col min="7" max="7" width="11" customWidth="1"/>
    <col min="8" max="8" width="16" customWidth="1"/>
    <col min="9" max="9" width="12" customWidth="1"/>
    <col min="10" max="10" width="15" customWidth="1"/>
    <col min="11" max="11" width="11" customWidth="1"/>
    <col min="12" max="13" width="16" customWidth="1"/>
    <col min="14" max="14" width="12" customWidth="1"/>
    <col min="15" max="15" width="15" customWidth="1"/>
    <col min="16" max="16" width="16" customWidth="1"/>
  </cols>
  <sheetData>
    <row r="1" spans="1:16" ht="30" customHeight="1" x14ac:dyDescent="0.35">
      <c r="A1" s="7" t="s">
        <v>153</v>
      </c>
      <c r="B1" s="7"/>
      <c r="C1" s="7"/>
      <c r="D1" s="7"/>
      <c r="E1" s="7"/>
      <c r="F1" s="7"/>
      <c r="G1" s="7"/>
      <c r="H1" s="7"/>
      <c r="I1" s="7"/>
      <c r="J1" s="7"/>
      <c r="K1" s="7"/>
      <c r="L1" s="7"/>
      <c r="M1" s="7"/>
      <c r="N1" s="7"/>
      <c r="O1" s="7"/>
      <c r="P1" s="7"/>
    </row>
    <row r="2" spans="1:16" ht="36" customHeight="1" x14ac:dyDescent="0.35">
      <c r="A2" s="9" t="s">
        <v>42</v>
      </c>
      <c r="B2" s="9" t="s">
        <v>43</v>
      </c>
      <c r="C2" s="9" t="s">
        <v>44</v>
      </c>
      <c r="D2" s="9" t="s">
        <v>154</v>
      </c>
      <c r="E2" s="9" t="s">
        <v>155</v>
      </c>
      <c r="F2" s="9" t="s">
        <v>156</v>
      </c>
      <c r="G2" s="9" t="s">
        <v>104</v>
      </c>
      <c r="H2" s="9" t="s">
        <v>12</v>
      </c>
      <c r="I2" s="9" t="s">
        <v>157</v>
      </c>
      <c r="J2" s="9" t="s">
        <v>13</v>
      </c>
      <c r="K2" s="9" t="s">
        <v>158</v>
      </c>
      <c r="L2" s="9" t="s">
        <v>14</v>
      </c>
      <c r="M2" s="9" t="s">
        <v>15</v>
      </c>
      <c r="N2" s="9" t="s">
        <v>159</v>
      </c>
      <c r="O2" s="9" t="s">
        <v>16</v>
      </c>
      <c r="P2" s="9" t="s">
        <v>17</v>
      </c>
    </row>
    <row r="3" spans="1:16" x14ac:dyDescent="0.35">
      <c r="A3" s="91" t="str">
        <f>LEFT('2025 actual v budget'!A3,4)&amp;"26"</f>
        <v>Jan-26</v>
      </c>
      <c r="B3" s="12" t="str">
        <f>'2025 actual v budget'!B3</f>
        <v>Brazil</v>
      </c>
      <c r="C3" s="12" t="str">
        <f>'2025 actual v budget'!C3</f>
        <v>Cross-border Payouts</v>
      </c>
      <c r="D3" s="14">
        <f>'2025 actual v budget'!D3</f>
        <v>10691718.5</v>
      </c>
      <c r="E3" s="92">
        <f>SUMIFS('Assumption-Base'!$C$3:$C$32,'Assumption-Base'!$A$3:$A$32,$B3,'Assumption-Base'!$B$3:$B$32,$C3)</f>
        <v>0.2</v>
      </c>
      <c r="F3" s="14">
        <f t="shared" ref="F3:F66" si="0">D3*(1+E3)</f>
        <v>12830062.199999999</v>
      </c>
      <c r="G3" s="93">
        <f>SUMIFS('Assumption-Base'!$D$3:$D$32,'Assumption-Base'!$A$3:$A$32,$B3,'Assumption-Base'!$B$3:$B$32,$C3)</f>
        <v>7.4999999999999997E-3</v>
      </c>
      <c r="H3" s="94">
        <f t="shared" ref="H3:H66" si="1">F3*G3</f>
        <v>96225.466499999995</v>
      </c>
      <c r="I3" s="92">
        <f>SUMIFS('Assumption-Base'!$E$3:$E$32,'Assumption-Base'!$A$3:$A$32,$B3,'Assumption-Base'!$B$3:$B$32,$C3)</f>
        <v>0.35</v>
      </c>
      <c r="J3" s="14">
        <f t="shared" ref="J3:J66" si="2">H3*I3</f>
        <v>33678.913274999999</v>
      </c>
      <c r="K3" s="95">
        <f>SUMIFS('Assumption-Base'!$F$3:$F$32,'Assumption-Base'!$A$3:$A$32,$B3,'Assumption-Base'!$B$3:$B$32,$C3)</f>
        <v>6.9999999999999994E-5</v>
      </c>
      <c r="L3" s="14">
        <f t="shared" ref="L3:L66" si="3">F3*K3</f>
        <v>898.10435399999983</v>
      </c>
      <c r="M3" s="94">
        <f t="shared" ref="M3:M66" si="4">H3-J3-L3</f>
        <v>61648.448870999993</v>
      </c>
      <c r="N3" s="92">
        <f>SUMIFS('Assumption-Base'!$G$3:$G$32,'Assumption-Base'!$A$3:$A$32,$B3,'Assumption-Base'!$B$3:$B$32,$C3)</f>
        <v>0.4</v>
      </c>
      <c r="O3" s="14">
        <f t="shared" ref="O3:O66" si="5">H3*N3</f>
        <v>38490.186600000001</v>
      </c>
      <c r="P3" s="94">
        <f t="shared" ref="P3:P66" si="6">M3-O3</f>
        <v>23158.262270999992</v>
      </c>
    </row>
    <row r="4" spans="1:16" x14ac:dyDescent="0.35">
      <c r="A4" s="91" t="str">
        <f>LEFT('2025 actual v budget'!A4,4)&amp;"26"</f>
        <v>Jan-26</v>
      </c>
      <c r="B4" s="12" t="str">
        <f>'2025 actual v budget'!B4</f>
        <v>Brazil</v>
      </c>
      <c r="C4" s="12" t="str">
        <f>'2025 actual v budget'!C4</f>
        <v>FX Conversion</v>
      </c>
      <c r="D4" s="14">
        <f>'2025 actual v budget'!D4</f>
        <v>16941176.120000001</v>
      </c>
      <c r="E4" s="92">
        <f>SUMIFS('Assumption-Base'!$C$3:$C$32,'Assumption-Base'!$A$3:$A$32,$B4,'Assumption-Base'!$B$3:$B$32,$C4)</f>
        <v>0.2</v>
      </c>
      <c r="F4" s="14">
        <f t="shared" si="0"/>
        <v>20329411.344000001</v>
      </c>
      <c r="G4" s="93">
        <f>SUMIFS('Assumption-Base'!$D$3:$D$32,'Assumption-Base'!$A$3:$A$32,$B4,'Assumption-Base'!$B$3:$B$32,$C4)</f>
        <v>1.0500000000000001E-2</v>
      </c>
      <c r="H4" s="94">
        <f t="shared" si="1"/>
        <v>213458.81911200003</v>
      </c>
      <c r="I4" s="92">
        <f>SUMIFS('Assumption-Base'!$E$3:$E$32,'Assumption-Base'!$A$3:$A$32,$B4,'Assumption-Base'!$B$3:$B$32,$C4)</f>
        <v>0.28000000000000003</v>
      </c>
      <c r="J4" s="14">
        <f t="shared" si="2"/>
        <v>59768.469351360014</v>
      </c>
      <c r="K4" s="95">
        <f>SUMIFS('Assumption-Base'!$F$3:$F$32,'Assumption-Base'!$A$3:$A$32,$B4,'Assumption-Base'!$B$3:$B$32,$C4)</f>
        <v>6.9999999999999994E-5</v>
      </c>
      <c r="L4" s="14">
        <f t="shared" si="3"/>
        <v>1423.0587940799999</v>
      </c>
      <c r="M4" s="94">
        <f t="shared" si="4"/>
        <v>152267.29096656002</v>
      </c>
      <c r="N4" s="92">
        <f>SUMIFS('Assumption-Base'!$G$3:$G$32,'Assumption-Base'!$A$3:$A$32,$B4,'Assumption-Base'!$B$3:$B$32,$C4)</f>
        <v>0.4</v>
      </c>
      <c r="O4" s="14">
        <f t="shared" si="5"/>
        <v>85383.527644800022</v>
      </c>
      <c r="P4" s="94">
        <f t="shared" si="6"/>
        <v>66883.763321759994</v>
      </c>
    </row>
    <row r="5" spans="1:16" x14ac:dyDescent="0.35">
      <c r="A5" s="91" t="str">
        <f>LEFT('2025 actual v budget'!A5,4)&amp;"26"</f>
        <v>Jan-26</v>
      </c>
      <c r="B5" s="12" t="str">
        <f>'2025 actual v budget'!B5</f>
        <v>Brazil</v>
      </c>
      <c r="C5" s="12" t="str">
        <f>'2025 actual v budget'!C5</f>
        <v>Stablecoin Settlement</v>
      </c>
      <c r="D5" s="14">
        <f>'2025 actual v budget'!D5</f>
        <v>25621674.440000001</v>
      </c>
      <c r="E5" s="92">
        <f>SUMIFS('Assumption-Base'!$C$3:$C$32,'Assumption-Base'!$A$3:$A$32,$B5,'Assumption-Base'!$B$3:$B$32,$C5)</f>
        <v>0.4</v>
      </c>
      <c r="F5" s="14">
        <f t="shared" si="0"/>
        <v>35870344.215999998</v>
      </c>
      <c r="G5" s="93">
        <f>SUMIFS('Assumption-Base'!$D$3:$D$32,'Assumption-Base'!$A$3:$A$32,$B5,'Assumption-Base'!$B$3:$B$32,$C5)</f>
        <v>6.4999999999999997E-3</v>
      </c>
      <c r="H5" s="94">
        <f t="shared" si="1"/>
        <v>233157.23740399998</v>
      </c>
      <c r="I5" s="92">
        <f>SUMIFS('Assumption-Base'!$E$3:$E$32,'Assumption-Base'!$A$3:$A$32,$B5,'Assumption-Base'!$B$3:$B$32,$C5)</f>
        <v>0.32</v>
      </c>
      <c r="J5" s="14">
        <f t="shared" si="2"/>
        <v>74610.315969279996</v>
      </c>
      <c r="K5" s="95">
        <f>SUMIFS('Assumption-Base'!$F$3:$F$32,'Assumption-Base'!$A$3:$A$32,$B5,'Assumption-Base'!$B$3:$B$32,$C5)</f>
        <v>6.9999999999999994E-5</v>
      </c>
      <c r="L5" s="14">
        <f t="shared" si="3"/>
        <v>2510.9240951199995</v>
      </c>
      <c r="M5" s="94">
        <f t="shared" si="4"/>
        <v>156035.9973396</v>
      </c>
      <c r="N5" s="92">
        <f>SUMIFS('Assumption-Base'!$G$3:$G$32,'Assumption-Base'!$A$3:$A$32,$B5,'Assumption-Base'!$B$3:$B$32,$C5)</f>
        <v>0.4</v>
      </c>
      <c r="O5" s="14">
        <f t="shared" si="5"/>
        <v>93262.894961600003</v>
      </c>
      <c r="P5" s="94">
        <f t="shared" si="6"/>
        <v>62773.102377999996</v>
      </c>
    </row>
    <row r="6" spans="1:16" x14ac:dyDescent="0.35">
      <c r="A6" s="91" t="str">
        <f>LEFT('2025 actual v budget'!A6,4)&amp;"26"</f>
        <v>Jan-26</v>
      </c>
      <c r="B6" s="12" t="str">
        <f>'2025 actual v budget'!B6</f>
        <v>Brazil</v>
      </c>
      <c r="C6" s="12" t="str">
        <f>'2025 actual v budget'!C6</f>
        <v>Treasury Yield</v>
      </c>
      <c r="D6" s="14">
        <f>'2025 actual v budget'!D6</f>
        <v>7138685.0300000003</v>
      </c>
      <c r="E6" s="92">
        <f>SUMIFS('Assumption-Base'!$C$3:$C$32,'Assumption-Base'!$A$3:$A$32,$B6,'Assumption-Base'!$B$3:$B$32,$C6)</f>
        <v>0.2</v>
      </c>
      <c r="F6" s="14">
        <f t="shared" si="0"/>
        <v>8566422.0360000003</v>
      </c>
      <c r="G6" s="93">
        <f>SUMIFS('Assumption-Base'!$D$3:$D$32,'Assumption-Base'!$A$3:$A$32,$B6,'Assumption-Base'!$B$3:$B$32,$C6)</f>
        <v>3.0000000000000001E-3</v>
      </c>
      <c r="H6" s="94">
        <f t="shared" si="1"/>
        <v>25699.266108</v>
      </c>
      <c r="I6" s="92">
        <f>SUMIFS('Assumption-Base'!$E$3:$E$32,'Assumption-Base'!$A$3:$A$32,$B6,'Assumption-Base'!$B$3:$B$32,$C6)</f>
        <v>0.18</v>
      </c>
      <c r="J6" s="14">
        <f t="shared" si="2"/>
        <v>4625.8678994399997</v>
      </c>
      <c r="K6" s="95">
        <f>SUMIFS('Assumption-Base'!$F$3:$F$32,'Assumption-Base'!$A$3:$A$32,$B6,'Assumption-Base'!$B$3:$B$32,$C6)</f>
        <v>6.9999999999999994E-5</v>
      </c>
      <c r="L6" s="14">
        <f t="shared" si="3"/>
        <v>599.64954251999995</v>
      </c>
      <c r="M6" s="94">
        <f t="shared" si="4"/>
        <v>20473.748666039999</v>
      </c>
      <c r="N6" s="92">
        <f>SUMIFS('Assumption-Base'!$G$3:$G$32,'Assumption-Base'!$A$3:$A$32,$B6,'Assumption-Base'!$B$3:$B$32,$C6)</f>
        <v>0.4</v>
      </c>
      <c r="O6" s="14">
        <f t="shared" si="5"/>
        <v>10279.706443200001</v>
      </c>
      <c r="P6" s="94">
        <f t="shared" si="6"/>
        <v>10194.042222839998</v>
      </c>
    </row>
    <row r="7" spans="1:16" x14ac:dyDescent="0.35">
      <c r="A7" s="91" t="str">
        <f>LEFT('2025 actual v budget'!A7,4)&amp;"26"</f>
        <v>Jan-26</v>
      </c>
      <c r="B7" s="12" t="str">
        <f>'2025 actual v budget'!B7</f>
        <v>Brazil</v>
      </c>
      <c r="C7" s="12" t="str">
        <f>'2025 actual v budget'!C7</f>
        <v>Virtual Accounts</v>
      </c>
      <c r="D7" s="14">
        <f>'2025 actual v budget'!D7</f>
        <v>10439540.300000001</v>
      </c>
      <c r="E7" s="92">
        <f>SUMIFS('Assumption-Base'!$C$3:$C$32,'Assumption-Base'!$A$3:$A$32,$B7,'Assumption-Base'!$B$3:$B$32,$C7)</f>
        <v>0.2</v>
      </c>
      <c r="F7" s="14">
        <f t="shared" si="0"/>
        <v>12527448.360000001</v>
      </c>
      <c r="G7" s="93">
        <f>SUMIFS('Assumption-Base'!$D$3:$D$32,'Assumption-Base'!$A$3:$A$32,$B7,'Assumption-Base'!$B$3:$B$32,$C7)</f>
        <v>4.4999999999999997E-3</v>
      </c>
      <c r="H7" s="94">
        <f t="shared" si="1"/>
        <v>56373.517619999999</v>
      </c>
      <c r="I7" s="92">
        <f>SUMIFS('Assumption-Base'!$E$3:$E$32,'Assumption-Base'!$A$3:$A$32,$B7,'Assumption-Base'!$B$3:$B$32,$C7)</f>
        <v>0.22</v>
      </c>
      <c r="J7" s="14">
        <f t="shared" si="2"/>
        <v>12402.1738764</v>
      </c>
      <c r="K7" s="95">
        <f>SUMIFS('Assumption-Base'!$F$3:$F$32,'Assumption-Base'!$A$3:$A$32,$B7,'Assumption-Base'!$B$3:$B$32,$C7)</f>
        <v>6.9999999999999994E-5</v>
      </c>
      <c r="L7" s="14">
        <f t="shared" si="3"/>
        <v>876.92138520000003</v>
      </c>
      <c r="M7" s="94">
        <f t="shared" si="4"/>
        <v>43094.422358399992</v>
      </c>
      <c r="N7" s="92">
        <f>SUMIFS('Assumption-Base'!$G$3:$G$32,'Assumption-Base'!$A$3:$A$32,$B7,'Assumption-Base'!$B$3:$B$32,$C7)</f>
        <v>0.4</v>
      </c>
      <c r="O7" s="14">
        <f t="shared" si="5"/>
        <v>22549.407048000001</v>
      </c>
      <c r="P7" s="94">
        <f t="shared" si="6"/>
        <v>20545.015310399991</v>
      </c>
    </row>
    <row r="8" spans="1:16" x14ac:dyDescent="0.35">
      <c r="A8" s="91" t="str">
        <f>LEFT('2025 actual v budget'!A8,4)&amp;"26"</f>
        <v>Jan-26</v>
      </c>
      <c r="B8" s="12" t="str">
        <f>'2025 actual v budget'!B8</f>
        <v>Germany</v>
      </c>
      <c r="C8" s="12" t="str">
        <f>'2025 actual v budget'!C8</f>
        <v>Cross-border Payouts</v>
      </c>
      <c r="D8" s="14">
        <f>'2025 actual v budget'!D8</f>
        <v>5804075.7599999998</v>
      </c>
      <c r="E8" s="92">
        <f>SUMIFS('Assumption-Base'!$C$3:$C$32,'Assumption-Base'!$A$3:$A$32,$B8,'Assumption-Base'!$B$3:$B$32,$C8)</f>
        <v>0.06</v>
      </c>
      <c r="F8" s="14">
        <f t="shared" si="0"/>
        <v>6152320.3055999996</v>
      </c>
      <c r="G8" s="93">
        <f>SUMIFS('Assumption-Base'!$D$3:$D$32,'Assumption-Base'!$A$3:$A$32,$B8,'Assumption-Base'!$B$3:$B$32,$C8)</f>
        <v>7.4999999999999997E-3</v>
      </c>
      <c r="H8" s="94">
        <f t="shared" si="1"/>
        <v>46142.402291999999</v>
      </c>
      <c r="I8" s="92">
        <f>SUMIFS('Assumption-Base'!$E$3:$E$32,'Assumption-Base'!$A$3:$A$32,$B8,'Assumption-Base'!$B$3:$B$32,$C8)</f>
        <v>0.35</v>
      </c>
      <c r="J8" s="14">
        <f t="shared" si="2"/>
        <v>16149.840802199999</v>
      </c>
      <c r="K8" s="95">
        <f>SUMIFS('Assumption-Base'!$F$3:$F$32,'Assumption-Base'!$A$3:$A$32,$B8,'Assumption-Base'!$B$3:$B$32,$C8)</f>
        <v>1.4999999999999999E-4</v>
      </c>
      <c r="L8" s="14">
        <f t="shared" si="3"/>
        <v>922.84804583999983</v>
      </c>
      <c r="M8" s="94">
        <f t="shared" si="4"/>
        <v>29069.713443959998</v>
      </c>
      <c r="N8" s="92">
        <f>SUMIFS('Assumption-Base'!$G$3:$G$32,'Assumption-Base'!$A$3:$A$32,$B8,'Assumption-Base'!$B$3:$B$32,$C8)</f>
        <v>0.4</v>
      </c>
      <c r="O8" s="14">
        <f t="shared" si="5"/>
        <v>18456.960916799999</v>
      </c>
      <c r="P8" s="94">
        <f t="shared" si="6"/>
        <v>10612.752527159999</v>
      </c>
    </row>
    <row r="9" spans="1:16" x14ac:dyDescent="0.35">
      <c r="A9" s="91" t="str">
        <f>LEFT('2025 actual v budget'!A9,4)&amp;"26"</f>
        <v>Jan-26</v>
      </c>
      <c r="B9" s="12" t="str">
        <f>'2025 actual v budget'!B9</f>
        <v>Germany</v>
      </c>
      <c r="C9" s="12" t="str">
        <f>'2025 actual v budget'!C9</f>
        <v>FX Conversion</v>
      </c>
      <c r="D9" s="14">
        <f>'2025 actual v budget'!D9</f>
        <v>9196638.4700000007</v>
      </c>
      <c r="E9" s="92">
        <f>SUMIFS('Assumption-Base'!$C$3:$C$32,'Assumption-Base'!$A$3:$A$32,$B9,'Assumption-Base'!$B$3:$B$32,$C9)</f>
        <v>0.06</v>
      </c>
      <c r="F9" s="14">
        <f t="shared" si="0"/>
        <v>9748436.7782000005</v>
      </c>
      <c r="G9" s="93">
        <f>SUMIFS('Assumption-Base'!$D$3:$D$32,'Assumption-Base'!$A$3:$A$32,$B9,'Assumption-Base'!$B$3:$B$32,$C9)</f>
        <v>1.0500000000000001E-2</v>
      </c>
      <c r="H9" s="94">
        <f t="shared" si="1"/>
        <v>102358.58617110002</v>
      </c>
      <c r="I9" s="92">
        <f>SUMIFS('Assumption-Base'!$E$3:$E$32,'Assumption-Base'!$A$3:$A$32,$B9,'Assumption-Base'!$B$3:$B$32,$C9)</f>
        <v>0.28000000000000003</v>
      </c>
      <c r="J9" s="14">
        <f t="shared" si="2"/>
        <v>28660.404127908008</v>
      </c>
      <c r="K9" s="95">
        <f>SUMIFS('Assumption-Base'!$F$3:$F$32,'Assumption-Base'!$A$3:$A$32,$B9,'Assumption-Base'!$B$3:$B$32,$C9)</f>
        <v>1.4999999999999999E-4</v>
      </c>
      <c r="L9" s="14">
        <f t="shared" si="3"/>
        <v>1462.2655167299999</v>
      </c>
      <c r="M9" s="94">
        <f t="shared" si="4"/>
        <v>72235.91652646201</v>
      </c>
      <c r="N9" s="92">
        <f>SUMIFS('Assumption-Base'!$G$3:$G$32,'Assumption-Base'!$A$3:$A$32,$B9,'Assumption-Base'!$B$3:$B$32,$C9)</f>
        <v>0.4</v>
      </c>
      <c r="O9" s="14">
        <f t="shared" si="5"/>
        <v>40943.434468440013</v>
      </c>
      <c r="P9" s="94">
        <f t="shared" si="6"/>
        <v>31292.482058021997</v>
      </c>
    </row>
    <row r="10" spans="1:16" x14ac:dyDescent="0.35">
      <c r="A10" s="91" t="str">
        <f>LEFT('2025 actual v budget'!A10,4)&amp;"26"</f>
        <v>Jan-26</v>
      </c>
      <c r="B10" s="12" t="str">
        <f>'2025 actual v budget'!B10</f>
        <v>Germany</v>
      </c>
      <c r="C10" s="12" t="str">
        <f>'2025 actual v budget'!C10</f>
        <v>Stablecoin Settlement</v>
      </c>
      <c r="D10" s="14">
        <f>'2025 actual v budget'!D10</f>
        <v>13908908.98</v>
      </c>
      <c r="E10" s="92">
        <f>SUMIFS('Assumption-Base'!$C$3:$C$32,'Assumption-Base'!$A$3:$A$32,$B10,'Assumption-Base'!$B$3:$B$32,$C10)</f>
        <v>0.12</v>
      </c>
      <c r="F10" s="14">
        <f t="shared" si="0"/>
        <v>15577978.057600003</v>
      </c>
      <c r="G10" s="93">
        <f>SUMIFS('Assumption-Base'!$D$3:$D$32,'Assumption-Base'!$A$3:$A$32,$B10,'Assumption-Base'!$B$3:$B$32,$C10)</f>
        <v>6.4999999999999997E-3</v>
      </c>
      <c r="H10" s="94">
        <f t="shared" si="1"/>
        <v>101256.85737440002</v>
      </c>
      <c r="I10" s="92">
        <f>SUMIFS('Assumption-Base'!$E$3:$E$32,'Assumption-Base'!$A$3:$A$32,$B10,'Assumption-Base'!$B$3:$B$32,$C10)</f>
        <v>0.32</v>
      </c>
      <c r="J10" s="14">
        <f t="shared" si="2"/>
        <v>32402.194359808007</v>
      </c>
      <c r="K10" s="95">
        <f>SUMIFS('Assumption-Base'!$F$3:$F$32,'Assumption-Base'!$A$3:$A$32,$B10,'Assumption-Base'!$B$3:$B$32,$C10)</f>
        <v>1.4999999999999999E-4</v>
      </c>
      <c r="L10" s="14">
        <f t="shared" si="3"/>
        <v>2336.69670864</v>
      </c>
      <c r="M10" s="94">
        <f t="shared" si="4"/>
        <v>66517.96630595201</v>
      </c>
      <c r="N10" s="92">
        <f>SUMIFS('Assumption-Base'!$G$3:$G$32,'Assumption-Base'!$A$3:$A$32,$B10,'Assumption-Base'!$B$3:$B$32,$C10)</f>
        <v>0.4</v>
      </c>
      <c r="O10" s="14">
        <f t="shared" si="5"/>
        <v>40502.74294976001</v>
      </c>
      <c r="P10" s="94">
        <f t="shared" si="6"/>
        <v>26015.223356192</v>
      </c>
    </row>
    <row r="11" spans="1:16" x14ac:dyDescent="0.35">
      <c r="A11" s="91" t="str">
        <f>LEFT('2025 actual v budget'!A11,4)&amp;"26"</f>
        <v>Jan-26</v>
      </c>
      <c r="B11" s="12" t="str">
        <f>'2025 actual v budget'!B11</f>
        <v>Germany</v>
      </c>
      <c r="C11" s="12" t="str">
        <f>'2025 actual v budget'!C11</f>
        <v>Treasury Yield</v>
      </c>
      <c r="D11" s="14">
        <f>'2025 actual v budget'!D11</f>
        <v>3875286.16</v>
      </c>
      <c r="E11" s="92">
        <f>SUMIFS('Assumption-Base'!$C$3:$C$32,'Assumption-Base'!$A$3:$A$32,$B11,'Assumption-Base'!$B$3:$B$32,$C11)</f>
        <v>0.06</v>
      </c>
      <c r="F11" s="14">
        <f t="shared" si="0"/>
        <v>4107803.3296000003</v>
      </c>
      <c r="G11" s="93">
        <f>SUMIFS('Assumption-Base'!$D$3:$D$32,'Assumption-Base'!$A$3:$A$32,$B11,'Assumption-Base'!$B$3:$B$32,$C11)</f>
        <v>3.0000000000000001E-3</v>
      </c>
      <c r="H11" s="94">
        <f t="shared" si="1"/>
        <v>12323.409988800002</v>
      </c>
      <c r="I11" s="92">
        <f>SUMIFS('Assumption-Base'!$E$3:$E$32,'Assumption-Base'!$A$3:$A$32,$B11,'Assumption-Base'!$B$3:$B$32,$C11)</f>
        <v>0.18</v>
      </c>
      <c r="J11" s="14">
        <f t="shared" si="2"/>
        <v>2218.2137979840004</v>
      </c>
      <c r="K11" s="95">
        <f>SUMIFS('Assumption-Base'!$F$3:$F$32,'Assumption-Base'!$A$3:$A$32,$B11,'Assumption-Base'!$B$3:$B$32,$C11)</f>
        <v>1.4999999999999999E-4</v>
      </c>
      <c r="L11" s="14">
        <f t="shared" si="3"/>
        <v>616.17049943999996</v>
      </c>
      <c r="M11" s="94">
        <f t="shared" si="4"/>
        <v>9489.0256913760004</v>
      </c>
      <c r="N11" s="92">
        <f>SUMIFS('Assumption-Base'!$G$3:$G$32,'Assumption-Base'!$A$3:$A$32,$B11,'Assumption-Base'!$B$3:$B$32,$C11)</f>
        <v>0.4</v>
      </c>
      <c r="O11" s="14">
        <f t="shared" si="5"/>
        <v>4929.3639955200015</v>
      </c>
      <c r="P11" s="94">
        <f t="shared" si="6"/>
        <v>4559.6616958559989</v>
      </c>
    </row>
    <row r="12" spans="1:16" x14ac:dyDescent="0.35">
      <c r="A12" s="91" t="str">
        <f>LEFT('2025 actual v budget'!A12,4)&amp;"26"</f>
        <v>Jan-26</v>
      </c>
      <c r="B12" s="12" t="str">
        <f>'2025 actual v budget'!B12</f>
        <v>Germany</v>
      </c>
      <c r="C12" s="12" t="str">
        <f>'2025 actual v budget'!C12</f>
        <v>Virtual Accounts</v>
      </c>
      <c r="D12" s="14">
        <f>'2025 actual v budget'!D12</f>
        <v>5667179.0199999996</v>
      </c>
      <c r="E12" s="92">
        <f>SUMIFS('Assumption-Base'!$C$3:$C$32,'Assumption-Base'!$A$3:$A$32,$B12,'Assumption-Base'!$B$3:$B$32,$C12)</f>
        <v>0.06</v>
      </c>
      <c r="F12" s="14">
        <f t="shared" si="0"/>
        <v>6007209.7611999996</v>
      </c>
      <c r="G12" s="93">
        <f>SUMIFS('Assumption-Base'!$D$3:$D$32,'Assumption-Base'!$A$3:$A$32,$B12,'Assumption-Base'!$B$3:$B$32,$C12)</f>
        <v>4.4999999999999997E-3</v>
      </c>
      <c r="H12" s="94">
        <f t="shared" si="1"/>
        <v>27032.443925399995</v>
      </c>
      <c r="I12" s="92">
        <f>SUMIFS('Assumption-Base'!$E$3:$E$32,'Assumption-Base'!$A$3:$A$32,$B12,'Assumption-Base'!$B$3:$B$32,$C12)</f>
        <v>0.22</v>
      </c>
      <c r="J12" s="14">
        <f t="shared" si="2"/>
        <v>5947.1376635879988</v>
      </c>
      <c r="K12" s="95">
        <f>SUMIFS('Assumption-Base'!$F$3:$F$32,'Assumption-Base'!$A$3:$A$32,$B12,'Assumption-Base'!$B$3:$B$32,$C12)</f>
        <v>1.4999999999999999E-4</v>
      </c>
      <c r="L12" s="14">
        <f t="shared" si="3"/>
        <v>901.0814641799999</v>
      </c>
      <c r="M12" s="94">
        <f t="shared" si="4"/>
        <v>20184.224797631996</v>
      </c>
      <c r="N12" s="92">
        <f>SUMIFS('Assumption-Base'!$G$3:$G$32,'Assumption-Base'!$A$3:$A$32,$B12,'Assumption-Base'!$B$3:$B$32,$C12)</f>
        <v>0.4</v>
      </c>
      <c r="O12" s="14">
        <f t="shared" si="5"/>
        <v>10812.977570159999</v>
      </c>
      <c r="P12" s="94">
        <f t="shared" si="6"/>
        <v>9371.2472274719967</v>
      </c>
    </row>
    <row r="13" spans="1:16" x14ac:dyDescent="0.35">
      <c r="A13" s="91" t="str">
        <f>LEFT('2025 actual v budget'!A13,4)&amp;"26"</f>
        <v>Jan-26</v>
      </c>
      <c r="B13" s="12" t="str">
        <f>'2025 actual v budget'!B13</f>
        <v>India</v>
      </c>
      <c r="C13" s="12" t="str">
        <f>'2025 actual v budget'!C13</f>
        <v>Cross-border Payouts</v>
      </c>
      <c r="D13" s="14">
        <f>'2025 actual v budget'!D13</f>
        <v>6873247.6100000003</v>
      </c>
      <c r="E13" s="92">
        <f>SUMIFS('Assumption-Base'!$C$3:$C$32,'Assumption-Base'!$A$3:$A$32,$B13,'Assumption-Base'!$B$3:$B$32,$C13)</f>
        <v>0.12</v>
      </c>
      <c r="F13" s="14">
        <f t="shared" si="0"/>
        <v>7698037.3232000014</v>
      </c>
      <c r="G13" s="93">
        <f>SUMIFS('Assumption-Base'!$D$3:$D$32,'Assumption-Base'!$A$3:$A$32,$B13,'Assumption-Base'!$B$3:$B$32,$C13)</f>
        <v>7.4999999999999997E-3</v>
      </c>
      <c r="H13" s="94">
        <f t="shared" si="1"/>
        <v>57735.279924000009</v>
      </c>
      <c r="I13" s="92">
        <f>SUMIFS('Assumption-Base'!$E$3:$E$32,'Assumption-Base'!$A$3:$A$32,$B13,'Assumption-Base'!$B$3:$B$32,$C13)</f>
        <v>0.35</v>
      </c>
      <c r="J13" s="14">
        <f t="shared" si="2"/>
        <v>20207.347973400003</v>
      </c>
      <c r="K13" s="95">
        <f>SUMIFS('Assumption-Base'!$F$3:$F$32,'Assumption-Base'!$A$3:$A$32,$B13,'Assumption-Base'!$B$3:$B$32,$C13)</f>
        <v>1.8000000000000001E-4</v>
      </c>
      <c r="L13" s="14">
        <f t="shared" si="3"/>
        <v>1385.6467181760004</v>
      </c>
      <c r="M13" s="94">
        <f t="shared" si="4"/>
        <v>36142.285232424001</v>
      </c>
      <c r="N13" s="92">
        <f>SUMIFS('Assumption-Base'!$G$3:$G$32,'Assumption-Base'!$A$3:$A$32,$B13,'Assumption-Base'!$B$3:$B$32,$C13)</f>
        <v>0.4</v>
      </c>
      <c r="O13" s="14">
        <f t="shared" si="5"/>
        <v>23094.111969600006</v>
      </c>
      <c r="P13" s="94">
        <f t="shared" si="6"/>
        <v>13048.173262823995</v>
      </c>
    </row>
    <row r="14" spans="1:16" x14ac:dyDescent="0.35">
      <c r="A14" s="91" t="str">
        <f>LEFT('2025 actual v budget'!A14,4)&amp;"26"</f>
        <v>Jan-26</v>
      </c>
      <c r="B14" s="12" t="str">
        <f>'2025 actual v budget'!B14</f>
        <v>India</v>
      </c>
      <c r="C14" s="12" t="str">
        <f>'2025 actual v budget'!C14</f>
        <v>FX Conversion</v>
      </c>
      <c r="D14" s="14">
        <f>'2025 actual v budget'!D14</f>
        <v>10890756.08</v>
      </c>
      <c r="E14" s="92">
        <f>SUMIFS('Assumption-Base'!$C$3:$C$32,'Assumption-Base'!$A$3:$A$32,$B14,'Assumption-Base'!$B$3:$B$32,$C14)</f>
        <v>0.12</v>
      </c>
      <c r="F14" s="14">
        <f t="shared" si="0"/>
        <v>12197646.809600001</v>
      </c>
      <c r="G14" s="93">
        <f>SUMIFS('Assumption-Base'!$D$3:$D$32,'Assumption-Base'!$A$3:$A$32,$B14,'Assumption-Base'!$B$3:$B$32,$C14)</f>
        <v>1.0500000000000001E-2</v>
      </c>
      <c r="H14" s="94">
        <f t="shared" si="1"/>
        <v>128075.29150080003</v>
      </c>
      <c r="I14" s="92">
        <f>SUMIFS('Assumption-Base'!$E$3:$E$32,'Assumption-Base'!$A$3:$A$32,$B14,'Assumption-Base'!$B$3:$B$32,$C14)</f>
        <v>0.28000000000000003</v>
      </c>
      <c r="J14" s="14">
        <f t="shared" si="2"/>
        <v>35861.081620224009</v>
      </c>
      <c r="K14" s="95">
        <f>SUMIFS('Assumption-Base'!$F$3:$F$32,'Assumption-Base'!$A$3:$A$32,$B14,'Assumption-Base'!$B$3:$B$32,$C14)</f>
        <v>1.8000000000000001E-4</v>
      </c>
      <c r="L14" s="14">
        <f t="shared" si="3"/>
        <v>2195.5764257280002</v>
      </c>
      <c r="M14" s="94">
        <f t="shared" si="4"/>
        <v>90018.633454848023</v>
      </c>
      <c r="N14" s="92">
        <f>SUMIFS('Assumption-Base'!$G$3:$G$32,'Assumption-Base'!$A$3:$A$32,$B14,'Assumption-Base'!$B$3:$B$32,$C14)</f>
        <v>0.4</v>
      </c>
      <c r="O14" s="14">
        <f t="shared" si="5"/>
        <v>51230.116600320012</v>
      </c>
      <c r="P14" s="94">
        <f t="shared" si="6"/>
        <v>38788.51685452801</v>
      </c>
    </row>
    <row r="15" spans="1:16" x14ac:dyDescent="0.35">
      <c r="A15" s="91" t="str">
        <f>LEFT('2025 actual v budget'!A15,4)&amp;"26"</f>
        <v>Jan-26</v>
      </c>
      <c r="B15" s="12" t="str">
        <f>'2025 actual v budget'!B15</f>
        <v>India</v>
      </c>
      <c r="C15" s="12" t="str">
        <f>'2025 actual v budget'!C15</f>
        <v>Stablecoin Settlement</v>
      </c>
      <c r="D15" s="14">
        <f>'2025 actual v budget'!D15</f>
        <v>16471076.43</v>
      </c>
      <c r="E15" s="92">
        <f>SUMIFS('Assumption-Base'!$C$3:$C$32,'Assumption-Base'!$A$3:$A$32,$B15,'Assumption-Base'!$B$3:$B$32,$C15)</f>
        <v>0.24</v>
      </c>
      <c r="F15" s="14">
        <f t="shared" si="0"/>
        <v>20424134.773199998</v>
      </c>
      <c r="G15" s="93">
        <f>SUMIFS('Assumption-Base'!$D$3:$D$32,'Assumption-Base'!$A$3:$A$32,$B15,'Assumption-Base'!$B$3:$B$32,$C15)</f>
        <v>6.4999999999999997E-3</v>
      </c>
      <c r="H15" s="94">
        <f t="shared" si="1"/>
        <v>132756.87602579998</v>
      </c>
      <c r="I15" s="92">
        <f>SUMIFS('Assumption-Base'!$E$3:$E$32,'Assumption-Base'!$A$3:$A$32,$B15,'Assumption-Base'!$B$3:$B$32,$C15)</f>
        <v>0.32</v>
      </c>
      <c r="J15" s="14">
        <f t="shared" si="2"/>
        <v>42482.200328255996</v>
      </c>
      <c r="K15" s="95">
        <f>SUMIFS('Assumption-Base'!$F$3:$F$32,'Assumption-Base'!$A$3:$A$32,$B15,'Assumption-Base'!$B$3:$B$32,$C15)</f>
        <v>1.8000000000000001E-4</v>
      </c>
      <c r="L15" s="14">
        <f t="shared" si="3"/>
        <v>3676.3442591759999</v>
      </c>
      <c r="M15" s="94">
        <f t="shared" si="4"/>
        <v>86598.331438367983</v>
      </c>
      <c r="N15" s="92">
        <f>SUMIFS('Assumption-Base'!$G$3:$G$32,'Assumption-Base'!$A$3:$A$32,$B15,'Assumption-Base'!$B$3:$B$32,$C15)</f>
        <v>0.4</v>
      </c>
      <c r="O15" s="14">
        <f t="shared" si="5"/>
        <v>53102.750410319997</v>
      </c>
      <c r="P15" s="94">
        <f t="shared" si="6"/>
        <v>33495.581028047985</v>
      </c>
    </row>
    <row r="16" spans="1:16" x14ac:dyDescent="0.35">
      <c r="A16" s="91" t="str">
        <f>LEFT('2025 actual v budget'!A16,4)&amp;"26"</f>
        <v>Jan-26</v>
      </c>
      <c r="B16" s="12" t="str">
        <f>'2025 actual v budget'!B16</f>
        <v>India</v>
      </c>
      <c r="C16" s="12" t="str">
        <f>'2025 actual v budget'!C16</f>
        <v>Treasury Yield</v>
      </c>
      <c r="D16" s="14">
        <f>'2025 actual v budget'!D16</f>
        <v>4589154.66</v>
      </c>
      <c r="E16" s="92">
        <f>SUMIFS('Assumption-Base'!$C$3:$C$32,'Assumption-Base'!$A$3:$A$32,$B16,'Assumption-Base'!$B$3:$B$32,$C16)</f>
        <v>0.12</v>
      </c>
      <c r="F16" s="14">
        <f t="shared" si="0"/>
        <v>5139853.2192000011</v>
      </c>
      <c r="G16" s="93">
        <f>SUMIFS('Assumption-Base'!$D$3:$D$32,'Assumption-Base'!$A$3:$A$32,$B16,'Assumption-Base'!$B$3:$B$32,$C16)</f>
        <v>3.0000000000000001E-3</v>
      </c>
      <c r="H16" s="94">
        <f t="shared" si="1"/>
        <v>15419.559657600004</v>
      </c>
      <c r="I16" s="92">
        <f>SUMIFS('Assumption-Base'!$E$3:$E$32,'Assumption-Base'!$A$3:$A$32,$B16,'Assumption-Base'!$B$3:$B$32,$C16)</f>
        <v>0.18</v>
      </c>
      <c r="J16" s="14">
        <f t="shared" si="2"/>
        <v>2775.5207383680008</v>
      </c>
      <c r="K16" s="95">
        <f>SUMIFS('Assumption-Base'!$F$3:$F$32,'Assumption-Base'!$A$3:$A$32,$B16,'Assumption-Base'!$B$3:$B$32,$C16)</f>
        <v>1.8000000000000001E-4</v>
      </c>
      <c r="L16" s="14">
        <f t="shared" si="3"/>
        <v>925.17357945600031</v>
      </c>
      <c r="M16" s="94">
        <f t="shared" si="4"/>
        <v>11718.865339776003</v>
      </c>
      <c r="N16" s="92">
        <f>SUMIFS('Assumption-Base'!$G$3:$G$32,'Assumption-Base'!$A$3:$A$32,$B16,'Assumption-Base'!$B$3:$B$32,$C16)</f>
        <v>0.4</v>
      </c>
      <c r="O16" s="14">
        <f t="shared" si="5"/>
        <v>6167.8238630400019</v>
      </c>
      <c r="P16" s="94">
        <f t="shared" si="6"/>
        <v>5551.0414767360007</v>
      </c>
    </row>
    <row r="17" spans="1:16" x14ac:dyDescent="0.35">
      <c r="A17" s="91" t="str">
        <f>LEFT('2025 actual v budget'!A17,4)&amp;"26"</f>
        <v>Jan-26</v>
      </c>
      <c r="B17" s="12" t="str">
        <f>'2025 actual v budget'!B17</f>
        <v>India</v>
      </c>
      <c r="C17" s="12" t="str">
        <f>'2025 actual v budget'!C17</f>
        <v>Virtual Accounts</v>
      </c>
      <c r="D17" s="14">
        <f>'2025 actual v budget'!D17</f>
        <v>6711133.0499999998</v>
      </c>
      <c r="E17" s="92">
        <f>SUMIFS('Assumption-Base'!$C$3:$C$32,'Assumption-Base'!$A$3:$A$32,$B17,'Assumption-Base'!$B$3:$B$32,$C17)</f>
        <v>0.12</v>
      </c>
      <c r="F17" s="14">
        <f t="shared" si="0"/>
        <v>7516469.0160000008</v>
      </c>
      <c r="G17" s="93">
        <f>SUMIFS('Assumption-Base'!$D$3:$D$32,'Assumption-Base'!$A$3:$A$32,$B17,'Assumption-Base'!$B$3:$B$32,$C17)</f>
        <v>4.4999999999999997E-3</v>
      </c>
      <c r="H17" s="94">
        <f t="shared" si="1"/>
        <v>33824.110571999998</v>
      </c>
      <c r="I17" s="92">
        <f>SUMIFS('Assumption-Base'!$E$3:$E$32,'Assumption-Base'!$A$3:$A$32,$B17,'Assumption-Base'!$B$3:$B$32,$C17)</f>
        <v>0.22</v>
      </c>
      <c r="J17" s="14">
        <f t="shared" si="2"/>
        <v>7441.3043258399994</v>
      </c>
      <c r="K17" s="95">
        <f>SUMIFS('Assumption-Base'!$F$3:$F$32,'Assumption-Base'!$A$3:$A$32,$B17,'Assumption-Base'!$B$3:$B$32,$C17)</f>
        <v>1.8000000000000001E-4</v>
      </c>
      <c r="L17" s="14">
        <f t="shared" si="3"/>
        <v>1352.9644228800003</v>
      </c>
      <c r="M17" s="94">
        <f t="shared" si="4"/>
        <v>25029.84182328</v>
      </c>
      <c r="N17" s="92">
        <f>SUMIFS('Assumption-Base'!$G$3:$G$32,'Assumption-Base'!$A$3:$A$32,$B17,'Assumption-Base'!$B$3:$B$32,$C17)</f>
        <v>0.4</v>
      </c>
      <c r="O17" s="14">
        <f t="shared" si="5"/>
        <v>13529.6442288</v>
      </c>
      <c r="P17" s="94">
        <f t="shared" si="6"/>
        <v>11500.19759448</v>
      </c>
    </row>
    <row r="18" spans="1:16" x14ac:dyDescent="0.35">
      <c r="A18" s="91" t="str">
        <f>LEFT('2025 actual v budget'!A18,4)&amp;"26"</f>
        <v>Jan-26</v>
      </c>
      <c r="B18" s="12" t="str">
        <f>'2025 actual v budget'!B18</f>
        <v>Mexico</v>
      </c>
      <c r="C18" s="12" t="str">
        <f>'2025 actual v budget'!C18</f>
        <v>Cross-border Payouts</v>
      </c>
      <c r="D18" s="14">
        <f>'2025 actual v budget'!D18</f>
        <v>8400635.9700000007</v>
      </c>
      <c r="E18" s="92">
        <f>SUMIFS('Assumption-Base'!$C$3:$C$32,'Assumption-Base'!$A$3:$A$32,$B18,'Assumption-Base'!$B$3:$B$32,$C18)</f>
        <v>0.15</v>
      </c>
      <c r="F18" s="14">
        <f t="shared" si="0"/>
        <v>9660731.3654999994</v>
      </c>
      <c r="G18" s="93">
        <f>SUMIFS('Assumption-Base'!$D$3:$D$32,'Assumption-Base'!$A$3:$A$32,$B18,'Assumption-Base'!$B$3:$B$32,$C18)</f>
        <v>7.4999999999999997E-3</v>
      </c>
      <c r="H18" s="94">
        <f t="shared" si="1"/>
        <v>72455.485241249989</v>
      </c>
      <c r="I18" s="92">
        <f>SUMIFS('Assumption-Base'!$E$3:$E$32,'Assumption-Base'!$A$3:$A$32,$B18,'Assumption-Base'!$B$3:$B$32,$C18)</f>
        <v>0.35</v>
      </c>
      <c r="J18" s="14">
        <f t="shared" si="2"/>
        <v>25359.419834437496</v>
      </c>
      <c r="K18" s="95">
        <f>SUMIFS('Assumption-Base'!$F$3:$F$32,'Assumption-Base'!$A$3:$A$32,$B18,'Assumption-Base'!$B$3:$B$32,$C18)</f>
        <v>8.0000000000000007E-5</v>
      </c>
      <c r="L18" s="14">
        <f t="shared" si="3"/>
        <v>772.85850923999999</v>
      </c>
      <c r="M18" s="94">
        <f t="shared" si="4"/>
        <v>46323.206897572491</v>
      </c>
      <c r="N18" s="92">
        <f>SUMIFS('Assumption-Base'!$G$3:$G$32,'Assumption-Base'!$A$3:$A$32,$B18,'Assumption-Base'!$B$3:$B$32,$C18)</f>
        <v>0.4</v>
      </c>
      <c r="O18" s="14">
        <f t="shared" si="5"/>
        <v>28982.194096499996</v>
      </c>
      <c r="P18" s="94">
        <f t="shared" si="6"/>
        <v>17341.012801072495</v>
      </c>
    </row>
    <row r="19" spans="1:16" x14ac:dyDescent="0.35">
      <c r="A19" s="91" t="str">
        <f>LEFT('2025 actual v budget'!A19,4)&amp;"26"</f>
        <v>Jan-26</v>
      </c>
      <c r="B19" s="12" t="str">
        <f>'2025 actual v budget'!B19</f>
        <v>Mexico</v>
      </c>
      <c r="C19" s="12" t="str">
        <f>'2025 actual v budget'!C19</f>
        <v>FX Conversion</v>
      </c>
      <c r="D19" s="14">
        <f>'2025 actual v budget'!D19</f>
        <v>13310924.1</v>
      </c>
      <c r="E19" s="92">
        <f>SUMIFS('Assumption-Base'!$C$3:$C$32,'Assumption-Base'!$A$3:$A$32,$B19,'Assumption-Base'!$B$3:$B$32,$C19)</f>
        <v>0.15</v>
      </c>
      <c r="F19" s="14">
        <f t="shared" si="0"/>
        <v>15307562.714999998</v>
      </c>
      <c r="G19" s="93">
        <f>SUMIFS('Assumption-Base'!$D$3:$D$32,'Assumption-Base'!$A$3:$A$32,$B19,'Assumption-Base'!$B$3:$B$32,$C19)</f>
        <v>1.0500000000000001E-2</v>
      </c>
      <c r="H19" s="94">
        <f t="shared" si="1"/>
        <v>160729.40850749999</v>
      </c>
      <c r="I19" s="92">
        <f>SUMIFS('Assumption-Base'!$E$3:$E$32,'Assumption-Base'!$A$3:$A$32,$B19,'Assumption-Base'!$B$3:$B$32,$C19)</f>
        <v>0.28000000000000003</v>
      </c>
      <c r="J19" s="14">
        <f t="shared" si="2"/>
        <v>45004.234382100003</v>
      </c>
      <c r="K19" s="95">
        <f>SUMIFS('Assumption-Base'!$F$3:$F$32,'Assumption-Base'!$A$3:$A$32,$B19,'Assumption-Base'!$B$3:$B$32,$C19)</f>
        <v>8.0000000000000007E-5</v>
      </c>
      <c r="L19" s="14">
        <f t="shared" si="3"/>
        <v>1224.6050172</v>
      </c>
      <c r="M19" s="94">
        <f t="shared" si="4"/>
        <v>114500.5691082</v>
      </c>
      <c r="N19" s="92">
        <f>SUMIFS('Assumption-Base'!$G$3:$G$32,'Assumption-Base'!$A$3:$A$32,$B19,'Assumption-Base'!$B$3:$B$32,$C19)</f>
        <v>0.4</v>
      </c>
      <c r="O19" s="14">
        <f t="shared" si="5"/>
        <v>64291.763402999997</v>
      </c>
      <c r="P19" s="94">
        <f t="shared" si="6"/>
        <v>50208.8057052</v>
      </c>
    </row>
    <row r="20" spans="1:16" x14ac:dyDescent="0.35">
      <c r="A20" s="91" t="str">
        <f>LEFT('2025 actual v budget'!A20,4)&amp;"26"</f>
        <v>Jan-26</v>
      </c>
      <c r="B20" s="12" t="str">
        <f>'2025 actual v budget'!B20</f>
        <v>Mexico</v>
      </c>
      <c r="C20" s="12" t="str">
        <f>'2025 actual v budget'!C20</f>
        <v>Stablecoin Settlement</v>
      </c>
      <c r="D20" s="14">
        <f>'2025 actual v budget'!D20</f>
        <v>20131315.629999999</v>
      </c>
      <c r="E20" s="92">
        <f>SUMIFS('Assumption-Base'!$C$3:$C$32,'Assumption-Base'!$A$3:$A$32,$B20,'Assumption-Base'!$B$3:$B$32,$C20)</f>
        <v>0.3</v>
      </c>
      <c r="F20" s="14">
        <f t="shared" si="0"/>
        <v>26170710.318999998</v>
      </c>
      <c r="G20" s="93">
        <f>SUMIFS('Assumption-Base'!$D$3:$D$32,'Assumption-Base'!$A$3:$A$32,$B20,'Assumption-Base'!$B$3:$B$32,$C20)</f>
        <v>6.4999999999999997E-3</v>
      </c>
      <c r="H20" s="94">
        <f t="shared" si="1"/>
        <v>170109.61707349998</v>
      </c>
      <c r="I20" s="92">
        <f>SUMIFS('Assumption-Base'!$E$3:$E$32,'Assumption-Base'!$A$3:$A$32,$B20,'Assumption-Base'!$B$3:$B$32,$C20)</f>
        <v>0.32</v>
      </c>
      <c r="J20" s="14">
        <f t="shared" si="2"/>
        <v>54435.077463519992</v>
      </c>
      <c r="K20" s="95">
        <f>SUMIFS('Assumption-Base'!$F$3:$F$32,'Assumption-Base'!$A$3:$A$32,$B20,'Assumption-Base'!$B$3:$B$32,$C20)</f>
        <v>8.0000000000000007E-5</v>
      </c>
      <c r="L20" s="14">
        <f t="shared" si="3"/>
        <v>2093.65682552</v>
      </c>
      <c r="M20" s="94">
        <f t="shared" si="4"/>
        <v>113580.88278445999</v>
      </c>
      <c r="N20" s="92">
        <f>SUMIFS('Assumption-Base'!$G$3:$G$32,'Assumption-Base'!$A$3:$A$32,$B20,'Assumption-Base'!$B$3:$B$32,$C20)</f>
        <v>0.4</v>
      </c>
      <c r="O20" s="14">
        <f t="shared" si="5"/>
        <v>68043.84682939999</v>
      </c>
      <c r="P20" s="94">
        <f t="shared" si="6"/>
        <v>45537.035955059997</v>
      </c>
    </row>
    <row r="21" spans="1:16" x14ac:dyDescent="0.35">
      <c r="A21" s="91" t="str">
        <f>LEFT('2025 actual v budget'!A21,4)&amp;"26"</f>
        <v>Jan-26</v>
      </c>
      <c r="B21" s="12" t="str">
        <f>'2025 actual v budget'!B21</f>
        <v>Mexico</v>
      </c>
      <c r="C21" s="12" t="str">
        <f>'2025 actual v budget'!C21</f>
        <v>Treasury Yield</v>
      </c>
      <c r="D21" s="14">
        <f>'2025 actual v budget'!D21</f>
        <v>5608966.8099999996</v>
      </c>
      <c r="E21" s="92">
        <f>SUMIFS('Assumption-Base'!$C$3:$C$32,'Assumption-Base'!$A$3:$A$32,$B21,'Assumption-Base'!$B$3:$B$32,$C21)</f>
        <v>0.15</v>
      </c>
      <c r="F21" s="14">
        <f t="shared" si="0"/>
        <v>6450311.8314999994</v>
      </c>
      <c r="G21" s="93">
        <f>SUMIFS('Assumption-Base'!$D$3:$D$32,'Assumption-Base'!$A$3:$A$32,$B21,'Assumption-Base'!$B$3:$B$32,$C21)</f>
        <v>3.0000000000000001E-3</v>
      </c>
      <c r="H21" s="94">
        <f t="shared" si="1"/>
        <v>19350.935494499998</v>
      </c>
      <c r="I21" s="92">
        <f>SUMIFS('Assumption-Base'!$E$3:$E$32,'Assumption-Base'!$A$3:$A$32,$B21,'Assumption-Base'!$B$3:$B$32,$C21)</f>
        <v>0.18</v>
      </c>
      <c r="J21" s="14">
        <f t="shared" si="2"/>
        <v>3483.1683890099994</v>
      </c>
      <c r="K21" s="95">
        <f>SUMIFS('Assumption-Base'!$F$3:$F$32,'Assumption-Base'!$A$3:$A$32,$B21,'Assumption-Base'!$B$3:$B$32,$C21)</f>
        <v>8.0000000000000007E-5</v>
      </c>
      <c r="L21" s="14">
        <f t="shared" si="3"/>
        <v>516.02494651999996</v>
      </c>
      <c r="M21" s="94">
        <f t="shared" si="4"/>
        <v>15351.742158969999</v>
      </c>
      <c r="N21" s="92">
        <f>SUMIFS('Assumption-Base'!$G$3:$G$32,'Assumption-Base'!$A$3:$A$32,$B21,'Assumption-Base'!$B$3:$B$32,$C21)</f>
        <v>0.4</v>
      </c>
      <c r="O21" s="14">
        <f t="shared" si="5"/>
        <v>7740.3741977999998</v>
      </c>
      <c r="P21" s="94">
        <f t="shared" si="6"/>
        <v>7611.367961169999</v>
      </c>
    </row>
    <row r="22" spans="1:16" x14ac:dyDescent="0.35">
      <c r="A22" s="91" t="str">
        <f>LEFT('2025 actual v budget'!A22,4)&amp;"26"</f>
        <v>Jan-26</v>
      </c>
      <c r="B22" s="12" t="str">
        <f>'2025 actual v budget'!B22</f>
        <v>Mexico</v>
      </c>
      <c r="C22" s="12" t="str">
        <f>'2025 actual v budget'!C22</f>
        <v>Virtual Accounts</v>
      </c>
      <c r="D22" s="14">
        <f>'2025 actual v budget'!D22</f>
        <v>8202495.9500000002</v>
      </c>
      <c r="E22" s="92">
        <f>SUMIFS('Assumption-Base'!$C$3:$C$32,'Assumption-Base'!$A$3:$A$32,$B22,'Assumption-Base'!$B$3:$B$32,$C22)</f>
        <v>0.15</v>
      </c>
      <c r="F22" s="14">
        <f t="shared" si="0"/>
        <v>9432870.3424999993</v>
      </c>
      <c r="G22" s="93">
        <f>SUMIFS('Assumption-Base'!$D$3:$D$32,'Assumption-Base'!$A$3:$A$32,$B22,'Assumption-Base'!$B$3:$B$32,$C22)</f>
        <v>4.4999999999999997E-3</v>
      </c>
      <c r="H22" s="94">
        <f t="shared" si="1"/>
        <v>42447.916541249993</v>
      </c>
      <c r="I22" s="92">
        <f>SUMIFS('Assumption-Base'!$E$3:$E$32,'Assumption-Base'!$A$3:$A$32,$B22,'Assumption-Base'!$B$3:$B$32,$C22)</f>
        <v>0.22</v>
      </c>
      <c r="J22" s="14">
        <f t="shared" si="2"/>
        <v>9338.5416390749979</v>
      </c>
      <c r="K22" s="95">
        <f>SUMIFS('Assumption-Base'!$F$3:$F$32,'Assumption-Base'!$A$3:$A$32,$B22,'Assumption-Base'!$B$3:$B$32,$C22)</f>
        <v>8.0000000000000007E-5</v>
      </c>
      <c r="L22" s="14">
        <f t="shared" si="3"/>
        <v>754.6296274</v>
      </c>
      <c r="M22" s="94">
        <f t="shared" si="4"/>
        <v>32354.745274774996</v>
      </c>
      <c r="N22" s="92">
        <f>SUMIFS('Assumption-Base'!$G$3:$G$32,'Assumption-Base'!$A$3:$A$32,$B22,'Assumption-Base'!$B$3:$B$32,$C22)</f>
        <v>0.4</v>
      </c>
      <c r="O22" s="14">
        <f t="shared" si="5"/>
        <v>16979.166616499999</v>
      </c>
      <c r="P22" s="94">
        <f t="shared" si="6"/>
        <v>15375.578658274997</v>
      </c>
    </row>
    <row r="23" spans="1:16" x14ac:dyDescent="0.35">
      <c r="A23" s="91" t="str">
        <f>LEFT('2025 actual v budget'!A23,4)&amp;"26"</f>
        <v>Jan-26</v>
      </c>
      <c r="B23" s="12" t="str">
        <f>'2025 actual v budget'!B23</f>
        <v>Singapore</v>
      </c>
      <c r="C23" s="12" t="str">
        <f>'2025 actual v budget'!C23</f>
        <v>Cross-border Payouts</v>
      </c>
      <c r="D23" s="14">
        <f>'2025 actual v budget'!D23</f>
        <v>7331464.1200000001</v>
      </c>
      <c r="E23" s="92">
        <f>SUMIFS('Assumption-Base'!$C$3:$C$32,'Assumption-Base'!$A$3:$A$32,$B23,'Assumption-Base'!$B$3:$B$32,$C23)</f>
        <v>0.05</v>
      </c>
      <c r="F23" s="14">
        <f t="shared" si="0"/>
        <v>7698037.3260000004</v>
      </c>
      <c r="G23" s="93">
        <f>SUMIFS('Assumption-Base'!$D$3:$D$32,'Assumption-Base'!$A$3:$A$32,$B23,'Assumption-Base'!$B$3:$B$32,$C23)</f>
        <v>7.4999999999999997E-3</v>
      </c>
      <c r="H23" s="94">
        <f t="shared" si="1"/>
        <v>57735.279945000002</v>
      </c>
      <c r="I23" s="92">
        <f>SUMIFS('Assumption-Base'!$E$3:$E$32,'Assumption-Base'!$A$3:$A$32,$B23,'Assumption-Base'!$B$3:$B$32,$C23)</f>
        <v>0.35</v>
      </c>
      <c r="J23" s="14">
        <f t="shared" si="2"/>
        <v>20207.347980750001</v>
      </c>
      <c r="K23" s="95">
        <f>SUMIFS('Assumption-Base'!$F$3:$F$32,'Assumption-Base'!$A$3:$A$32,$B23,'Assumption-Base'!$B$3:$B$32,$C23)</f>
        <v>9.0000000000000006E-5</v>
      </c>
      <c r="L23" s="14">
        <f t="shared" si="3"/>
        <v>692.82335934000002</v>
      </c>
      <c r="M23" s="94">
        <f t="shared" si="4"/>
        <v>36835.108604910005</v>
      </c>
      <c r="N23" s="92">
        <f>SUMIFS('Assumption-Base'!$G$3:$G$32,'Assumption-Base'!$A$3:$A$32,$B23,'Assumption-Base'!$B$3:$B$32,$C23)</f>
        <v>0.4</v>
      </c>
      <c r="O23" s="14">
        <f t="shared" si="5"/>
        <v>23094.111978000001</v>
      </c>
      <c r="P23" s="94">
        <f t="shared" si="6"/>
        <v>13740.996626910004</v>
      </c>
    </row>
    <row r="24" spans="1:16" x14ac:dyDescent="0.35">
      <c r="A24" s="91" t="str">
        <f>LEFT('2025 actual v budget'!A24,4)&amp;"26"</f>
        <v>Jan-26</v>
      </c>
      <c r="B24" s="12" t="str">
        <f>'2025 actual v budget'!B24</f>
        <v>Singapore</v>
      </c>
      <c r="C24" s="12" t="str">
        <f>'2025 actual v budget'!C24</f>
        <v>FX Conversion</v>
      </c>
      <c r="D24" s="14">
        <f>'2025 actual v budget'!D24</f>
        <v>11616806.49</v>
      </c>
      <c r="E24" s="92">
        <f>SUMIFS('Assumption-Base'!$C$3:$C$32,'Assumption-Base'!$A$3:$A$32,$B24,'Assumption-Base'!$B$3:$B$32,$C24)</f>
        <v>0.05</v>
      </c>
      <c r="F24" s="14">
        <f t="shared" si="0"/>
        <v>12197646.8145</v>
      </c>
      <c r="G24" s="93">
        <f>SUMIFS('Assumption-Base'!$D$3:$D$32,'Assumption-Base'!$A$3:$A$32,$B24,'Assumption-Base'!$B$3:$B$32,$C24)</f>
        <v>1.0500000000000001E-2</v>
      </c>
      <c r="H24" s="94">
        <f t="shared" si="1"/>
        <v>128075.29155225001</v>
      </c>
      <c r="I24" s="92">
        <f>SUMIFS('Assumption-Base'!$E$3:$E$32,'Assumption-Base'!$A$3:$A$32,$B24,'Assumption-Base'!$B$3:$B$32,$C24)</f>
        <v>0.28000000000000003</v>
      </c>
      <c r="J24" s="14">
        <f t="shared" si="2"/>
        <v>35861.081634630005</v>
      </c>
      <c r="K24" s="95">
        <f>SUMIFS('Assumption-Base'!$F$3:$F$32,'Assumption-Base'!$A$3:$A$32,$B24,'Assumption-Base'!$B$3:$B$32,$C24)</f>
        <v>9.0000000000000006E-5</v>
      </c>
      <c r="L24" s="14">
        <f t="shared" si="3"/>
        <v>1097.788213305</v>
      </c>
      <c r="M24" s="94">
        <f t="shared" si="4"/>
        <v>91116.421704314998</v>
      </c>
      <c r="N24" s="92">
        <f>SUMIFS('Assumption-Base'!$G$3:$G$32,'Assumption-Base'!$A$3:$A$32,$B24,'Assumption-Base'!$B$3:$B$32,$C24)</f>
        <v>0.4</v>
      </c>
      <c r="O24" s="14">
        <f t="shared" si="5"/>
        <v>51230.116620900008</v>
      </c>
      <c r="P24" s="94">
        <f t="shared" si="6"/>
        <v>39886.305083414991</v>
      </c>
    </row>
    <row r="25" spans="1:16" x14ac:dyDescent="0.35">
      <c r="A25" s="91" t="str">
        <f>LEFT('2025 actual v budget'!A25,4)&amp;"26"</f>
        <v>Jan-26</v>
      </c>
      <c r="B25" s="12" t="str">
        <f>'2025 actual v budget'!B25</f>
        <v>Singapore</v>
      </c>
      <c r="C25" s="12" t="str">
        <f>'2025 actual v budget'!C25</f>
        <v>Stablecoin Settlement</v>
      </c>
      <c r="D25" s="14">
        <f>'2025 actual v budget'!D25</f>
        <v>17569148.190000001</v>
      </c>
      <c r="E25" s="92">
        <f>SUMIFS('Assumption-Base'!$C$3:$C$32,'Assumption-Base'!$A$3:$A$32,$B25,'Assumption-Base'!$B$3:$B$32,$C25)</f>
        <v>0.1</v>
      </c>
      <c r="F25" s="14">
        <f t="shared" si="0"/>
        <v>19326063.009000003</v>
      </c>
      <c r="G25" s="93">
        <f>SUMIFS('Assumption-Base'!$D$3:$D$32,'Assumption-Base'!$A$3:$A$32,$B25,'Assumption-Base'!$B$3:$B$32,$C25)</f>
        <v>6.4999999999999997E-3</v>
      </c>
      <c r="H25" s="94">
        <f t="shared" si="1"/>
        <v>125619.40955850002</v>
      </c>
      <c r="I25" s="92">
        <f>SUMIFS('Assumption-Base'!$E$3:$E$32,'Assumption-Base'!$A$3:$A$32,$B25,'Assumption-Base'!$B$3:$B$32,$C25)</f>
        <v>0.32</v>
      </c>
      <c r="J25" s="14">
        <f t="shared" si="2"/>
        <v>40198.211058720008</v>
      </c>
      <c r="K25" s="95">
        <f>SUMIFS('Assumption-Base'!$F$3:$F$32,'Assumption-Base'!$A$3:$A$32,$B25,'Assumption-Base'!$B$3:$B$32,$C25)</f>
        <v>9.0000000000000006E-5</v>
      </c>
      <c r="L25" s="14">
        <f t="shared" si="3"/>
        <v>1739.3456708100005</v>
      </c>
      <c r="M25" s="94">
        <f t="shared" si="4"/>
        <v>83681.852828970004</v>
      </c>
      <c r="N25" s="92">
        <f>SUMIFS('Assumption-Base'!$G$3:$G$32,'Assumption-Base'!$A$3:$A$32,$B25,'Assumption-Base'!$B$3:$B$32,$C25)</f>
        <v>0.4</v>
      </c>
      <c r="O25" s="14">
        <f t="shared" si="5"/>
        <v>50247.763823400011</v>
      </c>
      <c r="P25" s="94">
        <f t="shared" si="6"/>
        <v>33434.089005569993</v>
      </c>
    </row>
    <row r="26" spans="1:16" x14ac:dyDescent="0.35">
      <c r="A26" s="91" t="str">
        <f>LEFT('2025 actual v budget'!A26,4)&amp;"26"</f>
        <v>Jan-26</v>
      </c>
      <c r="B26" s="12" t="str">
        <f>'2025 actual v budget'!B26</f>
        <v>Singapore</v>
      </c>
      <c r="C26" s="12" t="str">
        <f>'2025 actual v budget'!C26</f>
        <v>Treasury Yield</v>
      </c>
      <c r="D26" s="14">
        <f>'2025 actual v budget'!D26</f>
        <v>4895098.3099999996</v>
      </c>
      <c r="E26" s="92">
        <f>SUMIFS('Assumption-Base'!$C$3:$C$32,'Assumption-Base'!$A$3:$A$32,$B26,'Assumption-Base'!$B$3:$B$32,$C26)</f>
        <v>0.05</v>
      </c>
      <c r="F26" s="14">
        <f t="shared" si="0"/>
        <v>5139853.2254999997</v>
      </c>
      <c r="G26" s="93">
        <f>SUMIFS('Assumption-Base'!$D$3:$D$32,'Assumption-Base'!$A$3:$A$32,$B26,'Assumption-Base'!$B$3:$B$32,$C26)</f>
        <v>3.0000000000000001E-3</v>
      </c>
      <c r="H26" s="94">
        <f t="shared" si="1"/>
        <v>15419.559676499999</v>
      </c>
      <c r="I26" s="92">
        <f>SUMIFS('Assumption-Base'!$E$3:$E$32,'Assumption-Base'!$A$3:$A$32,$B26,'Assumption-Base'!$B$3:$B$32,$C26)</f>
        <v>0.18</v>
      </c>
      <c r="J26" s="14">
        <f t="shared" si="2"/>
        <v>2775.5207417699999</v>
      </c>
      <c r="K26" s="95">
        <f>SUMIFS('Assumption-Base'!$F$3:$F$32,'Assumption-Base'!$A$3:$A$32,$B26,'Assumption-Base'!$B$3:$B$32,$C26)</f>
        <v>9.0000000000000006E-5</v>
      </c>
      <c r="L26" s="14">
        <f t="shared" si="3"/>
        <v>462.58679029500001</v>
      </c>
      <c r="M26" s="94">
        <f t="shared" si="4"/>
        <v>12181.452144434999</v>
      </c>
      <c r="N26" s="92">
        <f>SUMIFS('Assumption-Base'!$G$3:$G$32,'Assumption-Base'!$A$3:$A$32,$B26,'Assumption-Base'!$B$3:$B$32,$C26)</f>
        <v>0.4</v>
      </c>
      <c r="O26" s="14">
        <f t="shared" si="5"/>
        <v>6167.8238706000002</v>
      </c>
      <c r="P26" s="94">
        <f t="shared" si="6"/>
        <v>6013.6282738349992</v>
      </c>
    </row>
    <row r="27" spans="1:16" x14ac:dyDescent="0.35">
      <c r="A27" s="91" t="str">
        <f>LEFT('2025 actual v budget'!A27,4)&amp;"26"</f>
        <v>Jan-26</v>
      </c>
      <c r="B27" s="12" t="str">
        <f>'2025 actual v budget'!B27</f>
        <v>Singapore</v>
      </c>
      <c r="C27" s="12" t="str">
        <f>'2025 actual v budget'!C27</f>
        <v>Virtual Accounts</v>
      </c>
      <c r="D27" s="14">
        <f>'2025 actual v budget'!D27</f>
        <v>7158541.9199999999</v>
      </c>
      <c r="E27" s="92">
        <f>SUMIFS('Assumption-Base'!$C$3:$C$32,'Assumption-Base'!$A$3:$A$32,$B27,'Assumption-Base'!$B$3:$B$32,$C27)</f>
        <v>0.05</v>
      </c>
      <c r="F27" s="14">
        <f t="shared" si="0"/>
        <v>7516469.0159999998</v>
      </c>
      <c r="G27" s="93">
        <f>SUMIFS('Assumption-Base'!$D$3:$D$32,'Assumption-Base'!$A$3:$A$32,$B27,'Assumption-Base'!$B$3:$B$32,$C27)</f>
        <v>4.4999999999999997E-3</v>
      </c>
      <c r="H27" s="94">
        <f t="shared" si="1"/>
        <v>33824.110571999998</v>
      </c>
      <c r="I27" s="92">
        <f>SUMIFS('Assumption-Base'!$E$3:$E$32,'Assumption-Base'!$A$3:$A$32,$B27,'Assumption-Base'!$B$3:$B$32,$C27)</f>
        <v>0.22</v>
      </c>
      <c r="J27" s="14">
        <f t="shared" si="2"/>
        <v>7441.3043258399994</v>
      </c>
      <c r="K27" s="95">
        <f>SUMIFS('Assumption-Base'!$F$3:$F$32,'Assumption-Base'!$A$3:$A$32,$B27,'Assumption-Base'!$B$3:$B$32,$C27)</f>
        <v>9.0000000000000006E-5</v>
      </c>
      <c r="L27" s="14">
        <f t="shared" si="3"/>
        <v>676.48221144000001</v>
      </c>
      <c r="M27" s="94">
        <f t="shared" si="4"/>
        <v>25706.324034719997</v>
      </c>
      <c r="N27" s="92">
        <f>SUMIFS('Assumption-Base'!$G$3:$G$32,'Assumption-Base'!$A$3:$A$32,$B27,'Assumption-Base'!$B$3:$B$32,$C27)</f>
        <v>0.4</v>
      </c>
      <c r="O27" s="14">
        <f t="shared" si="5"/>
        <v>13529.6442288</v>
      </c>
      <c r="P27" s="94">
        <f t="shared" si="6"/>
        <v>12176.679805919997</v>
      </c>
    </row>
    <row r="28" spans="1:16" x14ac:dyDescent="0.35">
      <c r="A28" s="91" t="str">
        <f>LEFT('2025 actual v budget'!A28,4)&amp;"26"</f>
        <v>Jan-26</v>
      </c>
      <c r="B28" s="12" t="str">
        <f>'2025 actual v budget'!B28</f>
        <v>USA</v>
      </c>
      <c r="C28" s="12" t="str">
        <f>'2025 actual v budget'!C28</f>
        <v>Cross-border Payouts</v>
      </c>
      <c r="D28" s="14">
        <f>'2025 actual v budget'!D28</f>
        <v>18328660.289999999</v>
      </c>
      <c r="E28" s="92">
        <f>SUMIFS('Assumption-Base'!$C$3:$C$32,'Assumption-Base'!$A$3:$A$32,$B28,'Assumption-Base'!$B$3:$B$32,$C28)</f>
        <v>0.1</v>
      </c>
      <c r="F28" s="14">
        <f t="shared" si="0"/>
        <v>20161526.319000002</v>
      </c>
      <c r="G28" s="93">
        <f>SUMIFS('Assumption-Base'!$D$3:$D$32,'Assumption-Base'!$A$3:$A$32,$B28,'Assumption-Base'!$B$3:$B$32,$C28)</f>
        <v>7.4999999999999997E-3</v>
      </c>
      <c r="H28" s="94">
        <f t="shared" si="1"/>
        <v>151211.44739250001</v>
      </c>
      <c r="I28" s="92">
        <f>SUMIFS('Assumption-Base'!$E$3:$E$32,'Assumption-Base'!$A$3:$A$32,$B28,'Assumption-Base'!$B$3:$B$32,$C28)</f>
        <v>0.35</v>
      </c>
      <c r="J28" s="14">
        <f t="shared" si="2"/>
        <v>52924.006587374999</v>
      </c>
      <c r="K28" s="95">
        <f>SUMIFS('Assumption-Base'!$F$3:$F$32,'Assumption-Base'!$A$3:$A$32,$B28,'Assumption-Base'!$B$3:$B$32,$C28)</f>
        <v>2.0000000000000001E-4</v>
      </c>
      <c r="L28" s="14">
        <f t="shared" si="3"/>
        <v>4032.3052638000004</v>
      </c>
      <c r="M28" s="94">
        <f t="shared" si="4"/>
        <v>94255.135541325013</v>
      </c>
      <c r="N28" s="92">
        <f>SUMIFS('Assumption-Base'!$G$3:$G$32,'Assumption-Base'!$A$3:$A$32,$B28,'Assumption-Base'!$B$3:$B$32,$C28)</f>
        <v>0.4</v>
      </c>
      <c r="O28" s="14">
        <f t="shared" si="5"/>
        <v>60484.578957000005</v>
      </c>
      <c r="P28" s="94">
        <f t="shared" si="6"/>
        <v>33770.556584325008</v>
      </c>
    </row>
    <row r="29" spans="1:16" x14ac:dyDescent="0.35">
      <c r="A29" s="91" t="str">
        <f>LEFT('2025 actual v budget'!A29,4)&amp;"26"</f>
        <v>Jan-26</v>
      </c>
      <c r="B29" s="12" t="str">
        <f>'2025 actual v budget'!B29</f>
        <v>USA</v>
      </c>
      <c r="C29" s="12" t="str">
        <f>'2025 actual v budget'!C29</f>
        <v>FX Conversion</v>
      </c>
      <c r="D29" s="14">
        <f>'2025 actual v budget'!D29</f>
        <v>29042016.210000001</v>
      </c>
      <c r="E29" s="92">
        <f>SUMIFS('Assumption-Base'!$C$3:$C$32,'Assumption-Base'!$A$3:$A$32,$B29,'Assumption-Base'!$B$3:$B$32,$C29)</f>
        <v>0.1</v>
      </c>
      <c r="F29" s="14">
        <f t="shared" si="0"/>
        <v>31946217.831000004</v>
      </c>
      <c r="G29" s="93">
        <f>SUMIFS('Assumption-Base'!$D$3:$D$32,'Assumption-Base'!$A$3:$A$32,$B29,'Assumption-Base'!$B$3:$B$32,$C29)</f>
        <v>1.0500000000000001E-2</v>
      </c>
      <c r="H29" s="94">
        <f t="shared" si="1"/>
        <v>335435.28722550004</v>
      </c>
      <c r="I29" s="92">
        <f>SUMIFS('Assumption-Base'!$E$3:$E$32,'Assumption-Base'!$A$3:$A$32,$B29,'Assumption-Base'!$B$3:$B$32,$C29)</f>
        <v>0.28000000000000003</v>
      </c>
      <c r="J29" s="14">
        <f t="shared" si="2"/>
        <v>93921.880423140014</v>
      </c>
      <c r="K29" s="95">
        <f>SUMIFS('Assumption-Base'!$F$3:$F$32,'Assumption-Base'!$A$3:$A$32,$B29,'Assumption-Base'!$B$3:$B$32,$C29)</f>
        <v>2.0000000000000001E-4</v>
      </c>
      <c r="L29" s="14">
        <f t="shared" si="3"/>
        <v>6389.2435662000007</v>
      </c>
      <c r="M29" s="94">
        <f t="shared" si="4"/>
        <v>235124.16323616004</v>
      </c>
      <c r="N29" s="92">
        <f>SUMIFS('Assumption-Base'!$G$3:$G$32,'Assumption-Base'!$A$3:$A$32,$B29,'Assumption-Base'!$B$3:$B$32,$C29)</f>
        <v>0.4</v>
      </c>
      <c r="O29" s="14">
        <f t="shared" si="5"/>
        <v>134174.11489020003</v>
      </c>
      <c r="P29" s="94">
        <f t="shared" si="6"/>
        <v>100950.04834596001</v>
      </c>
    </row>
    <row r="30" spans="1:16" x14ac:dyDescent="0.35">
      <c r="A30" s="91" t="str">
        <f>LEFT('2025 actual v budget'!A30,4)&amp;"26"</f>
        <v>Jan-26</v>
      </c>
      <c r="B30" s="12" t="str">
        <f>'2025 actual v budget'!B30</f>
        <v>USA</v>
      </c>
      <c r="C30" s="12" t="str">
        <f>'2025 actual v budget'!C30</f>
        <v>Stablecoin Settlement</v>
      </c>
      <c r="D30" s="14">
        <f>'2025 actual v budget'!D30</f>
        <v>43922870.469999999</v>
      </c>
      <c r="E30" s="92">
        <f>SUMIFS('Assumption-Base'!$C$3:$C$32,'Assumption-Base'!$A$3:$A$32,$B30,'Assumption-Base'!$B$3:$B$32,$C30)</f>
        <v>0.2</v>
      </c>
      <c r="F30" s="14">
        <f t="shared" si="0"/>
        <v>52707444.563999996</v>
      </c>
      <c r="G30" s="93">
        <f>SUMIFS('Assumption-Base'!$D$3:$D$32,'Assumption-Base'!$A$3:$A$32,$B30,'Assumption-Base'!$B$3:$B$32,$C30)</f>
        <v>6.4999999999999997E-3</v>
      </c>
      <c r="H30" s="94">
        <f t="shared" si="1"/>
        <v>342598.38966599997</v>
      </c>
      <c r="I30" s="92">
        <f>SUMIFS('Assumption-Base'!$E$3:$E$32,'Assumption-Base'!$A$3:$A$32,$B30,'Assumption-Base'!$B$3:$B$32,$C30)</f>
        <v>0.32</v>
      </c>
      <c r="J30" s="14">
        <f t="shared" si="2"/>
        <v>109631.48469312</v>
      </c>
      <c r="K30" s="95">
        <f>SUMIFS('Assumption-Base'!$F$3:$F$32,'Assumption-Base'!$A$3:$A$32,$B30,'Assumption-Base'!$B$3:$B$32,$C30)</f>
        <v>2.0000000000000001E-4</v>
      </c>
      <c r="L30" s="14">
        <f t="shared" si="3"/>
        <v>10541.4889128</v>
      </c>
      <c r="M30" s="94">
        <f t="shared" si="4"/>
        <v>222425.41606007997</v>
      </c>
      <c r="N30" s="92">
        <f>SUMIFS('Assumption-Base'!$G$3:$G$32,'Assumption-Base'!$A$3:$A$32,$B30,'Assumption-Base'!$B$3:$B$32,$C30)</f>
        <v>0.4</v>
      </c>
      <c r="O30" s="14">
        <f t="shared" si="5"/>
        <v>137039.3558664</v>
      </c>
      <c r="P30" s="94">
        <f t="shared" si="6"/>
        <v>85386.060193679965</v>
      </c>
    </row>
    <row r="31" spans="1:16" x14ac:dyDescent="0.35">
      <c r="A31" s="91" t="str">
        <f>LEFT('2025 actual v budget'!A31,4)&amp;"26"</f>
        <v>Jan-26</v>
      </c>
      <c r="B31" s="12" t="str">
        <f>'2025 actual v budget'!B31</f>
        <v>USA</v>
      </c>
      <c r="C31" s="12" t="str">
        <f>'2025 actual v budget'!C31</f>
        <v>Treasury Yield</v>
      </c>
      <c r="D31" s="14">
        <f>'2025 actual v budget'!D31</f>
        <v>12237745.77</v>
      </c>
      <c r="E31" s="92">
        <f>SUMIFS('Assumption-Base'!$C$3:$C$32,'Assumption-Base'!$A$3:$A$32,$B31,'Assumption-Base'!$B$3:$B$32,$C31)</f>
        <v>0.1</v>
      </c>
      <c r="F31" s="14">
        <f t="shared" si="0"/>
        <v>13461520.347000001</v>
      </c>
      <c r="G31" s="93">
        <f>SUMIFS('Assumption-Base'!$D$3:$D$32,'Assumption-Base'!$A$3:$A$32,$B31,'Assumption-Base'!$B$3:$B$32,$C31)</f>
        <v>3.0000000000000001E-3</v>
      </c>
      <c r="H31" s="94">
        <f t="shared" si="1"/>
        <v>40384.561041000001</v>
      </c>
      <c r="I31" s="92">
        <f>SUMIFS('Assumption-Base'!$E$3:$E$32,'Assumption-Base'!$A$3:$A$32,$B31,'Assumption-Base'!$B$3:$B$32,$C31)</f>
        <v>0.18</v>
      </c>
      <c r="J31" s="14">
        <f t="shared" si="2"/>
        <v>7269.2209873800002</v>
      </c>
      <c r="K31" s="95">
        <f>SUMIFS('Assumption-Base'!$F$3:$F$32,'Assumption-Base'!$A$3:$A$32,$B31,'Assumption-Base'!$B$3:$B$32,$C31)</f>
        <v>2.0000000000000001E-4</v>
      </c>
      <c r="L31" s="14">
        <f t="shared" si="3"/>
        <v>2692.3040694000001</v>
      </c>
      <c r="M31" s="94">
        <f t="shared" si="4"/>
        <v>30423.035984219998</v>
      </c>
      <c r="N31" s="92">
        <f>SUMIFS('Assumption-Base'!$G$3:$G$32,'Assumption-Base'!$A$3:$A$32,$B31,'Assumption-Base'!$B$3:$B$32,$C31)</f>
        <v>0.4</v>
      </c>
      <c r="O31" s="14">
        <f t="shared" si="5"/>
        <v>16153.824416400001</v>
      </c>
      <c r="P31" s="94">
        <f t="shared" si="6"/>
        <v>14269.211567819997</v>
      </c>
    </row>
    <row r="32" spans="1:16" x14ac:dyDescent="0.35">
      <c r="A32" s="91" t="str">
        <f>LEFT('2025 actual v budget'!A32,4)&amp;"26"</f>
        <v>Jan-26</v>
      </c>
      <c r="B32" s="12" t="str">
        <f>'2025 actual v budget'!B32</f>
        <v>USA</v>
      </c>
      <c r="C32" s="12" t="str">
        <f>'2025 actual v budget'!C32</f>
        <v>Virtual Accounts</v>
      </c>
      <c r="D32" s="14">
        <f>'2025 actual v budget'!D32</f>
        <v>17896354.809999999</v>
      </c>
      <c r="E32" s="92">
        <f>SUMIFS('Assumption-Base'!$C$3:$C$32,'Assumption-Base'!$A$3:$A$32,$B32,'Assumption-Base'!$B$3:$B$32,$C32)</f>
        <v>0.1</v>
      </c>
      <c r="F32" s="14">
        <f t="shared" si="0"/>
        <v>19685990.291000001</v>
      </c>
      <c r="G32" s="93">
        <f>SUMIFS('Assumption-Base'!$D$3:$D$32,'Assumption-Base'!$A$3:$A$32,$B32,'Assumption-Base'!$B$3:$B$32,$C32)</f>
        <v>4.4999999999999997E-3</v>
      </c>
      <c r="H32" s="94">
        <f t="shared" si="1"/>
        <v>88586.956309500005</v>
      </c>
      <c r="I32" s="92">
        <f>SUMIFS('Assumption-Base'!$E$3:$E$32,'Assumption-Base'!$A$3:$A$32,$B32,'Assumption-Base'!$B$3:$B$32,$C32)</f>
        <v>0.22</v>
      </c>
      <c r="J32" s="14">
        <f t="shared" si="2"/>
        <v>19489.130388090001</v>
      </c>
      <c r="K32" s="95">
        <f>SUMIFS('Assumption-Base'!$F$3:$F$32,'Assumption-Base'!$A$3:$A$32,$B32,'Assumption-Base'!$B$3:$B$32,$C32)</f>
        <v>2.0000000000000001E-4</v>
      </c>
      <c r="L32" s="14">
        <f t="shared" si="3"/>
        <v>3937.1980582000006</v>
      </c>
      <c r="M32" s="94">
        <f t="shared" si="4"/>
        <v>65160.627863209993</v>
      </c>
      <c r="N32" s="92">
        <f>SUMIFS('Assumption-Base'!$G$3:$G$32,'Assumption-Base'!$A$3:$A$32,$B32,'Assumption-Base'!$B$3:$B$32,$C32)</f>
        <v>0.4</v>
      </c>
      <c r="O32" s="14">
        <f t="shared" si="5"/>
        <v>35434.7825238</v>
      </c>
      <c r="P32" s="94">
        <f t="shared" si="6"/>
        <v>29725.845339409992</v>
      </c>
    </row>
    <row r="33" spans="1:16" x14ac:dyDescent="0.35">
      <c r="A33" s="96" t="str">
        <f>LEFT('2025 actual v budget'!A33,4)&amp;"26"</f>
        <v>Feb-26</v>
      </c>
      <c r="B33" s="17" t="str">
        <f>'2025 actual v budget'!B33</f>
        <v>Brazil</v>
      </c>
      <c r="C33" s="17" t="str">
        <f>'2025 actual v budget'!C33</f>
        <v>Cross-border Payouts</v>
      </c>
      <c r="D33" s="19">
        <f>'2025 actual v budget'!D33</f>
        <v>11369618.029999999</v>
      </c>
      <c r="E33" s="97">
        <f>SUMIFS('Assumption-Base'!$C$3:$C$32,'Assumption-Base'!$A$3:$A$32,$B33,'Assumption-Base'!$B$3:$B$32,$C33)</f>
        <v>0.2</v>
      </c>
      <c r="F33" s="19">
        <f t="shared" si="0"/>
        <v>13643541.635999998</v>
      </c>
      <c r="G33" s="98">
        <f>SUMIFS('Assumption-Base'!$D$3:$D$32,'Assumption-Base'!$A$3:$A$32,$B33,'Assumption-Base'!$B$3:$B$32,$C33)</f>
        <v>7.4999999999999997E-3</v>
      </c>
      <c r="H33" s="99">
        <f t="shared" si="1"/>
        <v>102326.56226999998</v>
      </c>
      <c r="I33" s="97">
        <f>SUMIFS('Assumption-Base'!$E$3:$E$32,'Assumption-Base'!$A$3:$A$32,$B33,'Assumption-Base'!$B$3:$B$32,$C33)</f>
        <v>0.35</v>
      </c>
      <c r="J33" s="19">
        <f t="shared" si="2"/>
        <v>35814.296794499991</v>
      </c>
      <c r="K33" s="100">
        <f>SUMIFS('Assumption-Base'!$F$3:$F$32,'Assumption-Base'!$A$3:$A$32,$B33,'Assumption-Base'!$B$3:$B$32,$C33)</f>
        <v>6.9999999999999994E-5</v>
      </c>
      <c r="L33" s="19">
        <f t="shared" si="3"/>
        <v>955.04791451999984</v>
      </c>
      <c r="M33" s="99">
        <f t="shared" si="4"/>
        <v>65557.217560980003</v>
      </c>
      <c r="N33" s="97">
        <f>SUMIFS('Assumption-Base'!$G$3:$G$32,'Assumption-Base'!$A$3:$A$32,$B33,'Assumption-Base'!$B$3:$B$32,$C33)</f>
        <v>0.4</v>
      </c>
      <c r="O33" s="19">
        <f t="shared" si="5"/>
        <v>40930.624907999998</v>
      </c>
      <c r="P33" s="99">
        <f t="shared" si="6"/>
        <v>24626.592652980005</v>
      </c>
    </row>
    <row r="34" spans="1:16" x14ac:dyDescent="0.35">
      <c r="A34" s="96" t="str">
        <f>LEFT('2025 actual v budget'!A34,4)&amp;"26"</f>
        <v>Feb-26</v>
      </c>
      <c r="B34" s="17" t="str">
        <f>'2025 actual v budget'!B34</f>
        <v>Brazil</v>
      </c>
      <c r="C34" s="17" t="str">
        <f>'2025 actual v budget'!C34</f>
        <v>FX Conversion</v>
      </c>
      <c r="D34" s="19">
        <f>'2025 actual v budget'!D34</f>
        <v>18160814.719999999</v>
      </c>
      <c r="E34" s="97">
        <f>SUMIFS('Assumption-Base'!$C$3:$C$32,'Assumption-Base'!$A$3:$A$32,$B34,'Assumption-Base'!$B$3:$B$32,$C34)</f>
        <v>0.2</v>
      </c>
      <c r="F34" s="19">
        <f t="shared" si="0"/>
        <v>21792977.663999997</v>
      </c>
      <c r="G34" s="98">
        <f>SUMIFS('Assumption-Base'!$D$3:$D$32,'Assumption-Base'!$A$3:$A$32,$B34,'Assumption-Base'!$B$3:$B$32,$C34)</f>
        <v>1.0500000000000001E-2</v>
      </c>
      <c r="H34" s="99">
        <f t="shared" si="1"/>
        <v>228826.26547199997</v>
      </c>
      <c r="I34" s="97">
        <f>SUMIFS('Assumption-Base'!$E$3:$E$32,'Assumption-Base'!$A$3:$A$32,$B34,'Assumption-Base'!$B$3:$B$32,$C34)</f>
        <v>0.28000000000000003</v>
      </c>
      <c r="J34" s="19">
        <f t="shared" si="2"/>
        <v>64071.354332160001</v>
      </c>
      <c r="K34" s="100">
        <f>SUMIFS('Assumption-Base'!$F$3:$F$32,'Assumption-Base'!$A$3:$A$32,$B34,'Assumption-Base'!$B$3:$B$32,$C34)</f>
        <v>6.9999999999999994E-5</v>
      </c>
      <c r="L34" s="19">
        <f t="shared" si="3"/>
        <v>1525.5084364799998</v>
      </c>
      <c r="M34" s="99">
        <f t="shared" si="4"/>
        <v>163229.40270335996</v>
      </c>
      <c r="N34" s="97">
        <f>SUMIFS('Assumption-Base'!$G$3:$G$32,'Assumption-Base'!$A$3:$A$32,$B34,'Assumption-Base'!$B$3:$B$32,$C34)</f>
        <v>0.4</v>
      </c>
      <c r="O34" s="19">
        <f t="shared" si="5"/>
        <v>91530.506188799991</v>
      </c>
      <c r="P34" s="99">
        <f t="shared" si="6"/>
        <v>71698.896514559965</v>
      </c>
    </row>
    <row r="35" spans="1:16" x14ac:dyDescent="0.35">
      <c r="A35" s="96" t="str">
        <f>LEFT('2025 actual v budget'!A35,4)&amp;"26"</f>
        <v>Feb-26</v>
      </c>
      <c r="B35" s="17" t="str">
        <f>'2025 actual v budget'!B35</f>
        <v>Brazil</v>
      </c>
      <c r="C35" s="17" t="str">
        <f>'2025 actual v budget'!C35</f>
        <v>Stablecoin Settlement</v>
      </c>
      <c r="D35" s="19">
        <f>'2025 actual v budget'!D35</f>
        <v>26833248.969999999</v>
      </c>
      <c r="E35" s="97">
        <f>SUMIFS('Assumption-Base'!$C$3:$C$32,'Assumption-Base'!$A$3:$A$32,$B35,'Assumption-Base'!$B$3:$B$32,$C35)</f>
        <v>0.4</v>
      </c>
      <c r="F35" s="19">
        <f t="shared" si="0"/>
        <v>37566548.557999998</v>
      </c>
      <c r="G35" s="98">
        <f>SUMIFS('Assumption-Base'!$D$3:$D$32,'Assumption-Base'!$A$3:$A$32,$B35,'Assumption-Base'!$B$3:$B$32,$C35)</f>
        <v>6.4999999999999997E-3</v>
      </c>
      <c r="H35" s="99">
        <f t="shared" si="1"/>
        <v>244182.56562699997</v>
      </c>
      <c r="I35" s="97">
        <f>SUMIFS('Assumption-Base'!$E$3:$E$32,'Assumption-Base'!$A$3:$A$32,$B35,'Assumption-Base'!$B$3:$B$32,$C35)</f>
        <v>0.32</v>
      </c>
      <c r="J35" s="19">
        <f t="shared" si="2"/>
        <v>78138.421000639995</v>
      </c>
      <c r="K35" s="100">
        <f>SUMIFS('Assumption-Base'!$F$3:$F$32,'Assumption-Base'!$A$3:$A$32,$B35,'Assumption-Base'!$B$3:$B$32,$C35)</f>
        <v>6.9999999999999994E-5</v>
      </c>
      <c r="L35" s="19">
        <f t="shared" si="3"/>
        <v>2629.6583990599997</v>
      </c>
      <c r="M35" s="99">
        <f t="shared" si="4"/>
        <v>163414.48622729999</v>
      </c>
      <c r="N35" s="97">
        <f>SUMIFS('Assumption-Base'!$G$3:$G$32,'Assumption-Base'!$A$3:$A$32,$B35,'Assumption-Base'!$B$3:$B$32,$C35)</f>
        <v>0.4</v>
      </c>
      <c r="O35" s="19">
        <f t="shared" si="5"/>
        <v>97673.026250800001</v>
      </c>
      <c r="P35" s="99">
        <f t="shared" si="6"/>
        <v>65741.459976499988</v>
      </c>
    </row>
    <row r="36" spans="1:16" x14ac:dyDescent="0.35">
      <c r="A36" s="96" t="str">
        <f>LEFT('2025 actual v budget'!A36,4)&amp;"26"</f>
        <v>Feb-26</v>
      </c>
      <c r="B36" s="17" t="str">
        <f>'2025 actual v budget'!B36</f>
        <v>Brazil</v>
      </c>
      <c r="C36" s="17" t="str">
        <f>'2025 actual v budget'!C36</f>
        <v>Treasury Yield</v>
      </c>
      <c r="D36" s="19">
        <f>'2025 actual v budget'!D36</f>
        <v>7516502.7199999997</v>
      </c>
      <c r="E36" s="97">
        <f>SUMIFS('Assumption-Base'!$C$3:$C$32,'Assumption-Base'!$A$3:$A$32,$B36,'Assumption-Base'!$B$3:$B$32,$C36)</f>
        <v>0.2</v>
      </c>
      <c r="F36" s="19">
        <f t="shared" si="0"/>
        <v>9019803.2639999986</v>
      </c>
      <c r="G36" s="98">
        <f>SUMIFS('Assumption-Base'!$D$3:$D$32,'Assumption-Base'!$A$3:$A$32,$B36,'Assumption-Base'!$B$3:$B$32,$C36)</f>
        <v>3.0000000000000001E-3</v>
      </c>
      <c r="H36" s="99">
        <f t="shared" si="1"/>
        <v>27059.409791999995</v>
      </c>
      <c r="I36" s="97">
        <f>SUMIFS('Assumption-Base'!$E$3:$E$32,'Assumption-Base'!$A$3:$A$32,$B36,'Assumption-Base'!$B$3:$B$32,$C36)</f>
        <v>0.18</v>
      </c>
      <c r="J36" s="19">
        <f t="shared" si="2"/>
        <v>4870.6937625599985</v>
      </c>
      <c r="K36" s="100">
        <f>SUMIFS('Assumption-Base'!$F$3:$F$32,'Assumption-Base'!$A$3:$A$32,$B36,'Assumption-Base'!$B$3:$B$32,$C36)</f>
        <v>6.9999999999999994E-5</v>
      </c>
      <c r="L36" s="19">
        <f t="shared" si="3"/>
        <v>631.38622847999989</v>
      </c>
      <c r="M36" s="99">
        <f t="shared" si="4"/>
        <v>21557.329800959993</v>
      </c>
      <c r="N36" s="97">
        <f>SUMIFS('Assumption-Base'!$G$3:$G$32,'Assumption-Base'!$A$3:$A$32,$B36,'Assumption-Base'!$B$3:$B$32,$C36)</f>
        <v>0.4</v>
      </c>
      <c r="O36" s="19">
        <f t="shared" si="5"/>
        <v>10823.763916799999</v>
      </c>
      <c r="P36" s="99">
        <f t="shared" si="6"/>
        <v>10733.565884159994</v>
      </c>
    </row>
    <row r="37" spans="1:16" x14ac:dyDescent="0.35">
      <c r="A37" s="96" t="str">
        <f>LEFT('2025 actual v budget'!A37,4)&amp;"26"</f>
        <v>Feb-26</v>
      </c>
      <c r="B37" s="17" t="str">
        <f>'2025 actual v budget'!B37</f>
        <v>Brazil</v>
      </c>
      <c r="C37" s="17" t="str">
        <f>'2025 actual v budget'!C37</f>
        <v>Virtual Accounts</v>
      </c>
      <c r="D37" s="19">
        <f>'2025 actual v budget'!D37</f>
        <v>10915992.92</v>
      </c>
      <c r="E37" s="97">
        <f>SUMIFS('Assumption-Base'!$C$3:$C$32,'Assumption-Base'!$A$3:$A$32,$B37,'Assumption-Base'!$B$3:$B$32,$C37)</f>
        <v>0.2</v>
      </c>
      <c r="F37" s="19">
        <f t="shared" si="0"/>
        <v>13099191.503999999</v>
      </c>
      <c r="G37" s="98">
        <f>SUMIFS('Assumption-Base'!$D$3:$D$32,'Assumption-Base'!$A$3:$A$32,$B37,'Assumption-Base'!$B$3:$B$32,$C37)</f>
        <v>4.4999999999999997E-3</v>
      </c>
      <c r="H37" s="99">
        <f t="shared" si="1"/>
        <v>58946.361767999988</v>
      </c>
      <c r="I37" s="97">
        <f>SUMIFS('Assumption-Base'!$E$3:$E$32,'Assumption-Base'!$A$3:$A$32,$B37,'Assumption-Base'!$B$3:$B$32,$C37)</f>
        <v>0.22</v>
      </c>
      <c r="J37" s="19">
        <f t="shared" si="2"/>
        <v>12968.199588959997</v>
      </c>
      <c r="K37" s="100">
        <f>SUMIFS('Assumption-Base'!$F$3:$F$32,'Assumption-Base'!$A$3:$A$32,$B37,'Assumption-Base'!$B$3:$B$32,$C37)</f>
        <v>6.9999999999999994E-5</v>
      </c>
      <c r="L37" s="19">
        <f t="shared" si="3"/>
        <v>916.94340527999987</v>
      </c>
      <c r="M37" s="99">
        <f t="shared" si="4"/>
        <v>45061.218773759996</v>
      </c>
      <c r="N37" s="97">
        <f>SUMIFS('Assumption-Base'!$G$3:$G$32,'Assumption-Base'!$A$3:$A$32,$B37,'Assumption-Base'!$B$3:$B$32,$C37)</f>
        <v>0.4</v>
      </c>
      <c r="O37" s="19">
        <f t="shared" si="5"/>
        <v>23578.544707199995</v>
      </c>
      <c r="P37" s="99">
        <f t="shared" si="6"/>
        <v>21482.674066560001</v>
      </c>
    </row>
    <row r="38" spans="1:16" x14ac:dyDescent="0.35">
      <c r="A38" s="96" t="str">
        <f>LEFT('2025 actual v budget'!A38,4)&amp;"26"</f>
        <v>Feb-26</v>
      </c>
      <c r="B38" s="17" t="str">
        <f>'2025 actual v budget'!B38</f>
        <v>Germany</v>
      </c>
      <c r="C38" s="17" t="str">
        <f>'2025 actual v budget'!C38</f>
        <v>Cross-border Payouts</v>
      </c>
      <c r="D38" s="19">
        <f>'2025 actual v budget'!D38</f>
        <v>6056170.79</v>
      </c>
      <c r="E38" s="97">
        <f>SUMIFS('Assumption-Base'!$C$3:$C$32,'Assumption-Base'!$A$3:$A$32,$B38,'Assumption-Base'!$B$3:$B$32,$C38)</f>
        <v>0.06</v>
      </c>
      <c r="F38" s="19">
        <f t="shared" si="0"/>
        <v>6419541.0374000007</v>
      </c>
      <c r="G38" s="98">
        <f>SUMIFS('Assumption-Base'!$D$3:$D$32,'Assumption-Base'!$A$3:$A$32,$B38,'Assumption-Base'!$B$3:$B$32,$C38)</f>
        <v>7.4999999999999997E-3</v>
      </c>
      <c r="H38" s="99">
        <f t="shared" si="1"/>
        <v>48146.557780500007</v>
      </c>
      <c r="I38" s="97">
        <f>SUMIFS('Assumption-Base'!$E$3:$E$32,'Assumption-Base'!$A$3:$A$32,$B38,'Assumption-Base'!$B$3:$B$32,$C38)</f>
        <v>0.35</v>
      </c>
      <c r="J38" s="19">
        <f t="shared" si="2"/>
        <v>16851.295223175002</v>
      </c>
      <c r="K38" s="100">
        <f>SUMIFS('Assumption-Base'!$F$3:$F$32,'Assumption-Base'!$A$3:$A$32,$B38,'Assumption-Base'!$B$3:$B$32,$C38)</f>
        <v>1.4999999999999999E-4</v>
      </c>
      <c r="L38" s="19">
        <f t="shared" si="3"/>
        <v>962.93115561000002</v>
      </c>
      <c r="M38" s="99">
        <f t="shared" si="4"/>
        <v>30332.331401715004</v>
      </c>
      <c r="N38" s="97">
        <f>SUMIFS('Assumption-Base'!$G$3:$G$32,'Assumption-Base'!$A$3:$A$32,$B38,'Assumption-Base'!$B$3:$B$32,$C38)</f>
        <v>0.4</v>
      </c>
      <c r="O38" s="19">
        <f t="shared" si="5"/>
        <v>19258.623112200003</v>
      </c>
      <c r="P38" s="99">
        <f t="shared" si="6"/>
        <v>11073.708289515002</v>
      </c>
    </row>
    <row r="39" spans="1:16" x14ac:dyDescent="0.35">
      <c r="A39" s="96" t="str">
        <f>LEFT('2025 actual v budget'!A39,4)&amp;"26"</f>
        <v>Feb-26</v>
      </c>
      <c r="B39" s="17" t="str">
        <f>'2025 actual v budget'!B39</f>
        <v>Germany</v>
      </c>
      <c r="C39" s="17" t="str">
        <f>'2025 actual v budget'!C39</f>
        <v>FX Conversion</v>
      </c>
      <c r="D39" s="19">
        <f>'2025 actual v budget'!D39</f>
        <v>9672714.25</v>
      </c>
      <c r="E39" s="97">
        <f>SUMIFS('Assumption-Base'!$C$3:$C$32,'Assumption-Base'!$A$3:$A$32,$B39,'Assumption-Base'!$B$3:$B$32,$C39)</f>
        <v>0.06</v>
      </c>
      <c r="F39" s="19">
        <f t="shared" si="0"/>
        <v>10253077.105</v>
      </c>
      <c r="G39" s="98">
        <f>SUMIFS('Assumption-Base'!$D$3:$D$32,'Assumption-Base'!$A$3:$A$32,$B39,'Assumption-Base'!$B$3:$B$32,$C39)</f>
        <v>1.0500000000000001E-2</v>
      </c>
      <c r="H39" s="99">
        <f t="shared" si="1"/>
        <v>107657.30960250001</v>
      </c>
      <c r="I39" s="97">
        <f>SUMIFS('Assumption-Base'!$E$3:$E$32,'Assumption-Base'!$A$3:$A$32,$B39,'Assumption-Base'!$B$3:$B$32,$C39)</f>
        <v>0.28000000000000003</v>
      </c>
      <c r="J39" s="19">
        <f t="shared" si="2"/>
        <v>30144.046688700008</v>
      </c>
      <c r="K39" s="100">
        <f>SUMIFS('Assumption-Base'!$F$3:$F$32,'Assumption-Base'!$A$3:$A$32,$B39,'Assumption-Base'!$B$3:$B$32,$C39)</f>
        <v>1.4999999999999999E-4</v>
      </c>
      <c r="L39" s="19">
        <f t="shared" si="3"/>
        <v>1537.9615657499999</v>
      </c>
      <c r="M39" s="99">
        <f t="shared" si="4"/>
        <v>75975.301348050009</v>
      </c>
      <c r="N39" s="97">
        <f>SUMIFS('Assumption-Base'!$G$3:$G$32,'Assumption-Base'!$A$3:$A$32,$B39,'Assumption-Base'!$B$3:$B$32,$C39)</f>
        <v>0.4</v>
      </c>
      <c r="O39" s="19">
        <f t="shared" si="5"/>
        <v>43062.923841000011</v>
      </c>
      <c r="P39" s="99">
        <f t="shared" si="6"/>
        <v>32912.377507049998</v>
      </c>
    </row>
    <row r="40" spans="1:16" x14ac:dyDescent="0.35">
      <c r="A40" s="96" t="str">
        <f>LEFT('2025 actual v budget'!A40,4)&amp;"26"</f>
        <v>Feb-26</v>
      </c>
      <c r="B40" s="17" t="str">
        <f>'2025 actual v budget'!B40</f>
        <v>Germany</v>
      </c>
      <c r="C40" s="17" t="str">
        <f>'2025 actual v budget'!C40</f>
        <v>Stablecoin Settlement</v>
      </c>
      <c r="D40" s="19">
        <f>'2025 actual v budget'!D40</f>
        <v>14293069.300000001</v>
      </c>
      <c r="E40" s="97">
        <f>SUMIFS('Assumption-Base'!$C$3:$C$32,'Assumption-Base'!$A$3:$A$32,$B40,'Assumption-Base'!$B$3:$B$32,$C40)</f>
        <v>0.12</v>
      </c>
      <c r="F40" s="19">
        <f t="shared" si="0"/>
        <v>16008237.616000002</v>
      </c>
      <c r="G40" s="98">
        <f>SUMIFS('Assumption-Base'!$D$3:$D$32,'Assumption-Base'!$A$3:$A$32,$B40,'Assumption-Base'!$B$3:$B$32,$C40)</f>
        <v>6.4999999999999997E-3</v>
      </c>
      <c r="H40" s="99">
        <f t="shared" si="1"/>
        <v>104053.544504</v>
      </c>
      <c r="I40" s="97">
        <f>SUMIFS('Assumption-Base'!$E$3:$E$32,'Assumption-Base'!$A$3:$A$32,$B40,'Assumption-Base'!$B$3:$B$32,$C40)</f>
        <v>0.32</v>
      </c>
      <c r="J40" s="19">
        <f t="shared" si="2"/>
        <v>33297.13424128</v>
      </c>
      <c r="K40" s="100">
        <f>SUMIFS('Assumption-Base'!$F$3:$F$32,'Assumption-Base'!$A$3:$A$32,$B40,'Assumption-Base'!$B$3:$B$32,$C40)</f>
        <v>1.4999999999999999E-4</v>
      </c>
      <c r="L40" s="19">
        <f t="shared" si="3"/>
        <v>2401.2356424</v>
      </c>
      <c r="M40" s="99">
        <f t="shared" si="4"/>
        <v>68355.174620320002</v>
      </c>
      <c r="N40" s="97">
        <f>SUMIFS('Assumption-Base'!$G$3:$G$32,'Assumption-Base'!$A$3:$A$32,$B40,'Assumption-Base'!$B$3:$B$32,$C40)</f>
        <v>0.4</v>
      </c>
      <c r="O40" s="19">
        <f t="shared" si="5"/>
        <v>41621.417801600008</v>
      </c>
      <c r="P40" s="99">
        <f t="shared" si="6"/>
        <v>26733.756818719994</v>
      </c>
    </row>
    <row r="41" spans="1:16" x14ac:dyDescent="0.35">
      <c r="A41" s="96" t="str">
        <f>LEFT('2025 actual v budget'!A41,4)&amp;"26"</f>
        <v>Feb-26</v>
      </c>
      <c r="B41" s="17" t="str">
        <f>'2025 actual v budget'!B41</f>
        <v>Germany</v>
      </c>
      <c r="C41" s="17" t="str">
        <f>'2025 actual v budget'!C41</f>
        <v>Treasury Yield</v>
      </c>
      <c r="D41" s="19">
        <f>'2025 actual v budget'!D41</f>
        <v>4003398.75</v>
      </c>
      <c r="E41" s="97">
        <f>SUMIFS('Assumption-Base'!$C$3:$C$32,'Assumption-Base'!$A$3:$A$32,$B41,'Assumption-Base'!$B$3:$B$32,$C41)</f>
        <v>0.06</v>
      </c>
      <c r="F41" s="19">
        <f t="shared" si="0"/>
        <v>4243602.6749999998</v>
      </c>
      <c r="G41" s="98">
        <f>SUMIFS('Assumption-Base'!$D$3:$D$32,'Assumption-Base'!$A$3:$A$32,$B41,'Assumption-Base'!$B$3:$B$32,$C41)</f>
        <v>3.0000000000000001E-3</v>
      </c>
      <c r="H41" s="99">
        <f t="shared" si="1"/>
        <v>12730.808025</v>
      </c>
      <c r="I41" s="97">
        <f>SUMIFS('Assumption-Base'!$E$3:$E$32,'Assumption-Base'!$A$3:$A$32,$B41,'Assumption-Base'!$B$3:$B$32,$C41)</f>
        <v>0.18</v>
      </c>
      <c r="J41" s="19">
        <f t="shared" si="2"/>
        <v>2291.5454445</v>
      </c>
      <c r="K41" s="100">
        <f>SUMIFS('Assumption-Base'!$F$3:$F$32,'Assumption-Base'!$A$3:$A$32,$B41,'Assumption-Base'!$B$3:$B$32,$C41)</f>
        <v>1.4999999999999999E-4</v>
      </c>
      <c r="L41" s="19">
        <f t="shared" si="3"/>
        <v>636.54040124999995</v>
      </c>
      <c r="M41" s="99">
        <f t="shared" si="4"/>
        <v>9802.7221792500004</v>
      </c>
      <c r="N41" s="97">
        <f>SUMIFS('Assumption-Base'!$G$3:$G$32,'Assumption-Base'!$A$3:$A$32,$B41,'Assumption-Base'!$B$3:$B$32,$C41)</f>
        <v>0.4</v>
      </c>
      <c r="O41" s="19">
        <f t="shared" si="5"/>
        <v>5092.3232100000005</v>
      </c>
      <c r="P41" s="99">
        <f t="shared" si="6"/>
        <v>4710.3989692499999</v>
      </c>
    </row>
    <row r="42" spans="1:16" x14ac:dyDescent="0.35">
      <c r="A42" s="96" t="str">
        <f>LEFT('2025 actual v budget'!A42,4)&amp;"26"</f>
        <v>Feb-26</v>
      </c>
      <c r="B42" s="17" t="str">
        <f>'2025 actual v budget'!B42</f>
        <v>Germany</v>
      </c>
      <c r="C42" s="17" t="str">
        <f>'2025 actual v budget'!C42</f>
        <v>Virtual Accounts</v>
      </c>
      <c r="D42" s="19">
        <f>'2025 actual v budget'!D42</f>
        <v>5814016.71</v>
      </c>
      <c r="E42" s="97">
        <f>SUMIFS('Assumption-Base'!$C$3:$C$32,'Assumption-Base'!$A$3:$A$32,$B42,'Assumption-Base'!$B$3:$B$32,$C42)</f>
        <v>0.06</v>
      </c>
      <c r="F42" s="19">
        <f t="shared" si="0"/>
        <v>6162857.7126000002</v>
      </c>
      <c r="G42" s="98">
        <f>SUMIFS('Assumption-Base'!$D$3:$D$32,'Assumption-Base'!$A$3:$A$32,$B42,'Assumption-Base'!$B$3:$B$32,$C42)</f>
        <v>4.4999999999999997E-3</v>
      </c>
      <c r="H42" s="99">
        <f t="shared" si="1"/>
        <v>27732.859706699997</v>
      </c>
      <c r="I42" s="97">
        <f>SUMIFS('Assumption-Base'!$E$3:$E$32,'Assumption-Base'!$A$3:$A$32,$B42,'Assumption-Base'!$B$3:$B$32,$C42)</f>
        <v>0.22</v>
      </c>
      <c r="J42" s="19">
        <f t="shared" si="2"/>
        <v>6101.2291354739991</v>
      </c>
      <c r="K42" s="100">
        <f>SUMIFS('Assumption-Base'!$F$3:$F$32,'Assumption-Base'!$A$3:$A$32,$B42,'Assumption-Base'!$B$3:$B$32,$C42)</f>
        <v>1.4999999999999999E-4</v>
      </c>
      <c r="L42" s="19">
        <f t="shared" si="3"/>
        <v>924.42865688999996</v>
      </c>
      <c r="M42" s="99">
        <f t="shared" si="4"/>
        <v>20707.201914336001</v>
      </c>
      <c r="N42" s="97">
        <f>SUMIFS('Assumption-Base'!$G$3:$G$32,'Assumption-Base'!$A$3:$A$32,$B42,'Assumption-Base'!$B$3:$B$32,$C42)</f>
        <v>0.4</v>
      </c>
      <c r="O42" s="19">
        <f t="shared" si="5"/>
        <v>11093.14388268</v>
      </c>
      <c r="P42" s="99">
        <f t="shared" si="6"/>
        <v>9614.0580316560008</v>
      </c>
    </row>
    <row r="43" spans="1:16" x14ac:dyDescent="0.35">
      <c r="A43" s="96" t="str">
        <f>LEFT('2025 actual v budget'!A43,4)&amp;"26"</f>
        <v>Feb-26</v>
      </c>
      <c r="B43" s="17" t="str">
        <f>'2025 actual v budget'!B43</f>
        <v>India</v>
      </c>
      <c r="C43" s="17" t="str">
        <f>'2025 actual v budget'!C43</f>
        <v>Cross-border Payouts</v>
      </c>
      <c r="D43" s="19">
        <f>'2025 actual v budget'!D43</f>
        <v>7377669.6500000004</v>
      </c>
      <c r="E43" s="97">
        <f>SUMIFS('Assumption-Base'!$C$3:$C$32,'Assumption-Base'!$A$3:$A$32,$B43,'Assumption-Base'!$B$3:$B$32,$C43)</f>
        <v>0.12</v>
      </c>
      <c r="F43" s="19">
        <f t="shared" si="0"/>
        <v>8262990.0080000013</v>
      </c>
      <c r="G43" s="98">
        <f>SUMIFS('Assumption-Base'!$D$3:$D$32,'Assumption-Base'!$A$3:$A$32,$B43,'Assumption-Base'!$B$3:$B$32,$C43)</f>
        <v>7.4999999999999997E-3</v>
      </c>
      <c r="H43" s="99">
        <f t="shared" si="1"/>
        <v>61972.425060000009</v>
      </c>
      <c r="I43" s="97">
        <f>SUMIFS('Assumption-Base'!$E$3:$E$32,'Assumption-Base'!$A$3:$A$32,$B43,'Assumption-Base'!$B$3:$B$32,$C43)</f>
        <v>0.35</v>
      </c>
      <c r="J43" s="19">
        <f t="shared" si="2"/>
        <v>21690.348771000001</v>
      </c>
      <c r="K43" s="100">
        <f>SUMIFS('Assumption-Base'!$F$3:$F$32,'Assumption-Base'!$A$3:$A$32,$B43,'Assumption-Base'!$B$3:$B$32,$C43)</f>
        <v>1.8000000000000001E-4</v>
      </c>
      <c r="L43" s="19">
        <f t="shared" si="3"/>
        <v>1487.3382014400004</v>
      </c>
      <c r="M43" s="99">
        <f t="shared" si="4"/>
        <v>38794.738087560007</v>
      </c>
      <c r="N43" s="97">
        <f>SUMIFS('Assumption-Base'!$G$3:$G$32,'Assumption-Base'!$A$3:$A$32,$B43,'Assumption-Base'!$B$3:$B$32,$C43)</f>
        <v>0.4</v>
      </c>
      <c r="O43" s="19">
        <f t="shared" si="5"/>
        <v>24788.970024000006</v>
      </c>
      <c r="P43" s="99">
        <f t="shared" si="6"/>
        <v>14005.768063560001</v>
      </c>
    </row>
    <row r="44" spans="1:16" x14ac:dyDescent="0.35">
      <c r="A44" s="96" t="str">
        <f>LEFT('2025 actual v budget'!A44,4)&amp;"26"</f>
        <v>Feb-26</v>
      </c>
      <c r="B44" s="17" t="str">
        <f>'2025 actual v budget'!B44</f>
        <v>India</v>
      </c>
      <c r="C44" s="17" t="str">
        <f>'2025 actual v budget'!C44</f>
        <v>FX Conversion</v>
      </c>
      <c r="D44" s="19">
        <f>'2025 actual v budget'!D44</f>
        <v>11784949.17</v>
      </c>
      <c r="E44" s="97">
        <f>SUMIFS('Assumption-Base'!$C$3:$C$32,'Assumption-Base'!$A$3:$A$32,$B44,'Assumption-Base'!$B$3:$B$32,$C44)</f>
        <v>0.12</v>
      </c>
      <c r="F44" s="19">
        <f t="shared" si="0"/>
        <v>13199143.070400001</v>
      </c>
      <c r="G44" s="98">
        <f>SUMIFS('Assumption-Base'!$D$3:$D$32,'Assumption-Base'!$A$3:$A$32,$B44,'Assumption-Base'!$B$3:$B$32,$C44)</f>
        <v>1.0500000000000001E-2</v>
      </c>
      <c r="H44" s="99">
        <f t="shared" si="1"/>
        <v>138591.00223920002</v>
      </c>
      <c r="I44" s="97">
        <f>SUMIFS('Assumption-Base'!$E$3:$E$32,'Assumption-Base'!$A$3:$A$32,$B44,'Assumption-Base'!$B$3:$B$32,$C44)</f>
        <v>0.28000000000000003</v>
      </c>
      <c r="J44" s="19">
        <f t="shared" si="2"/>
        <v>38805.480626976008</v>
      </c>
      <c r="K44" s="100">
        <f>SUMIFS('Assumption-Base'!$F$3:$F$32,'Assumption-Base'!$A$3:$A$32,$B44,'Assumption-Base'!$B$3:$B$32,$C44)</f>
        <v>1.8000000000000001E-4</v>
      </c>
      <c r="L44" s="19">
        <f t="shared" si="3"/>
        <v>2375.8457526720003</v>
      </c>
      <c r="M44" s="99">
        <f t="shared" si="4"/>
        <v>97409.675859552022</v>
      </c>
      <c r="N44" s="97">
        <f>SUMIFS('Assumption-Base'!$G$3:$G$32,'Assumption-Base'!$A$3:$A$32,$B44,'Assumption-Base'!$B$3:$B$32,$C44)</f>
        <v>0.4</v>
      </c>
      <c r="O44" s="19">
        <f t="shared" si="5"/>
        <v>55436.40089568001</v>
      </c>
      <c r="P44" s="99">
        <f t="shared" si="6"/>
        <v>41973.274963872012</v>
      </c>
    </row>
    <row r="45" spans="1:16" x14ac:dyDescent="0.35">
      <c r="A45" s="96" t="str">
        <f>LEFT('2025 actual v budget'!A45,4)&amp;"26"</f>
        <v>Feb-26</v>
      </c>
      <c r="B45" s="17" t="str">
        <f>'2025 actual v budget'!B45</f>
        <v>India</v>
      </c>
      <c r="C45" s="17" t="str">
        <f>'2025 actual v budget'!C45</f>
        <v>Stablecoin Settlement</v>
      </c>
      <c r="D45" s="19">
        <f>'2025 actual v budget'!D45</f>
        <v>17411917.09</v>
      </c>
      <c r="E45" s="97">
        <f>SUMIFS('Assumption-Base'!$C$3:$C$32,'Assumption-Base'!$A$3:$A$32,$B45,'Assumption-Base'!$B$3:$B$32,$C45)</f>
        <v>0.24</v>
      </c>
      <c r="F45" s="19">
        <f t="shared" si="0"/>
        <v>21590777.191599999</v>
      </c>
      <c r="G45" s="98">
        <f>SUMIFS('Assumption-Base'!$D$3:$D$32,'Assumption-Base'!$A$3:$A$32,$B45,'Assumption-Base'!$B$3:$B$32,$C45)</f>
        <v>6.4999999999999997E-3</v>
      </c>
      <c r="H45" s="99">
        <f t="shared" si="1"/>
        <v>140340.05174539998</v>
      </c>
      <c r="I45" s="97">
        <f>SUMIFS('Assumption-Base'!$E$3:$E$32,'Assumption-Base'!$A$3:$A$32,$B45,'Assumption-Base'!$B$3:$B$32,$C45)</f>
        <v>0.32</v>
      </c>
      <c r="J45" s="19">
        <f t="shared" si="2"/>
        <v>44908.816558527993</v>
      </c>
      <c r="K45" s="100">
        <f>SUMIFS('Assumption-Base'!$F$3:$F$32,'Assumption-Base'!$A$3:$A$32,$B45,'Assumption-Base'!$B$3:$B$32,$C45)</f>
        <v>1.8000000000000001E-4</v>
      </c>
      <c r="L45" s="19">
        <f t="shared" si="3"/>
        <v>3886.339894488</v>
      </c>
      <c r="M45" s="99">
        <f t="shared" si="4"/>
        <v>91544.895292383982</v>
      </c>
      <c r="N45" s="97">
        <f>SUMIFS('Assumption-Base'!$G$3:$G$32,'Assumption-Base'!$A$3:$A$32,$B45,'Assumption-Base'!$B$3:$B$32,$C45)</f>
        <v>0.4</v>
      </c>
      <c r="O45" s="19">
        <f t="shared" si="5"/>
        <v>56136.020698159991</v>
      </c>
      <c r="P45" s="99">
        <f t="shared" si="6"/>
        <v>35408.874594223991</v>
      </c>
    </row>
    <row r="46" spans="1:16" x14ac:dyDescent="0.35">
      <c r="A46" s="96" t="str">
        <f>LEFT('2025 actual v budget'!A46,4)&amp;"26"</f>
        <v>Feb-26</v>
      </c>
      <c r="B46" s="17" t="str">
        <f>'2025 actual v budget'!B46</f>
        <v>India</v>
      </c>
      <c r="C46" s="17" t="str">
        <f>'2025 actual v budget'!C46</f>
        <v>Treasury Yield</v>
      </c>
      <c r="D46" s="19">
        <f>'2025 actual v budget'!D46</f>
        <v>4877622.72</v>
      </c>
      <c r="E46" s="97">
        <f>SUMIFS('Assumption-Base'!$C$3:$C$32,'Assumption-Base'!$A$3:$A$32,$B46,'Assumption-Base'!$B$3:$B$32,$C46)</f>
        <v>0.12</v>
      </c>
      <c r="F46" s="19">
        <f t="shared" si="0"/>
        <v>5462937.4463999998</v>
      </c>
      <c r="G46" s="98">
        <f>SUMIFS('Assumption-Base'!$D$3:$D$32,'Assumption-Base'!$A$3:$A$32,$B46,'Assumption-Base'!$B$3:$B$32,$C46)</f>
        <v>3.0000000000000001E-3</v>
      </c>
      <c r="H46" s="99">
        <f t="shared" si="1"/>
        <v>16388.812339199998</v>
      </c>
      <c r="I46" s="97">
        <f>SUMIFS('Assumption-Base'!$E$3:$E$32,'Assumption-Base'!$A$3:$A$32,$B46,'Assumption-Base'!$B$3:$B$32,$C46)</f>
        <v>0.18</v>
      </c>
      <c r="J46" s="19">
        <f t="shared" si="2"/>
        <v>2949.9862210559995</v>
      </c>
      <c r="K46" s="100">
        <f>SUMIFS('Assumption-Base'!$F$3:$F$32,'Assumption-Base'!$A$3:$A$32,$B46,'Assumption-Base'!$B$3:$B$32,$C46)</f>
        <v>1.8000000000000001E-4</v>
      </c>
      <c r="L46" s="19">
        <f t="shared" si="3"/>
        <v>983.32874035200007</v>
      </c>
      <c r="M46" s="99">
        <f t="shared" si="4"/>
        <v>12455.497377791999</v>
      </c>
      <c r="N46" s="97">
        <f>SUMIFS('Assumption-Base'!$G$3:$G$32,'Assumption-Base'!$A$3:$A$32,$B46,'Assumption-Base'!$B$3:$B$32,$C46)</f>
        <v>0.4</v>
      </c>
      <c r="O46" s="19">
        <f t="shared" si="5"/>
        <v>6555.5249356799995</v>
      </c>
      <c r="P46" s="99">
        <f t="shared" si="6"/>
        <v>5899.972442111999</v>
      </c>
    </row>
    <row r="47" spans="1:16" x14ac:dyDescent="0.35">
      <c r="A47" s="96" t="str">
        <f>LEFT('2025 actual v budget'!A47,4)&amp;"26"</f>
        <v>Feb-26</v>
      </c>
      <c r="B47" s="17" t="str">
        <f>'2025 actual v budget'!B47</f>
        <v>India</v>
      </c>
      <c r="C47" s="17" t="str">
        <f>'2025 actual v budget'!C47</f>
        <v>Virtual Accounts</v>
      </c>
      <c r="D47" s="19">
        <f>'2025 actual v budget'!D47</f>
        <v>7083626.1299999999</v>
      </c>
      <c r="E47" s="97">
        <f>SUMIFS('Assumption-Base'!$C$3:$C$32,'Assumption-Base'!$A$3:$A$32,$B47,'Assumption-Base'!$B$3:$B$32,$C47)</f>
        <v>0.12</v>
      </c>
      <c r="F47" s="19">
        <f t="shared" si="0"/>
        <v>7933661.2656000005</v>
      </c>
      <c r="G47" s="98">
        <f>SUMIFS('Assumption-Base'!$D$3:$D$32,'Assumption-Base'!$A$3:$A$32,$B47,'Assumption-Base'!$B$3:$B$32,$C47)</f>
        <v>4.4999999999999997E-3</v>
      </c>
      <c r="H47" s="99">
        <f t="shared" si="1"/>
        <v>35701.475695200003</v>
      </c>
      <c r="I47" s="97">
        <f>SUMIFS('Assumption-Base'!$E$3:$E$32,'Assumption-Base'!$A$3:$A$32,$B47,'Assumption-Base'!$B$3:$B$32,$C47)</f>
        <v>0.22</v>
      </c>
      <c r="J47" s="19">
        <f t="shared" si="2"/>
        <v>7854.3246529440003</v>
      </c>
      <c r="K47" s="100">
        <f>SUMIFS('Assumption-Base'!$F$3:$F$32,'Assumption-Base'!$A$3:$A$32,$B47,'Assumption-Base'!$B$3:$B$32,$C47)</f>
        <v>1.8000000000000001E-4</v>
      </c>
      <c r="L47" s="19">
        <f t="shared" si="3"/>
        <v>1428.0590278080001</v>
      </c>
      <c r="M47" s="99">
        <f t="shared" si="4"/>
        <v>26419.092014448001</v>
      </c>
      <c r="N47" s="97">
        <f>SUMIFS('Assumption-Base'!$G$3:$G$32,'Assumption-Base'!$A$3:$A$32,$B47,'Assumption-Base'!$B$3:$B$32,$C47)</f>
        <v>0.4</v>
      </c>
      <c r="O47" s="19">
        <f t="shared" si="5"/>
        <v>14280.590278080002</v>
      </c>
      <c r="P47" s="99">
        <f t="shared" si="6"/>
        <v>12138.501736367998</v>
      </c>
    </row>
    <row r="48" spans="1:16" x14ac:dyDescent="0.35">
      <c r="A48" s="96" t="str">
        <f>LEFT('2025 actual v budget'!A48,4)&amp;"26"</f>
        <v>Feb-26</v>
      </c>
      <c r="B48" s="17" t="str">
        <f>'2025 actual v budget'!B48</f>
        <v>Mexico</v>
      </c>
      <c r="C48" s="17" t="str">
        <f>'2025 actual v budget'!C48</f>
        <v>Cross-border Payouts</v>
      </c>
      <c r="D48" s="19">
        <f>'2025 actual v budget'!D48</f>
        <v>8975211.5500000007</v>
      </c>
      <c r="E48" s="97">
        <f>SUMIFS('Assumption-Base'!$C$3:$C$32,'Assumption-Base'!$A$3:$A$32,$B48,'Assumption-Base'!$B$3:$B$32,$C48)</f>
        <v>0.15</v>
      </c>
      <c r="F48" s="19">
        <f t="shared" si="0"/>
        <v>10321493.282500001</v>
      </c>
      <c r="G48" s="98">
        <f>SUMIFS('Assumption-Base'!$D$3:$D$32,'Assumption-Base'!$A$3:$A$32,$B48,'Assumption-Base'!$B$3:$B$32,$C48)</f>
        <v>7.4999999999999997E-3</v>
      </c>
      <c r="H48" s="99">
        <f t="shared" si="1"/>
        <v>77411.199618750004</v>
      </c>
      <c r="I48" s="97">
        <f>SUMIFS('Assumption-Base'!$E$3:$E$32,'Assumption-Base'!$A$3:$A$32,$B48,'Assumption-Base'!$B$3:$B$32,$C48)</f>
        <v>0.35</v>
      </c>
      <c r="J48" s="19">
        <f t="shared" si="2"/>
        <v>27093.919866562501</v>
      </c>
      <c r="K48" s="100">
        <f>SUMIFS('Assumption-Base'!$F$3:$F$32,'Assumption-Base'!$A$3:$A$32,$B48,'Assumption-Base'!$B$3:$B$32,$C48)</f>
        <v>8.0000000000000007E-5</v>
      </c>
      <c r="L48" s="19">
        <f t="shared" si="3"/>
        <v>825.71946260000016</v>
      </c>
      <c r="M48" s="99">
        <f t="shared" si="4"/>
        <v>49491.560289587505</v>
      </c>
      <c r="N48" s="97">
        <f>SUMIFS('Assumption-Base'!$G$3:$G$32,'Assumption-Base'!$A$3:$A$32,$B48,'Assumption-Base'!$B$3:$B$32,$C48)</f>
        <v>0.4</v>
      </c>
      <c r="O48" s="19">
        <f t="shared" si="5"/>
        <v>30964.479847500003</v>
      </c>
      <c r="P48" s="99">
        <f t="shared" si="6"/>
        <v>18527.080442087503</v>
      </c>
    </row>
    <row r="49" spans="1:16" x14ac:dyDescent="0.35">
      <c r="A49" s="96" t="str">
        <f>LEFT('2025 actual v budget'!A49,4)&amp;"26"</f>
        <v>Feb-26</v>
      </c>
      <c r="B49" s="17" t="str">
        <f>'2025 actual v budget'!B49</f>
        <v>Mexico</v>
      </c>
      <c r="C49" s="17" t="str">
        <f>'2025 actual v budget'!C49</f>
        <v>FX Conversion</v>
      </c>
      <c r="D49" s="19">
        <f>'2025 actual v budget'!D49</f>
        <v>14336519.16</v>
      </c>
      <c r="E49" s="97">
        <f>SUMIFS('Assumption-Base'!$C$3:$C$32,'Assumption-Base'!$A$3:$A$32,$B49,'Assumption-Base'!$B$3:$B$32,$C49)</f>
        <v>0.15</v>
      </c>
      <c r="F49" s="19">
        <f t="shared" si="0"/>
        <v>16486997.033999998</v>
      </c>
      <c r="G49" s="98">
        <f>SUMIFS('Assumption-Base'!$D$3:$D$32,'Assumption-Base'!$A$3:$A$32,$B49,'Assumption-Base'!$B$3:$B$32,$C49)</f>
        <v>1.0500000000000001E-2</v>
      </c>
      <c r="H49" s="99">
        <f t="shared" si="1"/>
        <v>173113.468857</v>
      </c>
      <c r="I49" s="97">
        <f>SUMIFS('Assumption-Base'!$E$3:$E$32,'Assumption-Base'!$A$3:$A$32,$B49,'Assumption-Base'!$B$3:$B$32,$C49)</f>
        <v>0.28000000000000003</v>
      </c>
      <c r="J49" s="19">
        <f t="shared" si="2"/>
        <v>48471.771279960005</v>
      </c>
      <c r="K49" s="100">
        <f>SUMIFS('Assumption-Base'!$F$3:$F$32,'Assumption-Base'!$A$3:$A$32,$B49,'Assumption-Base'!$B$3:$B$32,$C49)</f>
        <v>8.0000000000000007E-5</v>
      </c>
      <c r="L49" s="19">
        <f t="shared" si="3"/>
        <v>1318.9597627199998</v>
      </c>
      <c r="M49" s="99">
        <f t="shared" si="4"/>
        <v>123322.73781432</v>
      </c>
      <c r="N49" s="97">
        <f>SUMIFS('Assumption-Base'!$G$3:$G$32,'Assumption-Base'!$A$3:$A$32,$B49,'Assumption-Base'!$B$3:$B$32,$C49)</f>
        <v>0.4</v>
      </c>
      <c r="O49" s="19">
        <f t="shared" si="5"/>
        <v>69245.387542800003</v>
      </c>
      <c r="P49" s="99">
        <f t="shared" si="6"/>
        <v>54077.350271520001</v>
      </c>
    </row>
    <row r="50" spans="1:16" x14ac:dyDescent="0.35">
      <c r="A50" s="96" t="str">
        <f>LEFT('2025 actual v budget'!A50,4)&amp;"26"</f>
        <v>Feb-26</v>
      </c>
      <c r="B50" s="17" t="str">
        <f>'2025 actual v budget'!B50</f>
        <v>Mexico</v>
      </c>
      <c r="C50" s="17" t="str">
        <f>'2025 actual v budget'!C50</f>
        <v>Stablecoin Settlement</v>
      </c>
      <c r="D50" s="19">
        <f>'2025 actual v budget'!D50</f>
        <v>21182249.52</v>
      </c>
      <c r="E50" s="97">
        <f>SUMIFS('Assumption-Base'!$C$3:$C$32,'Assumption-Base'!$A$3:$A$32,$B50,'Assumption-Base'!$B$3:$B$32,$C50)</f>
        <v>0.3</v>
      </c>
      <c r="F50" s="19">
        <f t="shared" si="0"/>
        <v>27536924.376000002</v>
      </c>
      <c r="G50" s="98">
        <f>SUMIFS('Assumption-Base'!$D$3:$D$32,'Assumption-Base'!$A$3:$A$32,$B50,'Assumption-Base'!$B$3:$B$32,$C50)</f>
        <v>6.4999999999999997E-3</v>
      </c>
      <c r="H50" s="99">
        <f t="shared" si="1"/>
        <v>178990.00844400001</v>
      </c>
      <c r="I50" s="97">
        <f>SUMIFS('Assumption-Base'!$E$3:$E$32,'Assumption-Base'!$A$3:$A$32,$B50,'Assumption-Base'!$B$3:$B$32,$C50)</f>
        <v>0.32</v>
      </c>
      <c r="J50" s="19">
        <f t="shared" si="2"/>
        <v>57276.80270208</v>
      </c>
      <c r="K50" s="100">
        <f>SUMIFS('Assumption-Base'!$F$3:$F$32,'Assumption-Base'!$A$3:$A$32,$B50,'Assumption-Base'!$B$3:$B$32,$C50)</f>
        <v>8.0000000000000007E-5</v>
      </c>
      <c r="L50" s="19">
        <f t="shared" si="3"/>
        <v>2202.9539500800001</v>
      </c>
      <c r="M50" s="99">
        <f t="shared" si="4"/>
        <v>119510.25179184001</v>
      </c>
      <c r="N50" s="97">
        <f>SUMIFS('Assumption-Base'!$G$3:$G$32,'Assumption-Base'!$A$3:$A$32,$B50,'Assumption-Base'!$B$3:$B$32,$C50)</f>
        <v>0.4</v>
      </c>
      <c r="O50" s="19">
        <f t="shared" si="5"/>
        <v>71596.003377600005</v>
      </c>
      <c r="P50" s="99">
        <f t="shared" si="6"/>
        <v>47914.248414240006</v>
      </c>
    </row>
    <row r="51" spans="1:16" x14ac:dyDescent="0.35">
      <c r="A51" s="96" t="str">
        <f>LEFT('2025 actual v budget'!A51,4)&amp;"26"</f>
        <v>Feb-26</v>
      </c>
      <c r="B51" s="17" t="str">
        <f>'2025 actual v budget'!B51</f>
        <v>Mexico</v>
      </c>
      <c r="C51" s="17" t="str">
        <f>'2025 actual v budget'!C51</f>
        <v>Treasury Yield</v>
      </c>
      <c r="D51" s="19">
        <f>'2025 actual v budget'!D51</f>
        <v>5933681.2199999997</v>
      </c>
      <c r="E51" s="97">
        <f>SUMIFS('Assumption-Base'!$C$3:$C$32,'Assumption-Base'!$A$3:$A$32,$B51,'Assumption-Base'!$B$3:$B$32,$C51)</f>
        <v>0.15</v>
      </c>
      <c r="F51" s="19">
        <f t="shared" si="0"/>
        <v>6823733.402999999</v>
      </c>
      <c r="G51" s="98">
        <f>SUMIFS('Assumption-Base'!$D$3:$D$32,'Assumption-Base'!$A$3:$A$32,$B51,'Assumption-Base'!$B$3:$B$32,$C51)</f>
        <v>3.0000000000000001E-3</v>
      </c>
      <c r="H51" s="99">
        <f t="shared" si="1"/>
        <v>20471.200208999999</v>
      </c>
      <c r="I51" s="97">
        <f>SUMIFS('Assumption-Base'!$E$3:$E$32,'Assumption-Base'!$A$3:$A$32,$B51,'Assumption-Base'!$B$3:$B$32,$C51)</f>
        <v>0.18</v>
      </c>
      <c r="J51" s="19">
        <f t="shared" si="2"/>
        <v>3684.8160376199994</v>
      </c>
      <c r="K51" s="100">
        <f>SUMIFS('Assumption-Base'!$F$3:$F$32,'Assumption-Base'!$A$3:$A$32,$B51,'Assumption-Base'!$B$3:$B$32,$C51)</f>
        <v>8.0000000000000007E-5</v>
      </c>
      <c r="L51" s="19">
        <f t="shared" si="3"/>
        <v>545.89867224</v>
      </c>
      <c r="M51" s="99">
        <f t="shared" si="4"/>
        <v>16240.485499139999</v>
      </c>
      <c r="N51" s="97">
        <f>SUMIFS('Assumption-Base'!$G$3:$G$32,'Assumption-Base'!$A$3:$A$32,$B51,'Assumption-Base'!$B$3:$B$32,$C51)</f>
        <v>0.4</v>
      </c>
      <c r="O51" s="19">
        <f t="shared" si="5"/>
        <v>8188.4800835999995</v>
      </c>
      <c r="P51" s="99">
        <f t="shared" si="6"/>
        <v>8052.0054155399994</v>
      </c>
    </row>
    <row r="52" spans="1:16" x14ac:dyDescent="0.35">
      <c r="A52" s="96" t="str">
        <f>LEFT('2025 actual v budget'!A52,4)&amp;"26"</f>
        <v>Feb-26</v>
      </c>
      <c r="B52" s="17" t="str">
        <f>'2025 actual v budget'!B52</f>
        <v>Mexico</v>
      </c>
      <c r="C52" s="17" t="str">
        <f>'2025 actual v budget'!C52</f>
        <v>Virtual Accounts</v>
      </c>
      <c r="D52" s="19">
        <f>'2025 actual v budget'!D52</f>
        <v>8617308.4299999997</v>
      </c>
      <c r="E52" s="97">
        <f>SUMIFS('Assumption-Base'!$C$3:$C$32,'Assumption-Base'!$A$3:$A$32,$B52,'Assumption-Base'!$B$3:$B$32,$C52)</f>
        <v>0.15</v>
      </c>
      <c r="F52" s="19">
        <f t="shared" si="0"/>
        <v>9909904.6944999993</v>
      </c>
      <c r="G52" s="98">
        <f>SUMIFS('Assumption-Base'!$D$3:$D$32,'Assumption-Base'!$A$3:$A$32,$B52,'Assumption-Base'!$B$3:$B$32,$C52)</f>
        <v>4.4999999999999997E-3</v>
      </c>
      <c r="H52" s="99">
        <f t="shared" si="1"/>
        <v>44594.571125249997</v>
      </c>
      <c r="I52" s="97">
        <f>SUMIFS('Assumption-Base'!$E$3:$E$32,'Assumption-Base'!$A$3:$A$32,$B52,'Assumption-Base'!$B$3:$B$32,$C52)</f>
        <v>0.22</v>
      </c>
      <c r="J52" s="19">
        <f t="shared" si="2"/>
        <v>9810.8056475550002</v>
      </c>
      <c r="K52" s="100">
        <f>SUMIFS('Assumption-Base'!$F$3:$F$32,'Assumption-Base'!$A$3:$A$32,$B52,'Assumption-Base'!$B$3:$B$32,$C52)</f>
        <v>8.0000000000000007E-5</v>
      </c>
      <c r="L52" s="19">
        <f t="shared" si="3"/>
        <v>792.79237555999998</v>
      </c>
      <c r="M52" s="99">
        <f t="shared" si="4"/>
        <v>33990.973102134994</v>
      </c>
      <c r="N52" s="97">
        <f>SUMIFS('Assumption-Base'!$G$3:$G$32,'Assumption-Base'!$A$3:$A$32,$B52,'Assumption-Base'!$B$3:$B$32,$C52)</f>
        <v>0.4</v>
      </c>
      <c r="O52" s="19">
        <f t="shared" si="5"/>
        <v>17837.828450099998</v>
      </c>
      <c r="P52" s="99">
        <f t="shared" si="6"/>
        <v>16153.144652034996</v>
      </c>
    </row>
    <row r="53" spans="1:16" x14ac:dyDescent="0.35">
      <c r="A53" s="96" t="str">
        <f>LEFT('2025 actual v budget'!A53,4)&amp;"26"</f>
        <v>Feb-26</v>
      </c>
      <c r="B53" s="17" t="str">
        <f>'2025 actual v budget'!B53</f>
        <v>Singapore</v>
      </c>
      <c r="C53" s="17" t="str">
        <f>'2025 actual v budget'!C53</f>
        <v>Cross-border Payouts</v>
      </c>
      <c r="D53" s="19">
        <f>'2025 actual v budget'!D53</f>
        <v>7723104.7199999997</v>
      </c>
      <c r="E53" s="97">
        <f>SUMIFS('Assumption-Base'!$C$3:$C$32,'Assumption-Base'!$A$3:$A$32,$B53,'Assumption-Base'!$B$3:$B$32,$C53)</f>
        <v>0.05</v>
      </c>
      <c r="F53" s="19">
        <f t="shared" si="0"/>
        <v>8109259.9560000002</v>
      </c>
      <c r="G53" s="98">
        <f>SUMIFS('Assumption-Base'!$D$3:$D$32,'Assumption-Base'!$A$3:$A$32,$B53,'Assumption-Base'!$B$3:$B$32,$C53)</f>
        <v>7.4999999999999997E-3</v>
      </c>
      <c r="H53" s="99">
        <f t="shared" si="1"/>
        <v>60819.449670000002</v>
      </c>
      <c r="I53" s="97">
        <f>SUMIFS('Assumption-Base'!$E$3:$E$32,'Assumption-Base'!$A$3:$A$32,$B53,'Assumption-Base'!$B$3:$B$32,$C53)</f>
        <v>0.35</v>
      </c>
      <c r="J53" s="19">
        <f t="shared" si="2"/>
        <v>21286.8073845</v>
      </c>
      <c r="K53" s="100">
        <f>SUMIFS('Assumption-Base'!$F$3:$F$32,'Assumption-Base'!$A$3:$A$32,$B53,'Assumption-Base'!$B$3:$B$32,$C53)</f>
        <v>9.0000000000000006E-5</v>
      </c>
      <c r="L53" s="19">
        <f t="shared" si="3"/>
        <v>729.83339604000003</v>
      </c>
      <c r="M53" s="99">
        <f t="shared" si="4"/>
        <v>38802.808889460001</v>
      </c>
      <c r="N53" s="97">
        <f>SUMIFS('Assumption-Base'!$G$3:$G$32,'Assumption-Base'!$A$3:$A$32,$B53,'Assumption-Base'!$B$3:$B$32,$C53)</f>
        <v>0.4</v>
      </c>
      <c r="O53" s="19">
        <f t="shared" si="5"/>
        <v>24327.779868000001</v>
      </c>
      <c r="P53" s="99">
        <f t="shared" si="6"/>
        <v>14475.029021459999</v>
      </c>
    </row>
    <row r="54" spans="1:16" x14ac:dyDescent="0.35">
      <c r="A54" s="96" t="str">
        <f>LEFT('2025 actual v budget'!A54,4)&amp;"26"</f>
        <v>Feb-26</v>
      </c>
      <c r="B54" s="17" t="str">
        <f>'2025 actual v budget'!B54</f>
        <v>Singapore</v>
      </c>
      <c r="C54" s="17" t="str">
        <f>'2025 actual v budget'!C54</f>
        <v>FX Conversion</v>
      </c>
      <c r="D54" s="19">
        <f>'2025 actual v budget'!D54</f>
        <v>12335647.73</v>
      </c>
      <c r="E54" s="97">
        <f>SUMIFS('Assumption-Base'!$C$3:$C$32,'Assumption-Base'!$A$3:$A$32,$B54,'Assumption-Base'!$B$3:$B$32,$C54)</f>
        <v>0.05</v>
      </c>
      <c r="F54" s="19">
        <f t="shared" si="0"/>
        <v>12952430.116500001</v>
      </c>
      <c r="G54" s="98">
        <f>SUMIFS('Assumption-Base'!$D$3:$D$32,'Assumption-Base'!$A$3:$A$32,$B54,'Assumption-Base'!$B$3:$B$32,$C54)</f>
        <v>1.0500000000000001E-2</v>
      </c>
      <c r="H54" s="99">
        <f t="shared" si="1"/>
        <v>136000.51622325002</v>
      </c>
      <c r="I54" s="97">
        <f>SUMIFS('Assumption-Base'!$E$3:$E$32,'Assumption-Base'!$A$3:$A$32,$B54,'Assumption-Base'!$B$3:$B$32,$C54)</f>
        <v>0.28000000000000003</v>
      </c>
      <c r="J54" s="19">
        <f t="shared" si="2"/>
        <v>38080.14454251001</v>
      </c>
      <c r="K54" s="100">
        <f>SUMIFS('Assumption-Base'!$F$3:$F$32,'Assumption-Base'!$A$3:$A$32,$B54,'Assumption-Base'!$B$3:$B$32,$C54)</f>
        <v>9.0000000000000006E-5</v>
      </c>
      <c r="L54" s="19">
        <f t="shared" si="3"/>
        <v>1165.7187104850002</v>
      </c>
      <c r="M54" s="99">
        <f t="shared" si="4"/>
        <v>96754.652970255003</v>
      </c>
      <c r="N54" s="97">
        <f>SUMIFS('Assumption-Base'!$G$3:$G$32,'Assumption-Base'!$A$3:$A$32,$B54,'Assumption-Base'!$B$3:$B$32,$C54)</f>
        <v>0.4</v>
      </c>
      <c r="O54" s="19">
        <f t="shared" si="5"/>
        <v>54400.206489300006</v>
      </c>
      <c r="P54" s="99">
        <f t="shared" si="6"/>
        <v>42354.446480954997</v>
      </c>
    </row>
    <row r="55" spans="1:16" x14ac:dyDescent="0.35">
      <c r="A55" s="96" t="str">
        <f>LEFT('2025 actual v budget'!A55,4)&amp;"26"</f>
        <v>Feb-26</v>
      </c>
      <c r="B55" s="17" t="str">
        <f>'2025 actual v budget'!B55</f>
        <v>Singapore</v>
      </c>
      <c r="C55" s="17" t="str">
        <f>'2025 actual v budget'!C55</f>
        <v>Stablecoin Settlement</v>
      </c>
      <c r="D55" s="19">
        <f>'2025 actual v budget'!D55</f>
        <v>18227172.739999998</v>
      </c>
      <c r="E55" s="97">
        <f>SUMIFS('Assumption-Base'!$C$3:$C$32,'Assumption-Base'!$A$3:$A$32,$B55,'Assumption-Base'!$B$3:$B$32,$C55)</f>
        <v>0.1</v>
      </c>
      <c r="F55" s="19">
        <f t="shared" si="0"/>
        <v>20049890.013999999</v>
      </c>
      <c r="G55" s="98">
        <f>SUMIFS('Assumption-Base'!$D$3:$D$32,'Assumption-Base'!$A$3:$A$32,$B55,'Assumption-Base'!$B$3:$B$32,$C55)</f>
        <v>6.4999999999999997E-3</v>
      </c>
      <c r="H55" s="99">
        <f t="shared" si="1"/>
        <v>130324.28509099998</v>
      </c>
      <c r="I55" s="97">
        <f>SUMIFS('Assumption-Base'!$E$3:$E$32,'Assumption-Base'!$A$3:$A$32,$B55,'Assumption-Base'!$B$3:$B$32,$C55)</f>
        <v>0.32</v>
      </c>
      <c r="J55" s="19">
        <f t="shared" si="2"/>
        <v>41703.771229119993</v>
      </c>
      <c r="K55" s="100">
        <f>SUMIFS('Assumption-Base'!$F$3:$F$32,'Assumption-Base'!$A$3:$A$32,$B55,'Assumption-Base'!$B$3:$B$32,$C55)</f>
        <v>9.0000000000000006E-5</v>
      </c>
      <c r="L55" s="19">
        <f t="shared" si="3"/>
        <v>1804.4901012600001</v>
      </c>
      <c r="M55" s="99">
        <f t="shared" si="4"/>
        <v>86816.023760619995</v>
      </c>
      <c r="N55" s="97">
        <f>SUMIFS('Assumption-Base'!$G$3:$G$32,'Assumption-Base'!$A$3:$A$32,$B55,'Assumption-Base'!$B$3:$B$32,$C55)</f>
        <v>0.4</v>
      </c>
      <c r="O55" s="19">
        <f t="shared" si="5"/>
        <v>52129.714036399993</v>
      </c>
      <c r="P55" s="99">
        <f t="shared" si="6"/>
        <v>34686.309724220002</v>
      </c>
    </row>
    <row r="56" spans="1:16" x14ac:dyDescent="0.35">
      <c r="A56" s="96" t="str">
        <f>LEFT('2025 actual v budget'!A56,4)&amp;"26"</f>
        <v>Feb-26</v>
      </c>
      <c r="B56" s="17" t="str">
        <f>'2025 actual v budget'!B56</f>
        <v>Singapore</v>
      </c>
      <c r="C56" s="17" t="str">
        <f>'2025 actual v budget'!C56</f>
        <v>Treasury Yield</v>
      </c>
      <c r="D56" s="19">
        <f>'2025 actual v budget'!D56</f>
        <v>5105549.01</v>
      </c>
      <c r="E56" s="97">
        <f>SUMIFS('Assumption-Base'!$C$3:$C$32,'Assumption-Base'!$A$3:$A$32,$B56,'Assumption-Base'!$B$3:$B$32,$C56)</f>
        <v>0.05</v>
      </c>
      <c r="F56" s="19">
        <f t="shared" si="0"/>
        <v>5360826.4605</v>
      </c>
      <c r="G56" s="98">
        <f>SUMIFS('Assumption-Base'!$D$3:$D$32,'Assumption-Base'!$A$3:$A$32,$B56,'Assumption-Base'!$B$3:$B$32,$C56)</f>
        <v>3.0000000000000001E-3</v>
      </c>
      <c r="H56" s="99">
        <f t="shared" si="1"/>
        <v>16082.479381500001</v>
      </c>
      <c r="I56" s="97">
        <f>SUMIFS('Assumption-Base'!$E$3:$E$32,'Assumption-Base'!$A$3:$A$32,$B56,'Assumption-Base'!$B$3:$B$32,$C56)</f>
        <v>0.18</v>
      </c>
      <c r="J56" s="19">
        <f t="shared" si="2"/>
        <v>2894.8462886699999</v>
      </c>
      <c r="K56" s="100">
        <f>SUMIFS('Assumption-Base'!$F$3:$F$32,'Assumption-Base'!$A$3:$A$32,$B56,'Assumption-Base'!$B$3:$B$32,$C56)</f>
        <v>9.0000000000000006E-5</v>
      </c>
      <c r="L56" s="19">
        <f t="shared" si="3"/>
        <v>482.47438144500006</v>
      </c>
      <c r="M56" s="99">
        <f t="shared" si="4"/>
        <v>12705.158711385002</v>
      </c>
      <c r="N56" s="97">
        <f>SUMIFS('Assumption-Base'!$G$3:$G$32,'Assumption-Base'!$A$3:$A$32,$B56,'Assumption-Base'!$B$3:$B$32,$C56)</f>
        <v>0.4</v>
      </c>
      <c r="O56" s="19">
        <f t="shared" si="5"/>
        <v>6432.9917526000008</v>
      </c>
      <c r="P56" s="99">
        <f t="shared" si="6"/>
        <v>6272.166958785001</v>
      </c>
    </row>
    <row r="57" spans="1:16" x14ac:dyDescent="0.35">
      <c r="A57" s="96" t="str">
        <f>LEFT('2025 actual v budget'!A57,4)&amp;"26"</f>
        <v>Feb-26</v>
      </c>
      <c r="B57" s="17" t="str">
        <f>'2025 actual v budget'!B57</f>
        <v>Singapore</v>
      </c>
      <c r="C57" s="17" t="str">
        <f>'2025 actual v budget'!C57</f>
        <v>Virtual Accounts</v>
      </c>
      <c r="D57" s="19">
        <f>'2025 actual v budget'!D57</f>
        <v>7414636.7000000002</v>
      </c>
      <c r="E57" s="97">
        <f>SUMIFS('Assumption-Base'!$C$3:$C$32,'Assumption-Base'!$A$3:$A$32,$B57,'Assumption-Base'!$B$3:$B$32,$C57)</f>
        <v>0.05</v>
      </c>
      <c r="F57" s="19">
        <f t="shared" si="0"/>
        <v>7785368.5350000001</v>
      </c>
      <c r="G57" s="98">
        <f>SUMIFS('Assumption-Base'!$D$3:$D$32,'Assumption-Base'!$A$3:$A$32,$B57,'Assumption-Base'!$B$3:$B$32,$C57)</f>
        <v>4.4999999999999997E-3</v>
      </c>
      <c r="H57" s="99">
        <f t="shared" si="1"/>
        <v>35034.158407499999</v>
      </c>
      <c r="I57" s="97">
        <f>SUMIFS('Assumption-Base'!$E$3:$E$32,'Assumption-Base'!$A$3:$A$32,$B57,'Assumption-Base'!$B$3:$B$32,$C57)</f>
        <v>0.22</v>
      </c>
      <c r="J57" s="19">
        <f t="shared" si="2"/>
        <v>7707.5148496499996</v>
      </c>
      <c r="K57" s="100">
        <f>SUMIFS('Assumption-Base'!$F$3:$F$32,'Assumption-Base'!$A$3:$A$32,$B57,'Assumption-Base'!$B$3:$B$32,$C57)</f>
        <v>9.0000000000000006E-5</v>
      </c>
      <c r="L57" s="19">
        <f t="shared" si="3"/>
        <v>700.68316815000003</v>
      </c>
      <c r="M57" s="99">
        <f t="shared" si="4"/>
        <v>26625.960389699998</v>
      </c>
      <c r="N57" s="97">
        <f>SUMIFS('Assumption-Base'!$G$3:$G$32,'Assumption-Base'!$A$3:$A$32,$B57,'Assumption-Base'!$B$3:$B$32,$C57)</f>
        <v>0.4</v>
      </c>
      <c r="O57" s="19">
        <f t="shared" si="5"/>
        <v>14013.663363</v>
      </c>
      <c r="P57" s="99">
        <f t="shared" si="6"/>
        <v>12612.297026699998</v>
      </c>
    </row>
    <row r="58" spans="1:16" x14ac:dyDescent="0.35">
      <c r="A58" s="96" t="str">
        <f>LEFT('2025 actual v budget'!A58,4)&amp;"26"</f>
        <v>Feb-26</v>
      </c>
      <c r="B58" s="17" t="str">
        <f>'2025 actual v budget'!B58</f>
        <v>USA</v>
      </c>
      <c r="C58" s="17" t="str">
        <f>'2025 actual v budget'!C58</f>
        <v>Cross-border Payouts</v>
      </c>
      <c r="D58" s="19">
        <f>'2025 actual v budget'!D58</f>
        <v>19216255.829999998</v>
      </c>
      <c r="E58" s="97">
        <f>SUMIFS('Assumption-Base'!$C$3:$C$32,'Assumption-Base'!$A$3:$A$32,$B58,'Assumption-Base'!$B$3:$B$32,$C58)</f>
        <v>0.1</v>
      </c>
      <c r="F58" s="19">
        <f t="shared" si="0"/>
        <v>21137881.412999999</v>
      </c>
      <c r="G58" s="98">
        <f>SUMIFS('Assumption-Base'!$D$3:$D$32,'Assumption-Base'!$A$3:$A$32,$B58,'Assumption-Base'!$B$3:$B$32,$C58)</f>
        <v>7.4999999999999997E-3</v>
      </c>
      <c r="H58" s="99">
        <f t="shared" si="1"/>
        <v>158534.1105975</v>
      </c>
      <c r="I58" s="97">
        <f>SUMIFS('Assumption-Base'!$E$3:$E$32,'Assumption-Base'!$A$3:$A$32,$B58,'Assumption-Base'!$B$3:$B$32,$C58)</f>
        <v>0.35</v>
      </c>
      <c r="J58" s="19">
        <f t="shared" si="2"/>
        <v>55486.938709124996</v>
      </c>
      <c r="K58" s="100">
        <f>SUMIFS('Assumption-Base'!$F$3:$F$32,'Assumption-Base'!$A$3:$A$32,$B58,'Assumption-Base'!$B$3:$B$32,$C58)</f>
        <v>2.0000000000000001E-4</v>
      </c>
      <c r="L58" s="19">
        <f t="shared" si="3"/>
        <v>4227.5762826</v>
      </c>
      <c r="M58" s="99">
        <f t="shared" si="4"/>
        <v>98819.595605775001</v>
      </c>
      <c r="N58" s="97">
        <f>SUMIFS('Assumption-Base'!$G$3:$G$32,'Assumption-Base'!$A$3:$A$32,$B58,'Assumption-Base'!$B$3:$B$32,$C58)</f>
        <v>0.4</v>
      </c>
      <c r="O58" s="19">
        <f t="shared" si="5"/>
        <v>63413.644239000001</v>
      </c>
      <c r="P58" s="99">
        <f t="shared" si="6"/>
        <v>35405.951366775</v>
      </c>
    </row>
    <row r="59" spans="1:16" x14ac:dyDescent="0.35">
      <c r="A59" s="96" t="str">
        <f>LEFT('2025 actual v budget'!A59,4)&amp;"26"</f>
        <v>Feb-26</v>
      </c>
      <c r="B59" s="17" t="str">
        <f>'2025 actual v budget'!B59</f>
        <v>USA</v>
      </c>
      <c r="C59" s="17" t="str">
        <f>'2025 actual v budget'!C59</f>
        <v>FX Conversion</v>
      </c>
      <c r="D59" s="19">
        <f>'2025 actual v budget'!D59</f>
        <v>30692266.379999999</v>
      </c>
      <c r="E59" s="97">
        <f>SUMIFS('Assumption-Base'!$C$3:$C$32,'Assumption-Base'!$A$3:$A$32,$B59,'Assumption-Base'!$B$3:$B$32,$C59)</f>
        <v>0.1</v>
      </c>
      <c r="F59" s="19">
        <f t="shared" si="0"/>
        <v>33761493.017999999</v>
      </c>
      <c r="G59" s="98">
        <f>SUMIFS('Assumption-Base'!$D$3:$D$32,'Assumption-Base'!$A$3:$A$32,$B59,'Assumption-Base'!$B$3:$B$32,$C59)</f>
        <v>1.0500000000000001E-2</v>
      </c>
      <c r="H59" s="99">
        <f t="shared" si="1"/>
        <v>354495.67668899999</v>
      </c>
      <c r="I59" s="97">
        <f>SUMIFS('Assumption-Base'!$E$3:$E$32,'Assumption-Base'!$A$3:$A$32,$B59,'Assumption-Base'!$B$3:$B$32,$C59)</f>
        <v>0.28000000000000003</v>
      </c>
      <c r="J59" s="19">
        <f t="shared" si="2"/>
        <v>99258.789472920005</v>
      </c>
      <c r="K59" s="100">
        <f>SUMIFS('Assumption-Base'!$F$3:$F$32,'Assumption-Base'!$A$3:$A$32,$B59,'Assumption-Base'!$B$3:$B$32,$C59)</f>
        <v>2.0000000000000001E-4</v>
      </c>
      <c r="L59" s="19">
        <f t="shared" si="3"/>
        <v>6752.2986036000002</v>
      </c>
      <c r="M59" s="99">
        <f t="shared" si="4"/>
        <v>248484.58861247997</v>
      </c>
      <c r="N59" s="97">
        <f>SUMIFS('Assumption-Base'!$G$3:$G$32,'Assumption-Base'!$A$3:$A$32,$B59,'Assumption-Base'!$B$3:$B$32,$C59)</f>
        <v>0.4</v>
      </c>
      <c r="O59" s="19">
        <f t="shared" si="5"/>
        <v>141798.27067560001</v>
      </c>
      <c r="P59" s="99">
        <f t="shared" si="6"/>
        <v>106686.31793687996</v>
      </c>
    </row>
    <row r="60" spans="1:16" x14ac:dyDescent="0.35">
      <c r="A60" s="96" t="str">
        <f>LEFT('2025 actual v budget'!A60,4)&amp;"26"</f>
        <v>Feb-26</v>
      </c>
      <c r="B60" s="17" t="str">
        <f>'2025 actual v budget'!B60</f>
        <v>USA</v>
      </c>
      <c r="C60" s="17" t="str">
        <f>'2025 actual v budget'!C60</f>
        <v>Stablecoin Settlement</v>
      </c>
      <c r="D60" s="19">
        <f>'2025 actual v budget'!D60</f>
        <v>45351970.090000004</v>
      </c>
      <c r="E60" s="97">
        <f>SUMIFS('Assumption-Base'!$C$3:$C$32,'Assumption-Base'!$A$3:$A$32,$B60,'Assumption-Base'!$B$3:$B$32,$C60)</f>
        <v>0.2</v>
      </c>
      <c r="F60" s="19">
        <f t="shared" si="0"/>
        <v>54422364.108000003</v>
      </c>
      <c r="G60" s="98">
        <f>SUMIFS('Assumption-Base'!$D$3:$D$32,'Assumption-Base'!$A$3:$A$32,$B60,'Assumption-Base'!$B$3:$B$32,$C60)</f>
        <v>6.4999999999999997E-3</v>
      </c>
      <c r="H60" s="99">
        <f t="shared" si="1"/>
        <v>353745.36670200003</v>
      </c>
      <c r="I60" s="97">
        <f>SUMIFS('Assumption-Base'!$E$3:$E$32,'Assumption-Base'!$A$3:$A$32,$B60,'Assumption-Base'!$B$3:$B$32,$C60)</f>
        <v>0.32</v>
      </c>
      <c r="J60" s="19">
        <f t="shared" si="2"/>
        <v>113198.51734464001</v>
      </c>
      <c r="K60" s="100">
        <f>SUMIFS('Assumption-Base'!$F$3:$F$32,'Assumption-Base'!$A$3:$A$32,$B60,'Assumption-Base'!$B$3:$B$32,$C60)</f>
        <v>2.0000000000000001E-4</v>
      </c>
      <c r="L60" s="19">
        <f t="shared" si="3"/>
        <v>10884.4728216</v>
      </c>
      <c r="M60" s="99">
        <f t="shared" si="4"/>
        <v>229662.37653576001</v>
      </c>
      <c r="N60" s="97">
        <f>SUMIFS('Assumption-Base'!$G$3:$G$32,'Assumption-Base'!$A$3:$A$32,$B60,'Assumption-Base'!$B$3:$B$32,$C60)</f>
        <v>0.4</v>
      </c>
      <c r="O60" s="19">
        <f t="shared" si="5"/>
        <v>141498.14668080001</v>
      </c>
      <c r="P60" s="99">
        <f t="shared" si="6"/>
        <v>88164.229854959995</v>
      </c>
    </row>
    <row r="61" spans="1:16" x14ac:dyDescent="0.35">
      <c r="A61" s="96" t="str">
        <f>LEFT('2025 actual v budget'!A61,4)&amp;"26"</f>
        <v>Feb-26</v>
      </c>
      <c r="B61" s="17" t="str">
        <f>'2025 actual v budget'!B61</f>
        <v>USA</v>
      </c>
      <c r="C61" s="17" t="str">
        <f>'2025 actual v budget'!C61</f>
        <v>Treasury Yield</v>
      </c>
      <c r="D61" s="19">
        <f>'2025 actual v budget'!D61</f>
        <v>12703092.189999999</v>
      </c>
      <c r="E61" s="97">
        <f>SUMIFS('Assumption-Base'!$C$3:$C$32,'Assumption-Base'!$A$3:$A$32,$B61,'Assumption-Base'!$B$3:$B$32,$C61)</f>
        <v>0.1</v>
      </c>
      <c r="F61" s="19">
        <f t="shared" si="0"/>
        <v>13973401.409</v>
      </c>
      <c r="G61" s="98">
        <f>SUMIFS('Assumption-Base'!$D$3:$D$32,'Assumption-Base'!$A$3:$A$32,$B61,'Assumption-Base'!$B$3:$B$32,$C61)</f>
        <v>3.0000000000000001E-3</v>
      </c>
      <c r="H61" s="99">
        <f t="shared" si="1"/>
        <v>41920.204227000002</v>
      </c>
      <c r="I61" s="97">
        <f>SUMIFS('Assumption-Base'!$E$3:$E$32,'Assumption-Base'!$A$3:$A$32,$B61,'Assumption-Base'!$B$3:$B$32,$C61)</f>
        <v>0.18</v>
      </c>
      <c r="J61" s="19">
        <f t="shared" si="2"/>
        <v>7545.6367608600003</v>
      </c>
      <c r="K61" s="100">
        <f>SUMIFS('Assumption-Base'!$F$3:$F$32,'Assumption-Base'!$A$3:$A$32,$B61,'Assumption-Base'!$B$3:$B$32,$C61)</f>
        <v>2.0000000000000001E-4</v>
      </c>
      <c r="L61" s="19">
        <f t="shared" si="3"/>
        <v>2794.6802818000001</v>
      </c>
      <c r="M61" s="99">
        <f t="shared" si="4"/>
        <v>31579.887184340005</v>
      </c>
      <c r="N61" s="97">
        <f>SUMIFS('Assumption-Base'!$G$3:$G$32,'Assumption-Base'!$A$3:$A$32,$B61,'Assumption-Base'!$B$3:$B$32,$C61)</f>
        <v>0.4</v>
      </c>
      <c r="O61" s="19">
        <f t="shared" si="5"/>
        <v>16768.081690800002</v>
      </c>
      <c r="P61" s="99">
        <f t="shared" si="6"/>
        <v>14811.805493540003</v>
      </c>
    </row>
    <row r="62" spans="1:16" x14ac:dyDescent="0.35">
      <c r="A62" s="96" t="str">
        <f>LEFT('2025 actual v budget'!A62,4)&amp;"26"</f>
        <v>Feb-26</v>
      </c>
      <c r="B62" s="17" t="str">
        <f>'2025 actual v budget'!B62</f>
        <v>USA</v>
      </c>
      <c r="C62" s="17" t="str">
        <f>'2025 actual v budget'!C62</f>
        <v>Virtual Accounts</v>
      </c>
      <c r="D62" s="19">
        <f>'2025 actual v budget'!D62</f>
        <v>18448322.260000002</v>
      </c>
      <c r="E62" s="97">
        <f>SUMIFS('Assumption-Base'!$C$3:$C$32,'Assumption-Base'!$A$3:$A$32,$B62,'Assumption-Base'!$B$3:$B$32,$C62)</f>
        <v>0.1</v>
      </c>
      <c r="F62" s="19">
        <f t="shared" si="0"/>
        <v>20293154.486000005</v>
      </c>
      <c r="G62" s="98">
        <f>SUMIFS('Assumption-Base'!$D$3:$D$32,'Assumption-Base'!$A$3:$A$32,$B62,'Assumption-Base'!$B$3:$B$32,$C62)</f>
        <v>4.4999999999999997E-3</v>
      </c>
      <c r="H62" s="99">
        <f t="shared" si="1"/>
        <v>91319.195187000019</v>
      </c>
      <c r="I62" s="97">
        <f>SUMIFS('Assumption-Base'!$E$3:$E$32,'Assumption-Base'!$A$3:$A$32,$B62,'Assumption-Base'!$B$3:$B$32,$C62)</f>
        <v>0.22</v>
      </c>
      <c r="J62" s="19">
        <f t="shared" si="2"/>
        <v>20090.222941140004</v>
      </c>
      <c r="K62" s="100">
        <f>SUMIFS('Assumption-Base'!$F$3:$F$32,'Assumption-Base'!$A$3:$A$32,$B62,'Assumption-Base'!$B$3:$B$32,$C62)</f>
        <v>2.0000000000000001E-4</v>
      </c>
      <c r="L62" s="19">
        <f t="shared" si="3"/>
        <v>4058.6308972000011</v>
      </c>
      <c r="M62" s="99">
        <f t="shared" si="4"/>
        <v>67170.341348660018</v>
      </c>
      <c r="N62" s="97">
        <f>SUMIFS('Assumption-Base'!$G$3:$G$32,'Assumption-Base'!$A$3:$A$32,$B62,'Assumption-Base'!$B$3:$B$32,$C62)</f>
        <v>0.4</v>
      </c>
      <c r="O62" s="19">
        <f t="shared" si="5"/>
        <v>36527.678074800009</v>
      </c>
      <c r="P62" s="99">
        <f t="shared" si="6"/>
        <v>30642.663273860009</v>
      </c>
    </row>
    <row r="63" spans="1:16" x14ac:dyDescent="0.35">
      <c r="A63" s="91" t="str">
        <f>LEFT('2025 actual v budget'!A63,4)&amp;"26"</f>
        <v>Mar-26</v>
      </c>
      <c r="B63" s="12" t="str">
        <f>'2025 actual v budget'!B63</f>
        <v>Brazil</v>
      </c>
      <c r="C63" s="12" t="str">
        <f>'2025 actual v budget'!C63</f>
        <v>Cross-border Payouts</v>
      </c>
      <c r="D63" s="14">
        <f>'2025 actual v budget'!D63</f>
        <v>11907254.23</v>
      </c>
      <c r="E63" s="92">
        <f>SUMIFS('Assumption-Base'!$C$3:$C$32,'Assumption-Base'!$A$3:$A$32,$B63,'Assumption-Base'!$B$3:$B$32,$C63)</f>
        <v>0.2</v>
      </c>
      <c r="F63" s="14">
        <f t="shared" si="0"/>
        <v>14288705.075999999</v>
      </c>
      <c r="G63" s="93">
        <f>SUMIFS('Assumption-Base'!$D$3:$D$32,'Assumption-Base'!$A$3:$A$32,$B63,'Assumption-Base'!$B$3:$B$32,$C63)</f>
        <v>7.4999999999999997E-3</v>
      </c>
      <c r="H63" s="94">
        <f t="shared" si="1"/>
        <v>107165.28807</v>
      </c>
      <c r="I63" s="92">
        <f>SUMIFS('Assumption-Base'!$E$3:$E$32,'Assumption-Base'!$A$3:$A$32,$B63,'Assumption-Base'!$B$3:$B$32,$C63)</f>
        <v>0.35</v>
      </c>
      <c r="J63" s="14">
        <f t="shared" si="2"/>
        <v>37507.850824499998</v>
      </c>
      <c r="K63" s="95">
        <f>SUMIFS('Assumption-Base'!$F$3:$F$32,'Assumption-Base'!$A$3:$A$32,$B63,'Assumption-Base'!$B$3:$B$32,$C63)</f>
        <v>6.9999999999999994E-5</v>
      </c>
      <c r="L63" s="14">
        <f t="shared" si="3"/>
        <v>1000.2093553199999</v>
      </c>
      <c r="M63" s="94">
        <f t="shared" si="4"/>
        <v>68657.227890180002</v>
      </c>
      <c r="N63" s="92">
        <f>SUMIFS('Assumption-Base'!$G$3:$G$32,'Assumption-Base'!$A$3:$A$32,$B63,'Assumption-Base'!$B$3:$B$32,$C63)</f>
        <v>0.4</v>
      </c>
      <c r="O63" s="14">
        <f t="shared" si="5"/>
        <v>42866.115228000002</v>
      </c>
      <c r="P63" s="94">
        <f t="shared" si="6"/>
        <v>25791.112662179999</v>
      </c>
    </row>
    <row r="64" spans="1:16" x14ac:dyDescent="0.35">
      <c r="A64" s="91" t="str">
        <f>LEFT('2025 actual v budget'!A64,4)&amp;"26"</f>
        <v>Mar-26</v>
      </c>
      <c r="B64" s="12" t="str">
        <f>'2025 actual v budget'!B64</f>
        <v>Brazil</v>
      </c>
      <c r="C64" s="12" t="str">
        <f>'2025 actual v budget'!C64</f>
        <v>FX Conversion</v>
      </c>
      <c r="D64" s="14">
        <f>'2025 actual v budget'!D64</f>
        <v>19121982.91</v>
      </c>
      <c r="E64" s="92">
        <f>SUMIFS('Assumption-Base'!$C$3:$C$32,'Assumption-Base'!$A$3:$A$32,$B64,'Assumption-Base'!$B$3:$B$32,$C64)</f>
        <v>0.2</v>
      </c>
      <c r="F64" s="14">
        <f t="shared" si="0"/>
        <v>22946379.491999999</v>
      </c>
      <c r="G64" s="93">
        <f>SUMIFS('Assumption-Base'!$D$3:$D$32,'Assumption-Base'!$A$3:$A$32,$B64,'Assumption-Base'!$B$3:$B$32,$C64)</f>
        <v>1.0500000000000001E-2</v>
      </c>
      <c r="H64" s="94">
        <f t="shared" si="1"/>
        <v>240936.984666</v>
      </c>
      <c r="I64" s="92">
        <f>SUMIFS('Assumption-Base'!$E$3:$E$32,'Assumption-Base'!$A$3:$A$32,$B64,'Assumption-Base'!$B$3:$B$32,$C64)</f>
        <v>0.28000000000000003</v>
      </c>
      <c r="J64" s="14">
        <f t="shared" si="2"/>
        <v>67462.355706480012</v>
      </c>
      <c r="K64" s="95">
        <f>SUMIFS('Assumption-Base'!$F$3:$F$32,'Assumption-Base'!$A$3:$A$32,$B64,'Assumption-Base'!$B$3:$B$32,$C64)</f>
        <v>6.9999999999999994E-5</v>
      </c>
      <c r="L64" s="14">
        <f t="shared" si="3"/>
        <v>1606.2465644399997</v>
      </c>
      <c r="M64" s="94">
        <f t="shared" si="4"/>
        <v>171868.38239508</v>
      </c>
      <c r="N64" s="92">
        <f>SUMIFS('Assumption-Base'!$G$3:$G$32,'Assumption-Base'!$A$3:$A$32,$B64,'Assumption-Base'!$B$3:$B$32,$C64)</f>
        <v>0.4</v>
      </c>
      <c r="O64" s="14">
        <f t="shared" si="5"/>
        <v>96374.79386640001</v>
      </c>
      <c r="P64" s="94">
        <f t="shared" si="6"/>
        <v>75493.588528679989</v>
      </c>
    </row>
    <row r="65" spans="1:16" x14ac:dyDescent="0.35">
      <c r="A65" s="91" t="str">
        <f>LEFT('2025 actual v budget'!A65,4)&amp;"26"</f>
        <v>Mar-26</v>
      </c>
      <c r="B65" s="12" t="str">
        <f>'2025 actual v budget'!B65</f>
        <v>Brazil</v>
      </c>
      <c r="C65" s="12" t="str">
        <f>'2025 actual v budget'!C65</f>
        <v>Stablecoin Settlement</v>
      </c>
      <c r="D65" s="14">
        <f>'2025 actual v budget'!D65</f>
        <v>28098728.609999999</v>
      </c>
      <c r="E65" s="92">
        <f>SUMIFS('Assumption-Base'!$C$3:$C$32,'Assumption-Base'!$A$3:$A$32,$B65,'Assumption-Base'!$B$3:$B$32,$C65)</f>
        <v>0.4</v>
      </c>
      <c r="F65" s="14">
        <f t="shared" si="0"/>
        <v>39338220.053999998</v>
      </c>
      <c r="G65" s="93">
        <f>SUMIFS('Assumption-Base'!$D$3:$D$32,'Assumption-Base'!$A$3:$A$32,$B65,'Assumption-Base'!$B$3:$B$32,$C65)</f>
        <v>6.4999999999999997E-3</v>
      </c>
      <c r="H65" s="94">
        <f t="shared" si="1"/>
        <v>255698.43035099996</v>
      </c>
      <c r="I65" s="92">
        <f>SUMIFS('Assumption-Base'!$E$3:$E$32,'Assumption-Base'!$A$3:$A$32,$B65,'Assumption-Base'!$B$3:$B$32,$C65)</f>
        <v>0.32</v>
      </c>
      <c r="J65" s="14">
        <f t="shared" si="2"/>
        <v>81823.497712319993</v>
      </c>
      <c r="K65" s="95">
        <f>SUMIFS('Assumption-Base'!$F$3:$F$32,'Assumption-Base'!$A$3:$A$32,$B65,'Assumption-Base'!$B$3:$B$32,$C65)</f>
        <v>6.9999999999999994E-5</v>
      </c>
      <c r="L65" s="14">
        <f t="shared" si="3"/>
        <v>2753.6754037799997</v>
      </c>
      <c r="M65" s="94">
        <f t="shared" si="4"/>
        <v>171121.25723489997</v>
      </c>
      <c r="N65" s="92">
        <f>SUMIFS('Assumption-Base'!$G$3:$G$32,'Assumption-Base'!$A$3:$A$32,$B65,'Assumption-Base'!$B$3:$B$32,$C65)</f>
        <v>0.4</v>
      </c>
      <c r="O65" s="14">
        <f t="shared" si="5"/>
        <v>102279.3721404</v>
      </c>
      <c r="P65" s="94">
        <f t="shared" si="6"/>
        <v>68841.885094499972</v>
      </c>
    </row>
    <row r="66" spans="1:16" x14ac:dyDescent="0.35">
      <c r="A66" s="91" t="str">
        <f>LEFT('2025 actual v budget'!A66,4)&amp;"26"</f>
        <v>Mar-26</v>
      </c>
      <c r="B66" s="12" t="str">
        <f>'2025 actual v budget'!B66</f>
        <v>Brazil</v>
      </c>
      <c r="C66" s="12" t="str">
        <f>'2025 actual v budget'!C66</f>
        <v>Treasury Yield</v>
      </c>
      <c r="D66" s="14">
        <f>'2025 actual v budget'!D66</f>
        <v>7819911.6600000001</v>
      </c>
      <c r="E66" s="92">
        <f>SUMIFS('Assumption-Base'!$C$3:$C$32,'Assumption-Base'!$A$3:$A$32,$B66,'Assumption-Base'!$B$3:$B$32,$C66)</f>
        <v>0.2</v>
      </c>
      <c r="F66" s="14">
        <f t="shared" si="0"/>
        <v>9383893.9920000006</v>
      </c>
      <c r="G66" s="93">
        <f>SUMIFS('Assumption-Base'!$D$3:$D$32,'Assumption-Base'!$A$3:$A$32,$B66,'Assumption-Base'!$B$3:$B$32,$C66)</f>
        <v>3.0000000000000001E-3</v>
      </c>
      <c r="H66" s="94">
        <f t="shared" si="1"/>
        <v>28151.681976000003</v>
      </c>
      <c r="I66" s="92">
        <f>SUMIFS('Assumption-Base'!$E$3:$E$32,'Assumption-Base'!$A$3:$A$32,$B66,'Assumption-Base'!$B$3:$B$32,$C66)</f>
        <v>0.18</v>
      </c>
      <c r="J66" s="14">
        <f t="shared" si="2"/>
        <v>5067.3027556800007</v>
      </c>
      <c r="K66" s="95">
        <f>SUMIFS('Assumption-Base'!$F$3:$F$32,'Assumption-Base'!$A$3:$A$32,$B66,'Assumption-Base'!$B$3:$B$32,$C66)</f>
        <v>6.9999999999999994E-5</v>
      </c>
      <c r="L66" s="14">
        <f t="shared" si="3"/>
        <v>656.87257943999998</v>
      </c>
      <c r="M66" s="94">
        <f t="shared" si="4"/>
        <v>22427.506640880001</v>
      </c>
      <c r="N66" s="92">
        <f>SUMIFS('Assumption-Base'!$G$3:$G$32,'Assumption-Base'!$A$3:$A$32,$B66,'Assumption-Base'!$B$3:$B$32,$C66)</f>
        <v>0.4</v>
      </c>
      <c r="O66" s="14">
        <f t="shared" si="5"/>
        <v>11260.672790400002</v>
      </c>
      <c r="P66" s="94">
        <f t="shared" si="6"/>
        <v>11166.833850479999</v>
      </c>
    </row>
    <row r="67" spans="1:16" x14ac:dyDescent="0.35">
      <c r="A67" s="91" t="str">
        <f>LEFT('2025 actual v budget'!A67,4)&amp;"26"</f>
        <v>Mar-26</v>
      </c>
      <c r="B67" s="12" t="str">
        <f>'2025 actual v budget'!B67</f>
        <v>Brazil</v>
      </c>
      <c r="C67" s="12" t="str">
        <f>'2025 actual v budget'!C67</f>
        <v>Virtual Accounts</v>
      </c>
      <c r="D67" s="14">
        <f>'2025 actual v budget'!D67</f>
        <v>11620600.050000001</v>
      </c>
      <c r="E67" s="92">
        <f>SUMIFS('Assumption-Base'!$C$3:$C$32,'Assumption-Base'!$A$3:$A$32,$B67,'Assumption-Base'!$B$3:$B$32,$C67)</f>
        <v>0.2</v>
      </c>
      <c r="F67" s="14">
        <f t="shared" ref="F67:F130" si="7">D67*(1+E67)</f>
        <v>13944720.060000001</v>
      </c>
      <c r="G67" s="93">
        <f>SUMIFS('Assumption-Base'!$D$3:$D$32,'Assumption-Base'!$A$3:$A$32,$B67,'Assumption-Base'!$B$3:$B$32,$C67)</f>
        <v>4.4999999999999997E-3</v>
      </c>
      <c r="H67" s="94">
        <f t="shared" ref="H67:H130" si="8">F67*G67</f>
        <v>62751.240269999995</v>
      </c>
      <c r="I67" s="92">
        <f>SUMIFS('Assumption-Base'!$E$3:$E$32,'Assumption-Base'!$A$3:$A$32,$B67,'Assumption-Base'!$B$3:$B$32,$C67)</f>
        <v>0.22</v>
      </c>
      <c r="J67" s="14">
        <f t="shared" ref="J67:J130" si="9">H67*I67</f>
        <v>13805.272859399998</v>
      </c>
      <c r="K67" s="95">
        <f>SUMIFS('Assumption-Base'!$F$3:$F$32,'Assumption-Base'!$A$3:$A$32,$B67,'Assumption-Base'!$B$3:$B$32,$C67)</f>
        <v>6.9999999999999994E-5</v>
      </c>
      <c r="L67" s="14">
        <f t="shared" ref="L67:L130" si="10">F67*K67</f>
        <v>976.13040419999993</v>
      </c>
      <c r="M67" s="94">
        <f t="shared" ref="M67:M130" si="11">H67-J67-L67</f>
        <v>47969.837006399997</v>
      </c>
      <c r="N67" s="92">
        <f>SUMIFS('Assumption-Base'!$G$3:$G$32,'Assumption-Base'!$A$3:$A$32,$B67,'Assumption-Base'!$B$3:$B$32,$C67)</f>
        <v>0.4</v>
      </c>
      <c r="O67" s="14">
        <f t="shared" ref="O67:O130" si="12">H67*N67</f>
        <v>25100.496107999999</v>
      </c>
      <c r="P67" s="94">
        <f t="shared" ref="P67:P130" si="13">M67-O67</f>
        <v>22869.340898399998</v>
      </c>
    </row>
    <row r="68" spans="1:16" x14ac:dyDescent="0.35">
      <c r="A68" s="91" t="str">
        <f>LEFT('2025 actual v budget'!A68,4)&amp;"26"</f>
        <v>Mar-26</v>
      </c>
      <c r="B68" s="12" t="str">
        <f>'2025 actual v budget'!B68</f>
        <v>Germany</v>
      </c>
      <c r="C68" s="12" t="str">
        <f>'2025 actual v budget'!C68</f>
        <v>Cross-border Payouts</v>
      </c>
      <c r="D68" s="14">
        <f>'2025 actual v budget'!D68</f>
        <v>6223440.5899999999</v>
      </c>
      <c r="E68" s="92">
        <f>SUMIFS('Assumption-Base'!$C$3:$C$32,'Assumption-Base'!$A$3:$A$32,$B68,'Assumption-Base'!$B$3:$B$32,$C68)</f>
        <v>0.06</v>
      </c>
      <c r="F68" s="14">
        <f t="shared" si="7"/>
        <v>6596847.0254000006</v>
      </c>
      <c r="G68" s="93">
        <f>SUMIFS('Assumption-Base'!$D$3:$D$32,'Assumption-Base'!$A$3:$A$32,$B68,'Assumption-Base'!$B$3:$B$32,$C68)</f>
        <v>7.4999999999999997E-3</v>
      </c>
      <c r="H68" s="94">
        <f t="shared" si="8"/>
        <v>49476.352690500004</v>
      </c>
      <c r="I68" s="92">
        <f>SUMIFS('Assumption-Base'!$E$3:$E$32,'Assumption-Base'!$A$3:$A$32,$B68,'Assumption-Base'!$B$3:$B$32,$C68)</f>
        <v>0.35</v>
      </c>
      <c r="J68" s="14">
        <f t="shared" si="9"/>
        <v>17316.723441675</v>
      </c>
      <c r="K68" s="95">
        <f>SUMIFS('Assumption-Base'!$F$3:$F$32,'Assumption-Base'!$A$3:$A$32,$B68,'Assumption-Base'!$B$3:$B$32,$C68)</f>
        <v>1.4999999999999999E-4</v>
      </c>
      <c r="L68" s="14">
        <f t="shared" si="10"/>
        <v>989.52705380999998</v>
      </c>
      <c r="M68" s="94">
        <f t="shared" si="11"/>
        <v>31170.102195015003</v>
      </c>
      <c r="N68" s="92">
        <f>SUMIFS('Assumption-Base'!$G$3:$G$32,'Assumption-Base'!$A$3:$A$32,$B68,'Assumption-Base'!$B$3:$B$32,$C68)</f>
        <v>0.4</v>
      </c>
      <c r="O68" s="14">
        <f t="shared" si="12"/>
        <v>19790.541076200003</v>
      </c>
      <c r="P68" s="94">
        <f t="shared" si="13"/>
        <v>11379.561118815</v>
      </c>
    </row>
    <row r="69" spans="1:16" x14ac:dyDescent="0.35">
      <c r="A69" s="91" t="str">
        <f>LEFT('2025 actual v budget'!A69,4)&amp;"26"</f>
        <v>Mar-26</v>
      </c>
      <c r="B69" s="12" t="str">
        <f>'2025 actual v budget'!B69</f>
        <v>Germany</v>
      </c>
      <c r="C69" s="12" t="str">
        <f>'2025 actual v budget'!C69</f>
        <v>FX Conversion</v>
      </c>
      <c r="D69" s="14">
        <f>'2025 actual v budget'!D69</f>
        <v>9992483.2799999993</v>
      </c>
      <c r="E69" s="92">
        <f>SUMIFS('Assumption-Base'!$C$3:$C$32,'Assumption-Base'!$A$3:$A$32,$B69,'Assumption-Base'!$B$3:$B$32,$C69)</f>
        <v>0.06</v>
      </c>
      <c r="F69" s="14">
        <f t="shared" si="7"/>
        <v>10592032.276799999</v>
      </c>
      <c r="G69" s="93">
        <f>SUMIFS('Assumption-Base'!$D$3:$D$32,'Assumption-Base'!$A$3:$A$32,$B69,'Assumption-Base'!$B$3:$B$32,$C69)</f>
        <v>1.0500000000000001E-2</v>
      </c>
      <c r="H69" s="94">
        <f t="shared" si="8"/>
        <v>111216.33890639999</v>
      </c>
      <c r="I69" s="92">
        <f>SUMIFS('Assumption-Base'!$E$3:$E$32,'Assumption-Base'!$A$3:$A$32,$B69,'Assumption-Base'!$B$3:$B$32,$C69)</f>
        <v>0.28000000000000003</v>
      </c>
      <c r="J69" s="14">
        <f t="shared" si="9"/>
        <v>31140.574893792</v>
      </c>
      <c r="K69" s="95">
        <f>SUMIFS('Assumption-Base'!$F$3:$F$32,'Assumption-Base'!$A$3:$A$32,$B69,'Assumption-Base'!$B$3:$B$32,$C69)</f>
        <v>1.4999999999999999E-4</v>
      </c>
      <c r="L69" s="14">
        <f t="shared" si="10"/>
        <v>1588.8048415199996</v>
      </c>
      <c r="M69" s="94">
        <f t="shared" si="11"/>
        <v>78486.95917108799</v>
      </c>
      <c r="N69" s="92">
        <f>SUMIFS('Assumption-Base'!$G$3:$G$32,'Assumption-Base'!$A$3:$A$32,$B69,'Assumption-Base'!$B$3:$B$32,$C69)</f>
        <v>0.4</v>
      </c>
      <c r="O69" s="14">
        <f t="shared" si="12"/>
        <v>44486.535562559999</v>
      </c>
      <c r="P69" s="94">
        <f t="shared" si="13"/>
        <v>34000.423608527992</v>
      </c>
    </row>
    <row r="70" spans="1:16" x14ac:dyDescent="0.35">
      <c r="A70" s="91" t="str">
        <f>LEFT('2025 actual v budget'!A70,4)&amp;"26"</f>
        <v>Mar-26</v>
      </c>
      <c r="B70" s="12" t="str">
        <f>'2025 actual v budget'!B70</f>
        <v>Germany</v>
      </c>
      <c r="C70" s="12" t="str">
        <f>'2025 actual v budget'!C70</f>
        <v>Stablecoin Settlement</v>
      </c>
      <c r="D70" s="14">
        <f>'2025 actual v budget'!D70</f>
        <v>14686069.93</v>
      </c>
      <c r="E70" s="92">
        <f>SUMIFS('Assumption-Base'!$C$3:$C$32,'Assumption-Base'!$A$3:$A$32,$B70,'Assumption-Base'!$B$3:$B$32,$C70)</f>
        <v>0.12</v>
      </c>
      <c r="F70" s="14">
        <f t="shared" si="7"/>
        <v>16448398.321600001</v>
      </c>
      <c r="G70" s="93">
        <f>SUMIFS('Assumption-Base'!$D$3:$D$32,'Assumption-Base'!$A$3:$A$32,$B70,'Assumption-Base'!$B$3:$B$32,$C70)</f>
        <v>6.4999999999999997E-3</v>
      </c>
      <c r="H70" s="94">
        <f t="shared" si="8"/>
        <v>106914.5890904</v>
      </c>
      <c r="I70" s="92">
        <f>SUMIFS('Assumption-Base'!$E$3:$E$32,'Assumption-Base'!$A$3:$A$32,$B70,'Assumption-Base'!$B$3:$B$32,$C70)</f>
        <v>0.32</v>
      </c>
      <c r="J70" s="14">
        <f t="shared" si="9"/>
        <v>34212.668508928</v>
      </c>
      <c r="K70" s="95">
        <f>SUMIFS('Assumption-Base'!$F$3:$F$32,'Assumption-Base'!$A$3:$A$32,$B70,'Assumption-Base'!$B$3:$B$32,$C70)</f>
        <v>1.4999999999999999E-4</v>
      </c>
      <c r="L70" s="14">
        <f t="shared" si="10"/>
        <v>2467.2597482400001</v>
      </c>
      <c r="M70" s="94">
        <f t="shared" si="11"/>
        <v>70234.660833231988</v>
      </c>
      <c r="N70" s="92">
        <f>SUMIFS('Assumption-Base'!$G$3:$G$32,'Assumption-Base'!$A$3:$A$32,$B70,'Assumption-Base'!$B$3:$B$32,$C70)</f>
        <v>0.4</v>
      </c>
      <c r="O70" s="14">
        <f t="shared" si="12"/>
        <v>42765.835636160002</v>
      </c>
      <c r="P70" s="94">
        <f t="shared" si="13"/>
        <v>27468.825197071987</v>
      </c>
    </row>
    <row r="71" spans="1:16" x14ac:dyDescent="0.35">
      <c r="A71" s="91" t="str">
        <f>LEFT('2025 actual v budget'!A71,4)&amp;"26"</f>
        <v>Mar-26</v>
      </c>
      <c r="B71" s="12" t="str">
        <f>'2025 actual v budget'!B71</f>
        <v>Germany</v>
      </c>
      <c r="C71" s="12" t="str">
        <f>'2025 actual v budget'!C71</f>
        <v>Treasury Yield</v>
      </c>
      <c r="D71" s="14">
        <f>'2025 actual v budget'!D71</f>
        <v>4086413.89</v>
      </c>
      <c r="E71" s="92">
        <f>SUMIFS('Assumption-Base'!$C$3:$C$32,'Assumption-Base'!$A$3:$A$32,$B71,'Assumption-Base'!$B$3:$B$32,$C71)</f>
        <v>0.06</v>
      </c>
      <c r="F71" s="14">
        <f t="shared" si="7"/>
        <v>4331598.7234000005</v>
      </c>
      <c r="G71" s="93">
        <f>SUMIFS('Assumption-Base'!$D$3:$D$32,'Assumption-Base'!$A$3:$A$32,$B71,'Assumption-Base'!$B$3:$B$32,$C71)</f>
        <v>3.0000000000000001E-3</v>
      </c>
      <c r="H71" s="94">
        <f t="shared" si="8"/>
        <v>12994.796170200001</v>
      </c>
      <c r="I71" s="92">
        <f>SUMIFS('Assumption-Base'!$E$3:$E$32,'Assumption-Base'!$A$3:$A$32,$B71,'Assumption-Base'!$B$3:$B$32,$C71)</f>
        <v>0.18</v>
      </c>
      <c r="J71" s="14">
        <f t="shared" si="9"/>
        <v>2339.0633106360001</v>
      </c>
      <c r="K71" s="95">
        <f>SUMIFS('Assumption-Base'!$F$3:$F$32,'Assumption-Base'!$A$3:$A$32,$B71,'Assumption-Base'!$B$3:$B$32,$C71)</f>
        <v>1.4999999999999999E-4</v>
      </c>
      <c r="L71" s="14">
        <f t="shared" si="10"/>
        <v>649.73980850999999</v>
      </c>
      <c r="M71" s="94">
        <f t="shared" si="11"/>
        <v>10005.993051054002</v>
      </c>
      <c r="N71" s="92">
        <f>SUMIFS('Assumption-Base'!$G$3:$G$32,'Assumption-Base'!$A$3:$A$32,$B71,'Assumption-Base'!$B$3:$B$32,$C71)</f>
        <v>0.4</v>
      </c>
      <c r="O71" s="14">
        <f t="shared" si="12"/>
        <v>5197.9184680800008</v>
      </c>
      <c r="P71" s="94">
        <f t="shared" si="13"/>
        <v>4808.0745829740008</v>
      </c>
    </row>
    <row r="72" spans="1:16" x14ac:dyDescent="0.35">
      <c r="A72" s="91" t="str">
        <f>LEFT('2025 actual v budget'!A72,4)&amp;"26"</f>
        <v>Mar-26</v>
      </c>
      <c r="B72" s="12" t="str">
        <f>'2025 actual v budget'!B72</f>
        <v>Germany</v>
      </c>
      <c r="C72" s="12" t="str">
        <f>'2025 actual v budget'!C72</f>
        <v>Virtual Accounts</v>
      </c>
      <c r="D72" s="14">
        <f>'2025 actual v budget'!D72</f>
        <v>6072521.4699999997</v>
      </c>
      <c r="E72" s="92">
        <f>SUMIFS('Assumption-Base'!$C$3:$C$32,'Assumption-Base'!$A$3:$A$32,$B72,'Assumption-Base'!$B$3:$B$32,$C72)</f>
        <v>0.06</v>
      </c>
      <c r="F72" s="14">
        <f t="shared" si="7"/>
        <v>6436872.7582</v>
      </c>
      <c r="G72" s="93">
        <f>SUMIFS('Assumption-Base'!$D$3:$D$32,'Assumption-Base'!$A$3:$A$32,$B72,'Assumption-Base'!$B$3:$B$32,$C72)</f>
        <v>4.4999999999999997E-3</v>
      </c>
      <c r="H72" s="94">
        <f t="shared" si="8"/>
        <v>28965.927411899997</v>
      </c>
      <c r="I72" s="92">
        <f>SUMIFS('Assumption-Base'!$E$3:$E$32,'Assumption-Base'!$A$3:$A$32,$B72,'Assumption-Base'!$B$3:$B$32,$C72)</f>
        <v>0.22</v>
      </c>
      <c r="J72" s="14">
        <f t="shared" si="9"/>
        <v>6372.504030617999</v>
      </c>
      <c r="K72" s="95">
        <f>SUMIFS('Assumption-Base'!$F$3:$F$32,'Assumption-Base'!$A$3:$A$32,$B72,'Assumption-Base'!$B$3:$B$32,$C72)</f>
        <v>1.4999999999999999E-4</v>
      </c>
      <c r="L72" s="14">
        <f t="shared" si="10"/>
        <v>965.53091372999995</v>
      </c>
      <c r="M72" s="94">
        <f t="shared" si="11"/>
        <v>21627.892467551999</v>
      </c>
      <c r="N72" s="92">
        <f>SUMIFS('Assumption-Base'!$G$3:$G$32,'Assumption-Base'!$A$3:$A$32,$B72,'Assumption-Base'!$B$3:$B$32,$C72)</f>
        <v>0.4</v>
      </c>
      <c r="O72" s="14">
        <f t="shared" si="12"/>
        <v>11586.370964759999</v>
      </c>
      <c r="P72" s="94">
        <f t="shared" si="13"/>
        <v>10041.521502792</v>
      </c>
    </row>
    <row r="73" spans="1:16" x14ac:dyDescent="0.35">
      <c r="A73" s="91" t="str">
        <f>LEFT('2025 actual v budget'!A73,4)&amp;"26"</f>
        <v>Mar-26</v>
      </c>
      <c r="B73" s="12" t="str">
        <f>'2025 actual v budget'!B73</f>
        <v>India</v>
      </c>
      <c r="C73" s="12" t="str">
        <f>'2025 actual v budget'!C73</f>
        <v>Cross-border Payouts</v>
      </c>
      <c r="D73" s="14">
        <f>'2025 actual v budget'!D73</f>
        <v>7799087.8600000003</v>
      </c>
      <c r="E73" s="92">
        <f>SUMIFS('Assumption-Base'!$C$3:$C$32,'Assumption-Base'!$A$3:$A$32,$B73,'Assumption-Base'!$B$3:$B$32,$C73)</f>
        <v>0.12</v>
      </c>
      <c r="F73" s="14">
        <f t="shared" si="7"/>
        <v>8734978.4032000005</v>
      </c>
      <c r="G73" s="93">
        <f>SUMIFS('Assumption-Base'!$D$3:$D$32,'Assumption-Base'!$A$3:$A$32,$B73,'Assumption-Base'!$B$3:$B$32,$C73)</f>
        <v>7.4999999999999997E-3</v>
      </c>
      <c r="H73" s="94">
        <f t="shared" si="8"/>
        <v>65512.338024000004</v>
      </c>
      <c r="I73" s="92">
        <f>SUMIFS('Assumption-Base'!$E$3:$E$32,'Assumption-Base'!$A$3:$A$32,$B73,'Assumption-Base'!$B$3:$B$32,$C73)</f>
        <v>0.35</v>
      </c>
      <c r="J73" s="14">
        <f t="shared" si="9"/>
        <v>22929.318308400001</v>
      </c>
      <c r="K73" s="95">
        <f>SUMIFS('Assumption-Base'!$F$3:$F$32,'Assumption-Base'!$A$3:$A$32,$B73,'Assumption-Base'!$B$3:$B$32,$C73)</f>
        <v>1.8000000000000001E-4</v>
      </c>
      <c r="L73" s="14">
        <f t="shared" si="10"/>
        <v>1572.2961125760003</v>
      </c>
      <c r="M73" s="94">
        <f t="shared" si="11"/>
        <v>41010.723603024009</v>
      </c>
      <c r="N73" s="92">
        <f>SUMIFS('Assumption-Base'!$G$3:$G$32,'Assumption-Base'!$A$3:$A$32,$B73,'Assumption-Base'!$B$3:$B$32,$C73)</f>
        <v>0.4</v>
      </c>
      <c r="O73" s="14">
        <f t="shared" si="12"/>
        <v>26204.935209600004</v>
      </c>
      <c r="P73" s="94">
        <f t="shared" si="13"/>
        <v>14805.788393424005</v>
      </c>
    </row>
    <row r="74" spans="1:16" x14ac:dyDescent="0.35">
      <c r="A74" s="91" t="str">
        <f>LEFT('2025 actual v budget'!A74,4)&amp;"26"</f>
        <v>Mar-26</v>
      </c>
      <c r="B74" s="12" t="str">
        <f>'2025 actual v budget'!B74</f>
        <v>India</v>
      </c>
      <c r="C74" s="12" t="str">
        <f>'2025 actual v budget'!C74</f>
        <v>FX Conversion</v>
      </c>
      <c r="D74" s="14">
        <f>'2025 actual v budget'!D74</f>
        <v>12525735.140000001</v>
      </c>
      <c r="E74" s="92">
        <f>SUMIFS('Assumption-Base'!$C$3:$C$32,'Assumption-Base'!$A$3:$A$32,$B74,'Assumption-Base'!$B$3:$B$32,$C74)</f>
        <v>0.12</v>
      </c>
      <c r="F74" s="14">
        <f t="shared" si="7"/>
        <v>14028823.356800001</v>
      </c>
      <c r="G74" s="93">
        <f>SUMIFS('Assumption-Base'!$D$3:$D$32,'Assumption-Base'!$A$3:$A$32,$B74,'Assumption-Base'!$B$3:$B$32,$C74)</f>
        <v>1.0500000000000001E-2</v>
      </c>
      <c r="H74" s="94">
        <f t="shared" si="8"/>
        <v>147302.64524640003</v>
      </c>
      <c r="I74" s="92">
        <f>SUMIFS('Assumption-Base'!$E$3:$E$32,'Assumption-Base'!$A$3:$A$32,$B74,'Assumption-Base'!$B$3:$B$32,$C74)</f>
        <v>0.28000000000000003</v>
      </c>
      <c r="J74" s="14">
        <f t="shared" si="9"/>
        <v>41244.74066899201</v>
      </c>
      <c r="K74" s="95">
        <f>SUMIFS('Assumption-Base'!$F$3:$F$32,'Assumption-Base'!$A$3:$A$32,$B74,'Assumption-Base'!$B$3:$B$32,$C74)</f>
        <v>1.8000000000000001E-4</v>
      </c>
      <c r="L74" s="14">
        <f t="shared" si="10"/>
        <v>2525.1882042240004</v>
      </c>
      <c r="M74" s="94">
        <f t="shared" si="11"/>
        <v>103532.71637318401</v>
      </c>
      <c r="N74" s="92">
        <f>SUMIFS('Assumption-Base'!$G$3:$G$32,'Assumption-Base'!$A$3:$A$32,$B74,'Assumption-Base'!$B$3:$B$32,$C74)</f>
        <v>0.4</v>
      </c>
      <c r="O74" s="14">
        <f t="shared" si="12"/>
        <v>58921.058098560017</v>
      </c>
      <c r="P74" s="94">
        <f t="shared" si="13"/>
        <v>44611.658274623995</v>
      </c>
    </row>
    <row r="75" spans="1:16" x14ac:dyDescent="0.35">
      <c r="A75" s="91" t="str">
        <f>LEFT('2025 actual v budget'!A75,4)&amp;"26"</f>
        <v>Mar-26</v>
      </c>
      <c r="B75" s="12" t="str">
        <f>'2025 actual v budget'!B75</f>
        <v>India</v>
      </c>
      <c r="C75" s="12" t="str">
        <f>'2025 actual v budget'!C75</f>
        <v>Stablecoin Settlement</v>
      </c>
      <c r="D75" s="14">
        <f>'2025 actual v budget'!D75</f>
        <v>18404281.039999999</v>
      </c>
      <c r="E75" s="92">
        <f>SUMIFS('Assumption-Base'!$C$3:$C$32,'Assumption-Base'!$A$3:$A$32,$B75,'Assumption-Base'!$B$3:$B$32,$C75)</f>
        <v>0.24</v>
      </c>
      <c r="F75" s="14">
        <f t="shared" si="7"/>
        <v>22821308.489599999</v>
      </c>
      <c r="G75" s="93">
        <f>SUMIFS('Assumption-Base'!$D$3:$D$32,'Assumption-Base'!$A$3:$A$32,$B75,'Assumption-Base'!$B$3:$B$32,$C75)</f>
        <v>6.4999999999999997E-3</v>
      </c>
      <c r="H75" s="94">
        <f t="shared" si="8"/>
        <v>148338.5051824</v>
      </c>
      <c r="I75" s="92">
        <f>SUMIFS('Assumption-Base'!$E$3:$E$32,'Assumption-Base'!$A$3:$A$32,$B75,'Assumption-Base'!$B$3:$B$32,$C75)</f>
        <v>0.32</v>
      </c>
      <c r="J75" s="14">
        <f t="shared" si="9"/>
        <v>47468.321658367997</v>
      </c>
      <c r="K75" s="95">
        <f>SUMIFS('Assumption-Base'!$F$3:$F$32,'Assumption-Base'!$A$3:$A$32,$B75,'Assumption-Base'!$B$3:$B$32,$C75)</f>
        <v>1.8000000000000001E-4</v>
      </c>
      <c r="L75" s="14">
        <f t="shared" si="10"/>
        <v>4107.8355281280001</v>
      </c>
      <c r="M75" s="94">
        <f t="shared" si="11"/>
        <v>96762.347995904012</v>
      </c>
      <c r="N75" s="92">
        <f>SUMIFS('Assumption-Base'!$G$3:$G$32,'Assumption-Base'!$A$3:$A$32,$B75,'Assumption-Base'!$B$3:$B$32,$C75)</f>
        <v>0.4</v>
      </c>
      <c r="O75" s="14">
        <f t="shared" si="12"/>
        <v>59335.402072960002</v>
      </c>
      <c r="P75" s="94">
        <f t="shared" si="13"/>
        <v>37426.945922944011</v>
      </c>
    </row>
    <row r="76" spans="1:16" x14ac:dyDescent="0.35">
      <c r="A76" s="91" t="str">
        <f>LEFT('2025 actual v budget'!A76,4)&amp;"26"</f>
        <v>Mar-26</v>
      </c>
      <c r="B76" s="12" t="str">
        <f>'2025 actual v budget'!B76</f>
        <v>India</v>
      </c>
      <c r="C76" s="12" t="str">
        <f>'2025 actual v budget'!C76</f>
        <v>Treasury Yield</v>
      </c>
      <c r="D76" s="14">
        <f>'2025 actual v budget'!D76</f>
        <v>5122384.1500000004</v>
      </c>
      <c r="E76" s="92">
        <f>SUMIFS('Assumption-Base'!$C$3:$C$32,'Assumption-Base'!$A$3:$A$32,$B76,'Assumption-Base'!$B$3:$B$32,$C76)</f>
        <v>0.12</v>
      </c>
      <c r="F76" s="14">
        <f t="shared" si="7"/>
        <v>5737070.2480000006</v>
      </c>
      <c r="G76" s="93">
        <f>SUMIFS('Assumption-Base'!$D$3:$D$32,'Assumption-Base'!$A$3:$A$32,$B76,'Assumption-Base'!$B$3:$B$32,$C76)</f>
        <v>3.0000000000000001E-3</v>
      </c>
      <c r="H76" s="94">
        <f t="shared" si="8"/>
        <v>17211.210744000004</v>
      </c>
      <c r="I76" s="92">
        <f>SUMIFS('Assumption-Base'!$E$3:$E$32,'Assumption-Base'!$A$3:$A$32,$B76,'Assumption-Base'!$B$3:$B$32,$C76)</f>
        <v>0.18</v>
      </c>
      <c r="J76" s="14">
        <f t="shared" si="9"/>
        <v>3098.0179339200004</v>
      </c>
      <c r="K76" s="95">
        <f>SUMIFS('Assumption-Base'!$F$3:$F$32,'Assumption-Base'!$A$3:$A$32,$B76,'Assumption-Base'!$B$3:$B$32,$C76)</f>
        <v>1.8000000000000001E-4</v>
      </c>
      <c r="L76" s="14">
        <f t="shared" si="10"/>
        <v>1032.6726446400003</v>
      </c>
      <c r="M76" s="94">
        <f t="shared" si="11"/>
        <v>13080.520165440003</v>
      </c>
      <c r="N76" s="92">
        <f>SUMIFS('Assumption-Base'!$G$3:$G$32,'Assumption-Base'!$A$3:$A$32,$B76,'Assumption-Base'!$B$3:$B$32,$C76)</f>
        <v>0.4</v>
      </c>
      <c r="O76" s="14">
        <f t="shared" si="12"/>
        <v>6884.4842976000018</v>
      </c>
      <c r="P76" s="94">
        <f t="shared" si="13"/>
        <v>6196.0358678400007</v>
      </c>
    </row>
    <row r="77" spans="1:16" x14ac:dyDescent="0.35">
      <c r="A77" s="91" t="str">
        <f>LEFT('2025 actual v budget'!A77,4)&amp;"26"</f>
        <v>Mar-26</v>
      </c>
      <c r="B77" s="12" t="str">
        <f>'2025 actual v budget'!B77</f>
        <v>India</v>
      </c>
      <c r="C77" s="12" t="str">
        <f>'2025 actual v budget'!C77</f>
        <v>Virtual Accounts</v>
      </c>
      <c r="D77" s="14">
        <f>'2025 actual v budget'!D77</f>
        <v>7612001.2800000003</v>
      </c>
      <c r="E77" s="92">
        <f>SUMIFS('Assumption-Base'!$C$3:$C$32,'Assumption-Base'!$A$3:$A$32,$B77,'Assumption-Base'!$B$3:$B$32,$C77)</f>
        <v>0.12</v>
      </c>
      <c r="F77" s="14">
        <f t="shared" si="7"/>
        <v>8525441.433600001</v>
      </c>
      <c r="G77" s="93">
        <f>SUMIFS('Assumption-Base'!$D$3:$D$32,'Assumption-Base'!$A$3:$A$32,$B77,'Assumption-Base'!$B$3:$B$32,$C77)</f>
        <v>4.4999999999999997E-3</v>
      </c>
      <c r="H77" s="94">
        <f t="shared" si="8"/>
        <v>38364.486451199999</v>
      </c>
      <c r="I77" s="92">
        <f>SUMIFS('Assumption-Base'!$E$3:$E$32,'Assumption-Base'!$A$3:$A$32,$B77,'Assumption-Base'!$B$3:$B$32,$C77)</f>
        <v>0.22</v>
      </c>
      <c r="J77" s="14">
        <f t="shared" si="9"/>
        <v>8440.1870192639999</v>
      </c>
      <c r="K77" s="95">
        <f>SUMIFS('Assumption-Base'!$F$3:$F$32,'Assumption-Base'!$A$3:$A$32,$B77,'Assumption-Base'!$B$3:$B$32,$C77)</f>
        <v>1.8000000000000001E-4</v>
      </c>
      <c r="L77" s="14">
        <f t="shared" si="10"/>
        <v>1534.5794580480003</v>
      </c>
      <c r="M77" s="94">
        <f t="shared" si="11"/>
        <v>28389.719973888001</v>
      </c>
      <c r="N77" s="92">
        <f>SUMIFS('Assumption-Base'!$G$3:$G$32,'Assumption-Base'!$A$3:$A$32,$B77,'Assumption-Base'!$B$3:$B$32,$C77)</f>
        <v>0.4</v>
      </c>
      <c r="O77" s="14">
        <f t="shared" si="12"/>
        <v>15345.79458048</v>
      </c>
      <c r="P77" s="94">
        <f t="shared" si="13"/>
        <v>13043.925393408001</v>
      </c>
    </row>
    <row r="78" spans="1:16" x14ac:dyDescent="0.35">
      <c r="A78" s="91" t="str">
        <f>LEFT('2025 actual v budget'!A78,4)&amp;"26"</f>
        <v>Mar-26</v>
      </c>
      <c r="B78" s="12" t="str">
        <f>'2025 actual v budget'!B78</f>
        <v>Mexico</v>
      </c>
      <c r="C78" s="12" t="str">
        <f>'2025 actual v budget'!C78</f>
        <v>Cross-border Payouts</v>
      </c>
      <c r="D78" s="14">
        <f>'2025 actual v budget'!D78</f>
        <v>9443752.9100000001</v>
      </c>
      <c r="E78" s="92">
        <f>SUMIFS('Assumption-Base'!$C$3:$C$32,'Assumption-Base'!$A$3:$A$32,$B78,'Assumption-Base'!$B$3:$B$32,$C78)</f>
        <v>0.15</v>
      </c>
      <c r="F78" s="14">
        <f t="shared" si="7"/>
        <v>10860315.8465</v>
      </c>
      <c r="G78" s="93">
        <f>SUMIFS('Assumption-Base'!$D$3:$D$32,'Assumption-Base'!$A$3:$A$32,$B78,'Assumption-Base'!$B$3:$B$32,$C78)</f>
        <v>7.4999999999999997E-3</v>
      </c>
      <c r="H78" s="94">
        <f t="shared" si="8"/>
        <v>81452.368848750004</v>
      </c>
      <c r="I78" s="92">
        <f>SUMIFS('Assumption-Base'!$E$3:$E$32,'Assumption-Base'!$A$3:$A$32,$B78,'Assumption-Base'!$B$3:$B$32,$C78)</f>
        <v>0.35</v>
      </c>
      <c r="J78" s="14">
        <f t="shared" si="9"/>
        <v>28508.329097062498</v>
      </c>
      <c r="K78" s="95">
        <f>SUMIFS('Assumption-Base'!$F$3:$F$32,'Assumption-Base'!$A$3:$A$32,$B78,'Assumption-Base'!$B$3:$B$32,$C78)</f>
        <v>8.0000000000000007E-5</v>
      </c>
      <c r="L78" s="14">
        <f t="shared" si="10"/>
        <v>868.82526772000006</v>
      </c>
      <c r="M78" s="94">
        <f t="shared" si="11"/>
        <v>52075.214483967509</v>
      </c>
      <c r="N78" s="92">
        <f>SUMIFS('Assumption-Base'!$G$3:$G$32,'Assumption-Base'!$A$3:$A$32,$B78,'Assumption-Base'!$B$3:$B$32,$C78)</f>
        <v>0.4</v>
      </c>
      <c r="O78" s="14">
        <f t="shared" si="12"/>
        <v>32580.947539500004</v>
      </c>
      <c r="P78" s="94">
        <f t="shared" si="13"/>
        <v>19494.266944467505</v>
      </c>
    </row>
    <row r="79" spans="1:16" x14ac:dyDescent="0.35">
      <c r="A79" s="91" t="str">
        <f>LEFT('2025 actual v budget'!A79,4)&amp;"26"</f>
        <v>Mar-26</v>
      </c>
      <c r="B79" s="12" t="str">
        <f>'2025 actual v budget'!B79</f>
        <v>Mexico</v>
      </c>
      <c r="C79" s="12" t="str">
        <f>'2025 actual v budget'!C79</f>
        <v>FX Conversion</v>
      </c>
      <c r="D79" s="14">
        <f>'2025 actual v budget'!D79</f>
        <v>15166489.199999999</v>
      </c>
      <c r="E79" s="92">
        <f>SUMIFS('Assumption-Base'!$C$3:$C$32,'Assumption-Base'!$A$3:$A$32,$B79,'Assumption-Base'!$B$3:$B$32,$C79)</f>
        <v>0.15</v>
      </c>
      <c r="F79" s="14">
        <f t="shared" si="7"/>
        <v>17441462.579999998</v>
      </c>
      <c r="G79" s="93">
        <f>SUMIFS('Assumption-Base'!$D$3:$D$32,'Assumption-Base'!$A$3:$A$32,$B79,'Assumption-Base'!$B$3:$B$32,$C79)</f>
        <v>1.0500000000000001E-2</v>
      </c>
      <c r="H79" s="94">
        <f t="shared" si="8"/>
        <v>183135.35709</v>
      </c>
      <c r="I79" s="92">
        <f>SUMIFS('Assumption-Base'!$E$3:$E$32,'Assumption-Base'!$A$3:$A$32,$B79,'Assumption-Base'!$B$3:$B$32,$C79)</f>
        <v>0.28000000000000003</v>
      </c>
      <c r="J79" s="14">
        <f t="shared" si="9"/>
        <v>51277.899985200005</v>
      </c>
      <c r="K79" s="95">
        <f>SUMIFS('Assumption-Base'!$F$3:$F$32,'Assumption-Base'!$A$3:$A$32,$B79,'Assumption-Base'!$B$3:$B$32,$C79)</f>
        <v>8.0000000000000007E-5</v>
      </c>
      <c r="L79" s="14">
        <f t="shared" si="10"/>
        <v>1395.3170064000001</v>
      </c>
      <c r="M79" s="94">
        <f t="shared" si="11"/>
        <v>130462.14009840001</v>
      </c>
      <c r="N79" s="92">
        <f>SUMIFS('Assumption-Base'!$G$3:$G$32,'Assumption-Base'!$A$3:$A$32,$B79,'Assumption-Base'!$B$3:$B$32,$C79)</f>
        <v>0.4</v>
      </c>
      <c r="O79" s="14">
        <f t="shared" si="12"/>
        <v>73254.142835999999</v>
      </c>
      <c r="P79" s="94">
        <f t="shared" si="13"/>
        <v>57207.997262400007</v>
      </c>
    </row>
    <row r="80" spans="1:16" x14ac:dyDescent="0.35">
      <c r="A80" s="91" t="str">
        <f>LEFT('2025 actual v budget'!A80,4)&amp;"26"</f>
        <v>Mar-26</v>
      </c>
      <c r="B80" s="12" t="str">
        <f>'2025 actual v budget'!B80</f>
        <v>Mexico</v>
      </c>
      <c r="C80" s="12" t="str">
        <f>'2025 actual v budget'!C80</f>
        <v>Stablecoin Settlement</v>
      </c>
      <c r="D80" s="14">
        <f>'2025 actual v budget'!D80</f>
        <v>22285360.25</v>
      </c>
      <c r="E80" s="92">
        <f>SUMIFS('Assumption-Base'!$C$3:$C$32,'Assumption-Base'!$A$3:$A$32,$B80,'Assumption-Base'!$B$3:$B$32,$C80)</f>
        <v>0.3</v>
      </c>
      <c r="F80" s="14">
        <f t="shared" si="7"/>
        <v>28970968.324999999</v>
      </c>
      <c r="G80" s="93">
        <f>SUMIFS('Assumption-Base'!$D$3:$D$32,'Assumption-Base'!$A$3:$A$32,$B80,'Assumption-Base'!$B$3:$B$32,$C80)</f>
        <v>6.4999999999999997E-3</v>
      </c>
      <c r="H80" s="94">
        <f t="shared" si="8"/>
        <v>188311.29411249998</v>
      </c>
      <c r="I80" s="92">
        <f>SUMIFS('Assumption-Base'!$E$3:$E$32,'Assumption-Base'!$A$3:$A$32,$B80,'Assumption-Base'!$B$3:$B$32,$C80)</f>
        <v>0.32</v>
      </c>
      <c r="J80" s="14">
        <f t="shared" si="9"/>
        <v>60259.614115999997</v>
      </c>
      <c r="K80" s="95">
        <f>SUMIFS('Assumption-Base'!$F$3:$F$32,'Assumption-Base'!$A$3:$A$32,$B80,'Assumption-Base'!$B$3:$B$32,$C80)</f>
        <v>8.0000000000000007E-5</v>
      </c>
      <c r="L80" s="14">
        <f t="shared" si="10"/>
        <v>2317.6774660000001</v>
      </c>
      <c r="M80" s="94">
        <f t="shared" si="11"/>
        <v>125734.00253049999</v>
      </c>
      <c r="N80" s="92">
        <f>SUMIFS('Assumption-Base'!$G$3:$G$32,'Assumption-Base'!$A$3:$A$32,$B80,'Assumption-Base'!$B$3:$B$32,$C80)</f>
        <v>0.4</v>
      </c>
      <c r="O80" s="14">
        <f t="shared" si="12"/>
        <v>75324.517645</v>
      </c>
      <c r="P80" s="94">
        <f t="shared" si="13"/>
        <v>50409.484885499987</v>
      </c>
    </row>
    <row r="81" spans="1:16" x14ac:dyDescent="0.35">
      <c r="A81" s="91" t="str">
        <f>LEFT('2025 actual v budget'!A81,4)&amp;"26"</f>
        <v>Mar-26</v>
      </c>
      <c r="B81" s="12" t="str">
        <f>'2025 actual v budget'!B81</f>
        <v>Mexico</v>
      </c>
      <c r="C81" s="12" t="str">
        <f>'2025 actual v budget'!C81</f>
        <v>Treasury Yield</v>
      </c>
      <c r="D81" s="14">
        <f>'2025 actual v budget'!D81</f>
        <v>6202317.3099999996</v>
      </c>
      <c r="E81" s="92">
        <f>SUMIFS('Assumption-Base'!$C$3:$C$32,'Assumption-Base'!$A$3:$A$32,$B81,'Assumption-Base'!$B$3:$B$32,$C81)</f>
        <v>0.15</v>
      </c>
      <c r="F81" s="14">
        <f t="shared" si="7"/>
        <v>7132664.9064999986</v>
      </c>
      <c r="G81" s="93">
        <f>SUMIFS('Assumption-Base'!$D$3:$D$32,'Assumption-Base'!$A$3:$A$32,$B81,'Assumption-Base'!$B$3:$B$32,$C81)</f>
        <v>3.0000000000000001E-3</v>
      </c>
      <c r="H81" s="94">
        <f t="shared" si="8"/>
        <v>21397.994719499995</v>
      </c>
      <c r="I81" s="92">
        <f>SUMIFS('Assumption-Base'!$E$3:$E$32,'Assumption-Base'!$A$3:$A$32,$B81,'Assumption-Base'!$B$3:$B$32,$C81)</f>
        <v>0.18</v>
      </c>
      <c r="J81" s="14">
        <f t="shared" si="9"/>
        <v>3851.639049509999</v>
      </c>
      <c r="K81" s="95">
        <f>SUMIFS('Assumption-Base'!$F$3:$F$32,'Assumption-Base'!$A$3:$A$32,$B81,'Assumption-Base'!$B$3:$B$32,$C81)</f>
        <v>8.0000000000000007E-5</v>
      </c>
      <c r="L81" s="14">
        <f t="shared" si="10"/>
        <v>570.61319251999998</v>
      </c>
      <c r="M81" s="94">
        <f t="shared" si="11"/>
        <v>16975.742477469998</v>
      </c>
      <c r="N81" s="92">
        <f>SUMIFS('Assumption-Base'!$G$3:$G$32,'Assumption-Base'!$A$3:$A$32,$B81,'Assumption-Base'!$B$3:$B$32,$C81)</f>
        <v>0.4</v>
      </c>
      <c r="O81" s="14">
        <f t="shared" si="12"/>
        <v>8559.1978877999991</v>
      </c>
      <c r="P81" s="94">
        <f t="shared" si="13"/>
        <v>8416.5445896699985</v>
      </c>
    </row>
    <row r="82" spans="1:16" x14ac:dyDescent="0.35">
      <c r="A82" s="91" t="str">
        <f>LEFT('2025 actual v budget'!A82,4)&amp;"26"</f>
        <v>Mar-26</v>
      </c>
      <c r="B82" s="12" t="str">
        <f>'2025 actual v budget'!B82</f>
        <v>Mexico</v>
      </c>
      <c r="C82" s="12" t="str">
        <f>'2025 actual v budget'!C82</f>
        <v>Virtual Accounts</v>
      </c>
      <c r="D82" s="14">
        <f>'2025 actual v budget'!D82</f>
        <v>9216811.1500000004</v>
      </c>
      <c r="E82" s="92">
        <f>SUMIFS('Assumption-Base'!$C$3:$C$32,'Assumption-Base'!$A$3:$A$32,$B82,'Assumption-Base'!$B$3:$B$32,$C82)</f>
        <v>0.15</v>
      </c>
      <c r="F82" s="14">
        <f t="shared" si="7"/>
        <v>10599332.8225</v>
      </c>
      <c r="G82" s="93">
        <f>SUMIFS('Assumption-Base'!$D$3:$D$32,'Assumption-Base'!$A$3:$A$32,$B82,'Assumption-Base'!$B$3:$B$32,$C82)</f>
        <v>4.4999999999999997E-3</v>
      </c>
      <c r="H82" s="94">
        <f t="shared" si="8"/>
        <v>47696.997701249995</v>
      </c>
      <c r="I82" s="92">
        <f>SUMIFS('Assumption-Base'!$E$3:$E$32,'Assumption-Base'!$A$3:$A$32,$B82,'Assumption-Base'!$B$3:$B$32,$C82)</f>
        <v>0.22</v>
      </c>
      <c r="J82" s="14">
        <f t="shared" si="9"/>
        <v>10493.339494274998</v>
      </c>
      <c r="K82" s="95">
        <f>SUMIFS('Assumption-Base'!$F$3:$F$32,'Assumption-Base'!$A$3:$A$32,$B82,'Assumption-Base'!$B$3:$B$32,$C82)</f>
        <v>8.0000000000000007E-5</v>
      </c>
      <c r="L82" s="14">
        <f t="shared" si="10"/>
        <v>847.94662580000011</v>
      </c>
      <c r="M82" s="94">
        <f t="shared" si="11"/>
        <v>36355.711581174997</v>
      </c>
      <c r="N82" s="92">
        <f>SUMIFS('Assumption-Base'!$G$3:$G$32,'Assumption-Base'!$A$3:$A$32,$B82,'Assumption-Base'!$B$3:$B$32,$C82)</f>
        <v>0.4</v>
      </c>
      <c r="O82" s="14">
        <f t="shared" si="12"/>
        <v>19078.799080499997</v>
      </c>
      <c r="P82" s="94">
        <f t="shared" si="13"/>
        <v>17276.912500675</v>
      </c>
    </row>
    <row r="83" spans="1:16" x14ac:dyDescent="0.35">
      <c r="A83" s="91" t="str">
        <f>LEFT('2025 actual v budget'!A83,4)&amp;"26"</f>
        <v>Mar-26</v>
      </c>
      <c r="B83" s="12" t="str">
        <f>'2025 actual v budget'!B83</f>
        <v>Singapore</v>
      </c>
      <c r="C83" s="12" t="str">
        <f>'2025 actual v budget'!C83</f>
        <v>Cross-border Payouts</v>
      </c>
      <c r="D83" s="14">
        <f>'2025 actual v budget'!D83</f>
        <v>8012361.3499999996</v>
      </c>
      <c r="E83" s="92">
        <f>SUMIFS('Assumption-Base'!$C$3:$C$32,'Assumption-Base'!$A$3:$A$32,$B83,'Assumption-Base'!$B$3:$B$32,$C83)</f>
        <v>0.05</v>
      </c>
      <c r="F83" s="14">
        <f t="shared" si="7"/>
        <v>8412979.4175000004</v>
      </c>
      <c r="G83" s="93">
        <f>SUMIFS('Assumption-Base'!$D$3:$D$32,'Assumption-Base'!$A$3:$A$32,$B83,'Assumption-Base'!$B$3:$B$32,$C83)</f>
        <v>7.4999999999999997E-3</v>
      </c>
      <c r="H83" s="94">
        <f t="shared" si="8"/>
        <v>63097.345631249998</v>
      </c>
      <c r="I83" s="92">
        <f>SUMIFS('Assumption-Base'!$E$3:$E$32,'Assumption-Base'!$A$3:$A$32,$B83,'Assumption-Base'!$B$3:$B$32,$C83)</f>
        <v>0.35</v>
      </c>
      <c r="J83" s="14">
        <f t="shared" si="9"/>
        <v>22084.070970937497</v>
      </c>
      <c r="K83" s="95">
        <f>SUMIFS('Assumption-Base'!$F$3:$F$32,'Assumption-Base'!$A$3:$A$32,$B83,'Assumption-Base'!$B$3:$B$32,$C83)</f>
        <v>9.0000000000000006E-5</v>
      </c>
      <c r="L83" s="14">
        <f t="shared" si="10"/>
        <v>757.16814757500003</v>
      </c>
      <c r="M83" s="94">
        <f t="shared" si="11"/>
        <v>40256.106512737497</v>
      </c>
      <c r="N83" s="92">
        <f>SUMIFS('Assumption-Base'!$G$3:$G$32,'Assumption-Base'!$A$3:$A$32,$B83,'Assumption-Base'!$B$3:$B$32,$C83)</f>
        <v>0.4</v>
      </c>
      <c r="O83" s="14">
        <f t="shared" si="12"/>
        <v>25238.9382525</v>
      </c>
      <c r="P83" s="94">
        <f t="shared" si="13"/>
        <v>15017.168260237497</v>
      </c>
    </row>
    <row r="84" spans="1:16" x14ac:dyDescent="0.35">
      <c r="A84" s="91" t="str">
        <f>LEFT('2025 actual v budget'!A84,4)&amp;"26"</f>
        <v>Mar-26</v>
      </c>
      <c r="B84" s="12" t="str">
        <f>'2025 actual v budget'!B84</f>
        <v>Singapore</v>
      </c>
      <c r="C84" s="12" t="str">
        <f>'2025 actual v budget'!C84</f>
        <v>FX Conversion</v>
      </c>
      <c r="D84" s="14">
        <f>'2025 actual v budget'!D84</f>
        <v>12865983.52</v>
      </c>
      <c r="E84" s="92">
        <f>SUMIFS('Assumption-Base'!$C$3:$C$32,'Assumption-Base'!$A$3:$A$32,$B84,'Assumption-Base'!$B$3:$B$32,$C84)</f>
        <v>0.05</v>
      </c>
      <c r="F84" s="14">
        <f t="shared" si="7"/>
        <v>13509282.696</v>
      </c>
      <c r="G84" s="93">
        <f>SUMIFS('Assumption-Base'!$D$3:$D$32,'Assumption-Base'!$A$3:$A$32,$B84,'Assumption-Base'!$B$3:$B$32,$C84)</f>
        <v>1.0500000000000001E-2</v>
      </c>
      <c r="H84" s="94">
        <f t="shared" si="8"/>
        <v>141847.46830800001</v>
      </c>
      <c r="I84" s="92">
        <f>SUMIFS('Assumption-Base'!$E$3:$E$32,'Assumption-Base'!$A$3:$A$32,$B84,'Assumption-Base'!$B$3:$B$32,$C84)</f>
        <v>0.28000000000000003</v>
      </c>
      <c r="J84" s="14">
        <f t="shared" si="9"/>
        <v>39717.291126240008</v>
      </c>
      <c r="K84" s="95">
        <f>SUMIFS('Assumption-Base'!$F$3:$F$32,'Assumption-Base'!$A$3:$A$32,$B84,'Assumption-Base'!$B$3:$B$32,$C84)</f>
        <v>9.0000000000000006E-5</v>
      </c>
      <c r="L84" s="14">
        <f t="shared" si="10"/>
        <v>1215.8354426400001</v>
      </c>
      <c r="M84" s="94">
        <f t="shared" si="11"/>
        <v>100914.34173911999</v>
      </c>
      <c r="N84" s="92">
        <f>SUMIFS('Assumption-Base'!$G$3:$G$32,'Assumption-Base'!$A$3:$A$32,$B84,'Assumption-Base'!$B$3:$B$32,$C84)</f>
        <v>0.4</v>
      </c>
      <c r="O84" s="14">
        <f t="shared" si="12"/>
        <v>56738.98732320001</v>
      </c>
      <c r="P84" s="94">
        <f t="shared" si="13"/>
        <v>44175.354415919981</v>
      </c>
    </row>
    <row r="85" spans="1:16" x14ac:dyDescent="0.35">
      <c r="A85" s="91" t="str">
        <f>LEFT('2025 actual v budget'!A85,4)&amp;"26"</f>
        <v>Mar-26</v>
      </c>
      <c r="B85" s="12" t="str">
        <f>'2025 actual v budget'!B85</f>
        <v>Singapore</v>
      </c>
      <c r="C85" s="12" t="str">
        <f>'2025 actual v budget'!C85</f>
        <v>Stablecoin Settlement</v>
      </c>
      <c r="D85" s="14">
        <f>'2025 actual v budget'!D85</f>
        <v>18907563.640000001</v>
      </c>
      <c r="E85" s="92">
        <f>SUMIFS('Assumption-Base'!$C$3:$C$32,'Assumption-Base'!$A$3:$A$32,$B85,'Assumption-Base'!$B$3:$B$32,$C85)</f>
        <v>0.1</v>
      </c>
      <c r="F85" s="14">
        <f t="shared" si="7"/>
        <v>20798320.004000001</v>
      </c>
      <c r="G85" s="93">
        <f>SUMIFS('Assumption-Base'!$D$3:$D$32,'Assumption-Base'!$A$3:$A$32,$B85,'Assumption-Base'!$B$3:$B$32,$C85)</f>
        <v>6.4999999999999997E-3</v>
      </c>
      <c r="H85" s="94">
        <f t="shared" si="8"/>
        <v>135189.08002600001</v>
      </c>
      <c r="I85" s="92">
        <f>SUMIFS('Assumption-Base'!$E$3:$E$32,'Assumption-Base'!$A$3:$A$32,$B85,'Assumption-Base'!$B$3:$B$32,$C85)</f>
        <v>0.32</v>
      </c>
      <c r="J85" s="14">
        <f t="shared" si="9"/>
        <v>43260.505608320003</v>
      </c>
      <c r="K85" s="95">
        <f>SUMIFS('Assumption-Base'!$F$3:$F$32,'Assumption-Base'!$A$3:$A$32,$B85,'Assumption-Base'!$B$3:$B$32,$C85)</f>
        <v>9.0000000000000006E-5</v>
      </c>
      <c r="L85" s="14">
        <f t="shared" si="10"/>
        <v>1871.8488003600003</v>
      </c>
      <c r="M85" s="94">
        <f t="shared" si="11"/>
        <v>90056.72561732</v>
      </c>
      <c r="N85" s="92">
        <f>SUMIFS('Assumption-Base'!$G$3:$G$32,'Assumption-Base'!$A$3:$A$32,$B85,'Assumption-Base'!$B$3:$B$32,$C85)</f>
        <v>0.4</v>
      </c>
      <c r="O85" s="14">
        <f t="shared" si="12"/>
        <v>54075.632010400004</v>
      </c>
      <c r="P85" s="94">
        <f t="shared" si="13"/>
        <v>35981.093606919996</v>
      </c>
    </row>
    <row r="86" spans="1:16" x14ac:dyDescent="0.35">
      <c r="A86" s="91" t="str">
        <f>LEFT('2025 actual v budget'!A86,4)&amp;"26"</f>
        <v>Mar-26</v>
      </c>
      <c r="B86" s="12" t="str">
        <f>'2025 actual v budget'!B86</f>
        <v>Singapore</v>
      </c>
      <c r="C86" s="12" t="str">
        <f>'2025 actual v budget'!C86</f>
        <v>Treasury Yield</v>
      </c>
      <c r="D86" s="14">
        <f>'2025 actual v budget'!D86</f>
        <v>5261528.3099999996</v>
      </c>
      <c r="E86" s="92">
        <f>SUMIFS('Assumption-Base'!$C$3:$C$32,'Assumption-Base'!$A$3:$A$32,$B86,'Assumption-Base'!$B$3:$B$32,$C86)</f>
        <v>0.05</v>
      </c>
      <c r="F86" s="14">
        <f t="shared" si="7"/>
        <v>5524604.7254999997</v>
      </c>
      <c r="G86" s="93">
        <f>SUMIFS('Assumption-Base'!$D$3:$D$32,'Assumption-Base'!$A$3:$A$32,$B86,'Assumption-Base'!$B$3:$B$32,$C86)</f>
        <v>3.0000000000000001E-3</v>
      </c>
      <c r="H86" s="94">
        <f t="shared" si="8"/>
        <v>16573.8141765</v>
      </c>
      <c r="I86" s="92">
        <f>SUMIFS('Assumption-Base'!$E$3:$E$32,'Assumption-Base'!$A$3:$A$32,$B86,'Assumption-Base'!$B$3:$B$32,$C86)</f>
        <v>0.18</v>
      </c>
      <c r="J86" s="14">
        <f t="shared" si="9"/>
        <v>2983.2865517699997</v>
      </c>
      <c r="K86" s="95">
        <f>SUMIFS('Assumption-Base'!$F$3:$F$32,'Assumption-Base'!$A$3:$A$32,$B86,'Assumption-Base'!$B$3:$B$32,$C86)</f>
        <v>9.0000000000000006E-5</v>
      </c>
      <c r="L86" s="14">
        <f t="shared" si="10"/>
        <v>497.21442529500001</v>
      </c>
      <c r="M86" s="94">
        <f t="shared" si="11"/>
        <v>13093.313199435001</v>
      </c>
      <c r="N86" s="92">
        <f>SUMIFS('Assumption-Base'!$G$3:$G$32,'Assumption-Base'!$A$3:$A$32,$B86,'Assumption-Base'!$B$3:$B$32,$C86)</f>
        <v>0.4</v>
      </c>
      <c r="O86" s="14">
        <f t="shared" si="12"/>
        <v>6629.5256706</v>
      </c>
      <c r="P86" s="94">
        <f t="shared" si="13"/>
        <v>6463.7875288350006</v>
      </c>
    </row>
    <row r="87" spans="1:16" x14ac:dyDescent="0.35">
      <c r="A87" s="91" t="str">
        <f>LEFT('2025 actual v budget'!A87,4)&amp;"26"</f>
        <v>Mar-26</v>
      </c>
      <c r="B87" s="12" t="str">
        <f>'2025 actual v budget'!B87</f>
        <v>Singapore</v>
      </c>
      <c r="C87" s="12" t="str">
        <f>'2025 actual v budget'!C87</f>
        <v>Virtual Accounts</v>
      </c>
      <c r="D87" s="14">
        <f>'2025 actual v budget'!D87</f>
        <v>7818773.2599999998</v>
      </c>
      <c r="E87" s="92">
        <f>SUMIFS('Assumption-Base'!$C$3:$C$32,'Assumption-Base'!$A$3:$A$32,$B87,'Assumption-Base'!$B$3:$B$32,$C87)</f>
        <v>0.05</v>
      </c>
      <c r="F87" s="14">
        <f t="shared" si="7"/>
        <v>8209711.9230000004</v>
      </c>
      <c r="G87" s="93">
        <f>SUMIFS('Assumption-Base'!$D$3:$D$32,'Assumption-Base'!$A$3:$A$32,$B87,'Assumption-Base'!$B$3:$B$32,$C87)</f>
        <v>4.4999999999999997E-3</v>
      </c>
      <c r="H87" s="94">
        <f t="shared" si="8"/>
        <v>36943.703653500001</v>
      </c>
      <c r="I87" s="92">
        <f>SUMIFS('Assumption-Base'!$E$3:$E$32,'Assumption-Base'!$A$3:$A$32,$B87,'Assumption-Base'!$B$3:$B$32,$C87)</f>
        <v>0.22</v>
      </c>
      <c r="J87" s="14">
        <f t="shared" si="9"/>
        <v>8127.6148037700004</v>
      </c>
      <c r="K87" s="95">
        <f>SUMIFS('Assumption-Base'!$F$3:$F$32,'Assumption-Base'!$A$3:$A$32,$B87,'Assumption-Base'!$B$3:$B$32,$C87)</f>
        <v>9.0000000000000006E-5</v>
      </c>
      <c r="L87" s="14">
        <f t="shared" si="10"/>
        <v>738.87407307000012</v>
      </c>
      <c r="M87" s="94">
        <f t="shared" si="11"/>
        <v>28077.214776659999</v>
      </c>
      <c r="N87" s="92">
        <f>SUMIFS('Assumption-Base'!$G$3:$G$32,'Assumption-Base'!$A$3:$A$32,$B87,'Assumption-Base'!$B$3:$B$32,$C87)</f>
        <v>0.4</v>
      </c>
      <c r="O87" s="14">
        <f t="shared" si="12"/>
        <v>14777.481461400001</v>
      </c>
      <c r="P87" s="94">
        <f t="shared" si="13"/>
        <v>13299.733315259999</v>
      </c>
    </row>
    <row r="88" spans="1:16" x14ac:dyDescent="0.35">
      <c r="A88" s="91" t="str">
        <f>LEFT('2025 actual v budget'!A88,4)&amp;"26"</f>
        <v>Mar-26</v>
      </c>
      <c r="B88" s="12" t="str">
        <f>'2025 actual v budget'!B88</f>
        <v>USA</v>
      </c>
      <c r="C88" s="12" t="str">
        <f>'2025 actual v budget'!C88</f>
        <v>Cross-border Payouts</v>
      </c>
      <c r="D88" s="14">
        <f>'2025 actual v budget'!D88</f>
        <v>19841486.920000002</v>
      </c>
      <c r="E88" s="92">
        <f>SUMIFS('Assumption-Base'!$C$3:$C$32,'Assumption-Base'!$A$3:$A$32,$B88,'Assumption-Base'!$B$3:$B$32,$C88)</f>
        <v>0.1</v>
      </c>
      <c r="F88" s="14">
        <f t="shared" si="7"/>
        <v>21825635.612000003</v>
      </c>
      <c r="G88" s="93">
        <f>SUMIFS('Assumption-Base'!$D$3:$D$32,'Assumption-Base'!$A$3:$A$32,$B88,'Assumption-Base'!$B$3:$B$32,$C88)</f>
        <v>7.4999999999999997E-3</v>
      </c>
      <c r="H88" s="94">
        <f t="shared" si="8"/>
        <v>163692.26709000001</v>
      </c>
      <c r="I88" s="92">
        <f>SUMIFS('Assumption-Base'!$E$3:$E$32,'Assumption-Base'!$A$3:$A$32,$B88,'Assumption-Base'!$B$3:$B$32,$C88)</f>
        <v>0.35</v>
      </c>
      <c r="J88" s="14">
        <f t="shared" si="9"/>
        <v>57292.293481499997</v>
      </c>
      <c r="K88" s="95">
        <f>SUMIFS('Assumption-Base'!$F$3:$F$32,'Assumption-Base'!$A$3:$A$32,$B88,'Assumption-Base'!$B$3:$B$32,$C88)</f>
        <v>2.0000000000000001E-4</v>
      </c>
      <c r="L88" s="14">
        <f t="shared" si="10"/>
        <v>4365.1271224000011</v>
      </c>
      <c r="M88" s="94">
        <f t="shared" si="11"/>
        <v>102034.8464861</v>
      </c>
      <c r="N88" s="92">
        <f>SUMIFS('Assumption-Base'!$G$3:$G$32,'Assumption-Base'!$A$3:$A$32,$B88,'Assumption-Base'!$B$3:$B$32,$C88)</f>
        <v>0.4</v>
      </c>
      <c r="O88" s="14">
        <f t="shared" si="12"/>
        <v>65476.906836000009</v>
      </c>
      <c r="P88" s="94">
        <f t="shared" si="13"/>
        <v>36557.939650099986</v>
      </c>
    </row>
    <row r="89" spans="1:16" x14ac:dyDescent="0.35">
      <c r="A89" s="91" t="str">
        <f>LEFT('2025 actual v budget'!A89,4)&amp;"26"</f>
        <v>Mar-26</v>
      </c>
      <c r="B89" s="12" t="str">
        <f>'2025 actual v budget'!B89</f>
        <v>USA</v>
      </c>
      <c r="C89" s="12" t="str">
        <f>'2025 actual v budget'!C89</f>
        <v>FX Conversion</v>
      </c>
      <c r="D89" s="14">
        <f>'2025 actual v budget'!D89</f>
        <v>31859355.210000001</v>
      </c>
      <c r="E89" s="92">
        <f>SUMIFS('Assumption-Base'!$C$3:$C$32,'Assumption-Base'!$A$3:$A$32,$B89,'Assumption-Base'!$B$3:$B$32,$C89)</f>
        <v>0.1</v>
      </c>
      <c r="F89" s="14">
        <f t="shared" si="7"/>
        <v>35045290.731000006</v>
      </c>
      <c r="G89" s="93">
        <f>SUMIFS('Assumption-Base'!$D$3:$D$32,'Assumption-Base'!$A$3:$A$32,$B89,'Assumption-Base'!$B$3:$B$32,$C89)</f>
        <v>1.0500000000000001E-2</v>
      </c>
      <c r="H89" s="94">
        <f t="shared" si="8"/>
        <v>367975.5526755001</v>
      </c>
      <c r="I89" s="92">
        <f>SUMIFS('Assumption-Base'!$E$3:$E$32,'Assumption-Base'!$A$3:$A$32,$B89,'Assumption-Base'!$B$3:$B$32,$C89)</f>
        <v>0.28000000000000003</v>
      </c>
      <c r="J89" s="14">
        <f t="shared" si="9"/>
        <v>103033.15474914004</v>
      </c>
      <c r="K89" s="95">
        <f>SUMIFS('Assumption-Base'!$F$3:$F$32,'Assumption-Base'!$A$3:$A$32,$B89,'Assumption-Base'!$B$3:$B$32,$C89)</f>
        <v>2.0000000000000001E-4</v>
      </c>
      <c r="L89" s="14">
        <f t="shared" si="10"/>
        <v>7009.0581462000018</v>
      </c>
      <c r="M89" s="94">
        <f t="shared" si="11"/>
        <v>257933.33978016008</v>
      </c>
      <c r="N89" s="92">
        <f>SUMIFS('Assumption-Base'!$G$3:$G$32,'Assumption-Base'!$A$3:$A$32,$B89,'Assumption-Base'!$B$3:$B$32,$C89)</f>
        <v>0.4</v>
      </c>
      <c r="O89" s="14">
        <f t="shared" si="12"/>
        <v>147190.22107020006</v>
      </c>
      <c r="P89" s="94">
        <f t="shared" si="13"/>
        <v>110743.11870996002</v>
      </c>
    </row>
    <row r="90" spans="1:16" x14ac:dyDescent="0.35">
      <c r="A90" s="91" t="str">
        <f>LEFT('2025 actual v budget'!A90,4)&amp;"26"</f>
        <v>Mar-26</v>
      </c>
      <c r="B90" s="12" t="str">
        <f>'2025 actual v budget'!B90</f>
        <v>USA</v>
      </c>
      <c r="C90" s="12" t="str">
        <f>'2025 actual v budget'!C90</f>
        <v>Stablecoin Settlement</v>
      </c>
      <c r="D90" s="14">
        <f>'2025 actual v budget'!D90</f>
        <v>46821924.289999999</v>
      </c>
      <c r="E90" s="92">
        <f>SUMIFS('Assumption-Base'!$C$3:$C$32,'Assumption-Base'!$A$3:$A$32,$B90,'Assumption-Base'!$B$3:$B$32,$C90)</f>
        <v>0.2</v>
      </c>
      <c r="F90" s="14">
        <f t="shared" si="7"/>
        <v>56186309.147999994</v>
      </c>
      <c r="G90" s="93">
        <f>SUMIFS('Assumption-Base'!$D$3:$D$32,'Assumption-Base'!$A$3:$A$32,$B90,'Assumption-Base'!$B$3:$B$32,$C90)</f>
        <v>6.4999999999999997E-3</v>
      </c>
      <c r="H90" s="94">
        <f t="shared" si="8"/>
        <v>365211.00946199993</v>
      </c>
      <c r="I90" s="92">
        <f>SUMIFS('Assumption-Base'!$E$3:$E$32,'Assumption-Base'!$A$3:$A$32,$B90,'Assumption-Base'!$B$3:$B$32,$C90)</f>
        <v>0.32</v>
      </c>
      <c r="J90" s="14">
        <f t="shared" si="9"/>
        <v>116867.52302783998</v>
      </c>
      <c r="K90" s="95">
        <f>SUMIFS('Assumption-Base'!$F$3:$F$32,'Assumption-Base'!$A$3:$A$32,$B90,'Assumption-Base'!$B$3:$B$32,$C90)</f>
        <v>2.0000000000000001E-4</v>
      </c>
      <c r="L90" s="14">
        <f t="shared" si="10"/>
        <v>11237.2618296</v>
      </c>
      <c r="M90" s="94">
        <f t="shared" si="11"/>
        <v>237106.22460455995</v>
      </c>
      <c r="N90" s="92">
        <f>SUMIFS('Assumption-Base'!$G$3:$G$32,'Assumption-Base'!$A$3:$A$32,$B90,'Assumption-Base'!$B$3:$B$32,$C90)</f>
        <v>0.4</v>
      </c>
      <c r="O90" s="14">
        <f t="shared" si="12"/>
        <v>146084.40378479997</v>
      </c>
      <c r="P90" s="94">
        <f t="shared" si="13"/>
        <v>91021.820819759974</v>
      </c>
    </row>
    <row r="91" spans="1:16" x14ac:dyDescent="0.35">
      <c r="A91" s="91" t="str">
        <f>LEFT('2025 actual v budget'!A91,4)&amp;"26"</f>
        <v>Mar-26</v>
      </c>
      <c r="B91" s="12" t="str">
        <f>'2025 actual v budget'!B91</f>
        <v>USA</v>
      </c>
      <c r="C91" s="12" t="str">
        <f>'2025 actual v budget'!C91</f>
        <v>Treasury Yield</v>
      </c>
      <c r="D91" s="14">
        <f>'2025 actual v budget'!D91</f>
        <v>13028844.57</v>
      </c>
      <c r="E91" s="92">
        <f>SUMIFS('Assumption-Base'!$C$3:$C$32,'Assumption-Base'!$A$3:$A$32,$B91,'Assumption-Base'!$B$3:$B$32,$C91)</f>
        <v>0.1</v>
      </c>
      <c r="F91" s="14">
        <f t="shared" si="7"/>
        <v>14331729.027000001</v>
      </c>
      <c r="G91" s="93">
        <f>SUMIFS('Assumption-Base'!$D$3:$D$32,'Assumption-Base'!$A$3:$A$32,$B91,'Assumption-Base'!$B$3:$B$32,$C91)</f>
        <v>3.0000000000000001E-3</v>
      </c>
      <c r="H91" s="94">
        <f t="shared" si="8"/>
        <v>42995.187081000004</v>
      </c>
      <c r="I91" s="92">
        <f>SUMIFS('Assumption-Base'!$E$3:$E$32,'Assumption-Base'!$A$3:$A$32,$B91,'Assumption-Base'!$B$3:$B$32,$C91)</f>
        <v>0.18</v>
      </c>
      <c r="J91" s="14">
        <f t="shared" si="9"/>
        <v>7739.1336745799999</v>
      </c>
      <c r="K91" s="95">
        <f>SUMIFS('Assumption-Base'!$F$3:$F$32,'Assumption-Base'!$A$3:$A$32,$B91,'Assumption-Base'!$B$3:$B$32,$C91)</f>
        <v>2.0000000000000001E-4</v>
      </c>
      <c r="L91" s="14">
        <f t="shared" si="10"/>
        <v>2866.3458054000002</v>
      </c>
      <c r="M91" s="94">
        <f t="shared" si="11"/>
        <v>32389.707601020003</v>
      </c>
      <c r="N91" s="92">
        <f>SUMIFS('Assumption-Base'!$G$3:$G$32,'Assumption-Base'!$A$3:$A$32,$B91,'Assumption-Base'!$B$3:$B$32,$C91)</f>
        <v>0.4</v>
      </c>
      <c r="O91" s="14">
        <f t="shared" si="12"/>
        <v>17198.074832400001</v>
      </c>
      <c r="P91" s="94">
        <f t="shared" si="13"/>
        <v>15191.632768620002</v>
      </c>
    </row>
    <row r="92" spans="1:16" x14ac:dyDescent="0.35">
      <c r="A92" s="91" t="str">
        <f>LEFT('2025 actual v budget'!A92,4)&amp;"26"</f>
        <v>Mar-26</v>
      </c>
      <c r="B92" s="12" t="str">
        <f>'2025 actual v budget'!B92</f>
        <v>USA</v>
      </c>
      <c r="C92" s="12" t="str">
        <f>'2025 actual v budget'!C92</f>
        <v>Virtual Accounts</v>
      </c>
      <c r="D92" s="14">
        <f>'2025 actual v budget'!D92</f>
        <v>19361215.129999999</v>
      </c>
      <c r="E92" s="92">
        <f>SUMIFS('Assumption-Base'!$C$3:$C$32,'Assumption-Base'!$A$3:$A$32,$B92,'Assumption-Base'!$B$3:$B$32,$C92)</f>
        <v>0.1</v>
      </c>
      <c r="F92" s="14">
        <f t="shared" si="7"/>
        <v>21297336.642999999</v>
      </c>
      <c r="G92" s="93">
        <f>SUMIFS('Assumption-Base'!$D$3:$D$32,'Assumption-Base'!$A$3:$A$32,$B92,'Assumption-Base'!$B$3:$B$32,$C92)</f>
        <v>4.4999999999999997E-3</v>
      </c>
      <c r="H92" s="94">
        <f t="shared" si="8"/>
        <v>95838.014893499989</v>
      </c>
      <c r="I92" s="92">
        <f>SUMIFS('Assumption-Base'!$E$3:$E$32,'Assumption-Base'!$A$3:$A$32,$B92,'Assumption-Base'!$B$3:$B$32,$C92)</f>
        <v>0.22</v>
      </c>
      <c r="J92" s="14">
        <f t="shared" si="9"/>
        <v>21084.363276569999</v>
      </c>
      <c r="K92" s="95">
        <f>SUMIFS('Assumption-Base'!$F$3:$F$32,'Assumption-Base'!$A$3:$A$32,$B92,'Assumption-Base'!$B$3:$B$32,$C92)</f>
        <v>2.0000000000000001E-4</v>
      </c>
      <c r="L92" s="14">
        <f t="shared" si="10"/>
        <v>4259.4673285999997</v>
      </c>
      <c r="M92" s="94">
        <f t="shared" si="11"/>
        <v>70494.184288329983</v>
      </c>
      <c r="N92" s="92">
        <f>SUMIFS('Assumption-Base'!$G$3:$G$32,'Assumption-Base'!$A$3:$A$32,$B92,'Assumption-Base'!$B$3:$B$32,$C92)</f>
        <v>0.4</v>
      </c>
      <c r="O92" s="14">
        <f t="shared" si="12"/>
        <v>38335.205957399994</v>
      </c>
      <c r="P92" s="94">
        <f t="shared" si="13"/>
        <v>32158.978330929989</v>
      </c>
    </row>
    <row r="93" spans="1:16" x14ac:dyDescent="0.35">
      <c r="A93" s="96" t="str">
        <f>LEFT('2025 actual v budget'!A93,4)&amp;"26"</f>
        <v>Apr-26</v>
      </c>
      <c r="B93" s="17" t="str">
        <f>'2025 actual v budget'!B93</f>
        <v>Brazil</v>
      </c>
      <c r="C93" s="17" t="str">
        <f>'2025 actual v budget'!C93</f>
        <v>Cross-border Payouts</v>
      </c>
      <c r="D93" s="19">
        <f>'2025 actual v budget'!D93</f>
        <v>12468810.82</v>
      </c>
      <c r="E93" s="97">
        <f>SUMIFS('Assumption-Base'!$C$3:$C$32,'Assumption-Base'!$A$3:$A$32,$B93,'Assumption-Base'!$B$3:$B$32,$C93)</f>
        <v>0.2</v>
      </c>
      <c r="F93" s="19">
        <f t="shared" si="7"/>
        <v>14962572.983999999</v>
      </c>
      <c r="G93" s="98">
        <f>SUMIFS('Assumption-Base'!$D$3:$D$32,'Assumption-Base'!$A$3:$A$32,$B93,'Assumption-Base'!$B$3:$B$32,$C93)</f>
        <v>7.4999999999999997E-3</v>
      </c>
      <c r="H93" s="99">
        <f t="shared" si="8"/>
        <v>112219.29737999999</v>
      </c>
      <c r="I93" s="97">
        <f>SUMIFS('Assumption-Base'!$E$3:$E$32,'Assumption-Base'!$A$3:$A$32,$B93,'Assumption-Base'!$B$3:$B$32,$C93)</f>
        <v>0.35</v>
      </c>
      <c r="J93" s="19">
        <f t="shared" si="9"/>
        <v>39276.754082999993</v>
      </c>
      <c r="K93" s="100">
        <f>SUMIFS('Assumption-Base'!$F$3:$F$32,'Assumption-Base'!$A$3:$A$32,$B93,'Assumption-Base'!$B$3:$B$32,$C93)</f>
        <v>6.9999999999999994E-5</v>
      </c>
      <c r="L93" s="19">
        <f t="shared" si="10"/>
        <v>1047.3801088799999</v>
      </c>
      <c r="M93" s="99">
        <f t="shared" si="11"/>
        <v>71895.163188120001</v>
      </c>
      <c r="N93" s="97">
        <f>SUMIFS('Assumption-Base'!$G$3:$G$32,'Assumption-Base'!$A$3:$A$32,$B93,'Assumption-Base'!$B$3:$B$32,$C93)</f>
        <v>0.4</v>
      </c>
      <c r="O93" s="19">
        <f t="shared" si="12"/>
        <v>44887.718951999996</v>
      </c>
      <c r="P93" s="99">
        <f t="shared" si="13"/>
        <v>27007.444236120005</v>
      </c>
    </row>
    <row r="94" spans="1:16" x14ac:dyDescent="0.35">
      <c r="A94" s="96" t="str">
        <f>LEFT('2025 actual v budget'!A94,4)&amp;"26"</f>
        <v>Apr-26</v>
      </c>
      <c r="B94" s="17" t="str">
        <f>'2025 actual v budget'!B94</f>
        <v>Brazil</v>
      </c>
      <c r="C94" s="17" t="str">
        <f>'2025 actual v budget'!C94</f>
        <v>FX Conversion</v>
      </c>
      <c r="D94" s="19">
        <f>'2025 actual v budget'!D94</f>
        <v>19893855.25</v>
      </c>
      <c r="E94" s="97">
        <f>SUMIFS('Assumption-Base'!$C$3:$C$32,'Assumption-Base'!$A$3:$A$32,$B94,'Assumption-Base'!$B$3:$B$32,$C94)</f>
        <v>0.2</v>
      </c>
      <c r="F94" s="19">
        <f t="shared" si="7"/>
        <v>23872626.300000001</v>
      </c>
      <c r="G94" s="98">
        <f>SUMIFS('Assumption-Base'!$D$3:$D$32,'Assumption-Base'!$A$3:$A$32,$B94,'Assumption-Base'!$B$3:$B$32,$C94)</f>
        <v>1.0500000000000001E-2</v>
      </c>
      <c r="H94" s="99">
        <f t="shared" si="8"/>
        <v>250662.57615000004</v>
      </c>
      <c r="I94" s="97">
        <f>SUMIFS('Assumption-Base'!$E$3:$E$32,'Assumption-Base'!$A$3:$A$32,$B94,'Assumption-Base'!$B$3:$B$32,$C94)</f>
        <v>0.28000000000000003</v>
      </c>
      <c r="J94" s="19">
        <f t="shared" si="9"/>
        <v>70185.521322000015</v>
      </c>
      <c r="K94" s="100">
        <f>SUMIFS('Assumption-Base'!$F$3:$F$32,'Assumption-Base'!$A$3:$A$32,$B94,'Assumption-Base'!$B$3:$B$32,$C94)</f>
        <v>6.9999999999999994E-5</v>
      </c>
      <c r="L94" s="19">
        <f t="shared" si="10"/>
        <v>1671.0838409999999</v>
      </c>
      <c r="M94" s="99">
        <f t="shared" si="11"/>
        <v>178805.97098700001</v>
      </c>
      <c r="N94" s="97">
        <f>SUMIFS('Assumption-Base'!$G$3:$G$32,'Assumption-Base'!$A$3:$A$32,$B94,'Assumption-Base'!$B$3:$B$32,$C94)</f>
        <v>0.4</v>
      </c>
      <c r="O94" s="19">
        <f t="shared" si="12"/>
        <v>100265.03046000002</v>
      </c>
      <c r="P94" s="99">
        <f t="shared" si="13"/>
        <v>78540.940526999984</v>
      </c>
    </row>
    <row r="95" spans="1:16" x14ac:dyDescent="0.35">
      <c r="A95" s="96" t="str">
        <f>LEFT('2025 actual v budget'!A95,4)&amp;"26"</f>
        <v>Apr-26</v>
      </c>
      <c r="B95" s="17" t="str">
        <f>'2025 actual v budget'!B95</f>
        <v>Brazil</v>
      </c>
      <c r="C95" s="17" t="str">
        <f>'2025 actual v budget'!C95</f>
        <v>Stablecoin Settlement</v>
      </c>
      <c r="D95" s="19">
        <f>'2025 actual v budget'!D95</f>
        <v>29889008.460000001</v>
      </c>
      <c r="E95" s="97">
        <f>SUMIFS('Assumption-Base'!$C$3:$C$32,'Assumption-Base'!$A$3:$A$32,$B95,'Assumption-Base'!$B$3:$B$32,$C95)</f>
        <v>0.4</v>
      </c>
      <c r="F95" s="19">
        <f t="shared" si="7"/>
        <v>41844611.843999997</v>
      </c>
      <c r="G95" s="98">
        <f>SUMIFS('Assumption-Base'!$D$3:$D$32,'Assumption-Base'!$A$3:$A$32,$B95,'Assumption-Base'!$B$3:$B$32,$C95)</f>
        <v>6.4999999999999997E-3</v>
      </c>
      <c r="H95" s="99">
        <f t="shared" si="8"/>
        <v>271989.97698599997</v>
      </c>
      <c r="I95" s="97">
        <f>SUMIFS('Assumption-Base'!$E$3:$E$32,'Assumption-Base'!$A$3:$A$32,$B95,'Assumption-Base'!$B$3:$B$32,$C95)</f>
        <v>0.32</v>
      </c>
      <c r="J95" s="19">
        <f t="shared" si="9"/>
        <v>87036.792635519989</v>
      </c>
      <c r="K95" s="100">
        <f>SUMIFS('Assumption-Base'!$F$3:$F$32,'Assumption-Base'!$A$3:$A$32,$B95,'Assumption-Base'!$B$3:$B$32,$C95)</f>
        <v>6.9999999999999994E-5</v>
      </c>
      <c r="L95" s="19">
        <f t="shared" si="10"/>
        <v>2929.1228290799995</v>
      </c>
      <c r="M95" s="99">
        <f t="shared" si="11"/>
        <v>182024.06152139997</v>
      </c>
      <c r="N95" s="97">
        <f>SUMIFS('Assumption-Base'!$G$3:$G$32,'Assumption-Base'!$A$3:$A$32,$B95,'Assumption-Base'!$B$3:$B$32,$C95)</f>
        <v>0.4</v>
      </c>
      <c r="O95" s="19">
        <f t="shared" si="12"/>
        <v>108795.99079439999</v>
      </c>
      <c r="P95" s="99">
        <f t="shared" si="13"/>
        <v>73228.070726999984</v>
      </c>
    </row>
    <row r="96" spans="1:16" x14ac:dyDescent="0.35">
      <c r="A96" s="96" t="str">
        <f>LEFT('2025 actual v budget'!A96,4)&amp;"26"</f>
        <v>Apr-26</v>
      </c>
      <c r="B96" s="17" t="str">
        <f>'2025 actual v budget'!B96</f>
        <v>Brazil</v>
      </c>
      <c r="C96" s="17" t="str">
        <f>'2025 actual v budget'!C96</f>
        <v>Treasury Yield</v>
      </c>
      <c r="D96" s="19">
        <f>'2025 actual v budget'!D96</f>
        <v>8176806.4299999997</v>
      </c>
      <c r="E96" s="97">
        <f>SUMIFS('Assumption-Base'!$C$3:$C$32,'Assumption-Base'!$A$3:$A$32,$B96,'Assumption-Base'!$B$3:$B$32,$C96)</f>
        <v>0.2</v>
      </c>
      <c r="F96" s="19">
        <f t="shared" si="7"/>
        <v>9812167.716</v>
      </c>
      <c r="G96" s="98">
        <f>SUMIFS('Assumption-Base'!$D$3:$D$32,'Assumption-Base'!$A$3:$A$32,$B96,'Assumption-Base'!$B$3:$B$32,$C96)</f>
        <v>3.0000000000000001E-3</v>
      </c>
      <c r="H96" s="99">
        <f t="shared" si="8"/>
        <v>29436.503148</v>
      </c>
      <c r="I96" s="97">
        <f>SUMIFS('Assumption-Base'!$E$3:$E$32,'Assumption-Base'!$A$3:$A$32,$B96,'Assumption-Base'!$B$3:$B$32,$C96)</f>
        <v>0.18</v>
      </c>
      <c r="J96" s="19">
        <f t="shared" si="9"/>
        <v>5298.5705666399999</v>
      </c>
      <c r="K96" s="100">
        <f>SUMIFS('Assumption-Base'!$F$3:$F$32,'Assumption-Base'!$A$3:$A$32,$B96,'Assumption-Base'!$B$3:$B$32,$C96)</f>
        <v>6.9999999999999994E-5</v>
      </c>
      <c r="L96" s="19">
        <f t="shared" si="10"/>
        <v>686.85174011999993</v>
      </c>
      <c r="M96" s="99">
        <f t="shared" si="11"/>
        <v>23451.08084124</v>
      </c>
      <c r="N96" s="97">
        <f>SUMIFS('Assumption-Base'!$G$3:$G$32,'Assumption-Base'!$A$3:$A$32,$B96,'Assumption-Base'!$B$3:$B$32,$C96)</f>
        <v>0.4</v>
      </c>
      <c r="O96" s="19">
        <f t="shared" si="12"/>
        <v>11774.601259200001</v>
      </c>
      <c r="P96" s="99">
        <f t="shared" si="13"/>
        <v>11676.47958204</v>
      </c>
    </row>
    <row r="97" spans="1:16" x14ac:dyDescent="0.35">
      <c r="A97" s="96" t="str">
        <f>LEFT('2025 actual v budget'!A97,4)&amp;"26"</f>
        <v>Apr-26</v>
      </c>
      <c r="B97" s="17" t="str">
        <f>'2025 actual v budget'!B97</f>
        <v>Brazil</v>
      </c>
      <c r="C97" s="17" t="str">
        <f>'2025 actual v budget'!C97</f>
        <v>Virtual Accounts</v>
      </c>
      <c r="D97" s="19">
        <f>'2025 actual v budget'!D97</f>
        <v>12543154.289999999</v>
      </c>
      <c r="E97" s="97">
        <f>SUMIFS('Assumption-Base'!$C$3:$C$32,'Assumption-Base'!$A$3:$A$32,$B97,'Assumption-Base'!$B$3:$B$32,$C97)</f>
        <v>0.2</v>
      </c>
      <c r="F97" s="19">
        <f t="shared" si="7"/>
        <v>15051785.147999998</v>
      </c>
      <c r="G97" s="98">
        <f>SUMIFS('Assumption-Base'!$D$3:$D$32,'Assumption-Base'!$A$3:$A$32,$B97,'Assumption-Base'!$B$3:$B$32,$C97)</f>
        <v>4.4999999999999997E-3</v>
      </c>
      <c r="H97" s="99">
        <f t="shared" si="8"/>
        <v>67733.033165999994</v>
      </c>
      <c r="I97" s="97">
        <f>SUMIFS('Assumption-Base'!$E$3:$E$32,'Assumption-Base'!$A$3:$A$32,$B97,'Assumption-Base'!$B$3:$B$32,$C97)</f>
        <v>0.22</v>
      </c>
      <c r="J97" s="19">
        <f t="shared" si="9"/>
        <v>14901.267296519998</v>
      </c>
      <c r="K97" s="100">
        <f>SUMIFS('Assumption-Base'!$F$3:$F$32,'Assumption-Base'!$A$3:$A$32,$B97,'Assumption-Base'!$B$3:$B$32,$C97)</f>
        <v>6.9999999999999994E-5</v>
      </c>
      <c r="L97" s="19">
        <f t="shared" si="10"/>
        <v>1053.6249603599997</v>
      </c>
      <c r="M97" s="99">
        <f t="shared" si="11"/>
        <v>51778.140909119997</v>
      </c>
      <c r="N97" s="97">
        <f>SUMIFS('Assumption-Base'!$G$3:$G$32,'Assumption-Base'!$A$3:$A$32,$B97,'Assumption-Base'!$B$3:$B$32,$C97)</f>
        <v>0.4</v>
      </c>
      <c r="O97" s="19">
        <f t="shared" si="12"/>
        <v>27093.213266399998</v>
      </c>
      <c r="P97" s="99">
        <f t="shared" si="13"/>
        <v>24684.927642719998</v>
      </c>
    </row>
    <row r="98" spans="1:16" x14ac:dyDescent="0.35">
      <c r="A98" s="96" t="str">
        <f>LEFT('2025 actual v budget'!A98,4)&amp;"26"</f>
        <v>Apr-26</v>
      </c>
      <c r="B98" s="17" t="str">
        <f>'2025 actual v budget'!B98</f>
        <v>Germany</v>
      </c>
      <c r="C98" s="17" t="str">
        <f>'2025 actual v budget'!C98</f>
        <v>Cross-border Payouts</v>
      </c>
      <c r="D98" s="19">
        <f>'2025 actual v budget'!D98</f>
        <v>6394559.6100000003</v>
      </c>
      <c r="E98" s="97">
        <f>SUMIFS('Assumption-Base'!$C$3:$C$32,'Assumption-Base'!$A$3:$A$32,$B98,'Assumption-Base'!$B$3:$B$32,$C98)</f>
        <v>0.06</v>
      </c>
      <c r="F98" s="19">
        <f t="shared" si="7"/>
        <v>6778233.1866000006</v>
      </c>
      <c r="G98" s="98">
        <f>SUMIFS('Assumption-Base'!$D$3:$D$32,'Assumption-Base'!$A$3:$A$32,$B98,'Assumption-Base'!$B$3:$B$32,$C98)</f>
        <v>7.4999999999999997E-3</v>
      </c>
      <c r="H98" s="99">
        <f t="shared" si="8"/>
        <v>50836.748899500002</v>
      </c>
      <c r="I98" s="97">
        <f>SUMIFS('Assumption-Base'!$E$3:$E$32,'Assumption-Base'!$A$3:$A$32,$B98,'Assumption-Base'!$B$3:$B$32,$C98)</f>
        <v>0.35</v>
      </c>
      <c r="J98" s="19">
        <f t="shared" si="9"/>
        <v>17792.862114824999</v>
      </c>
      <c r="K98" s="100">
        <f>SUMIFS('Assumption-Base'!$F$3:$F$32,'Assumption-Base'!$A$3:$A$32,$B98,'Assumption-Base'!$B$3:$B$32,$C98)</f>
        <v>1.4999999999999999E-4</v>
      </c>
      <c r="L98" s="19">
        <f t="shared" si="10"/>
        <v>1016.7349779899999</v>
      </c>
      <c r="M98" s="99">
        <f t="shared" si="11"/>
        <v>32027.151806685008</v>
      </c>
      <c r="N98" s="97">
        <f>SUMIFS('Assumption-Base'!$G$3:$G$32,'Assumption-Base'!$A$3:$A$32,$B98,'Assumption-Base'!$B$3:$B$32,$C98)</f>
        <v>0.4</v>
      </c>
      <c r="O98" s="19">
        <f t="shared" si="12"/>
        <v>20334.699559800003</v>
      </c>
      <c r="P98" s="99">
        <f t="shared" si="13"/>
        <v>11692.452246885005</v>
      </c>
    </row>
    <row r="99" spans="1:16" x14ac:dyDescent="0.35">
      <c r="A99" s="96" t="str">
        <f>LEFT('2025 actual v budget'!A99,4)&amp;"26"</f>
        <v>Apr-26</v>
      </c>
      <c r="B99" s="17" t="str">
        <f>'2025 actual v budget'!B99</f>
        <v>Germany</v>
      </c>
      <c r="C99" s="17" t="str">
        <f>'2025 actual v budget'!C99</f>
        <v>FX Conversion</v>
      </c>
      <c r="D99" s="19">
        <f>'2025 actual v budget'!D99</f>
        <v>10199689.060000001</v>
      </c>
      <c r="E99" s="97">
        <f>SUMIFS('Assumption-Base'!$C$3:$C$32,'Assumption-Base'!$A$3:$A$32,$B99,'Assumption-Base'!$B$3:$B$32,$C99)</f>
        <v>0.06</v>
      </c>
      <c r="F99" s="19">
        <f t="shared" si="7"/>
        <v>10811670.403600002</v>
      </c>
      <c r="G99" s="98">
        <f>SUMIFS('Assumption-Base'!$D$3:$D$32,'Assumption-Base'!$A$3:$A$32,$B99,'Assumption-Base'!$B$3:$B$32,$C99)</f>
        <v>1.0500000000000001E-2</v>
      </c>
      <c r="H99" s="99">
        <f t="shared" si="8"/>
        <v>113522.53923780003</v>
      </c>
      <c r="I99" s="97">
        <f>SUMIFS('Assumption-Base'!$E$3:$E$32,'Assumption-Base'!$A$3:$A$32,$B99,'Assumption-Base'!$B$3:$B$32,$C99)</f>
        <v>0.28000000000000003</v>
      </c>
      <c r="J99" s="19">
        <f t="shared" si="9"/>
        <v>31786.310986584009</v>
      </c>
      <c r="K99" s="100">
        <f>SUMIFS('Assumption-Base'!$F$3:$F$32,'Assumption-Base'!$A$3:$A$32,$B99,'Assumption-Base'!$B$3:$B$32,$C99)</f>
        <v>1.4999999999999999E-4</v>
      </c>
      <c r="L99" s="19">
        <f t="shared" si="10"/>
        <v>1621.7505605400002</v>
      </c>
      <c r="M99" s="99">
        <f t="shared" si="11"/>
        <v>80114.477690676023</v>
      </c>
      <c r="N99" s="97">
        <f>SUMIFS('Assumption-Base'!$G$3:$G$32,'Assumption-Base'!$A$3:$A$32,$B99,'Assumption-Base'!$B$3:$B$32,$C99)</f>
        <v>0.4</v>
      </c>
      <c r="O99" s="19">
        <f t="shared" si="12"/>
        <v>45409.015695120012</v>
      </c>
      <c r="P99" s="99">
        <f t="shared" si="13"/>
        <v>34705.461995556012</v>
      </c>
    </row>
    <row r="100" spans="1:16" x14ac:dyDescent="0.35">
      <c r="A100" s="96" t="str">
        <f>LEFT('2025 actual v budget'!A100,4)&amp;"26"</f>
        <v>Apr-26</v>
      </c>
      <c r="B100" s="17" t="str">
        <f>'2025 actual v budget'!B100</f>
        <v>Germany</v>
      </c>
      <c r="C100" s="17" t="str">
        <f>'2025 actual v budget'!C100</f>
        <v>Stablecoin Settlement</v>
      </c>
      <c r="D100" s="19">
        <f>'2025 actual v budget'!D100</f>
        <v>15328410.15</v>
      </c>
      <c r="E100" s="97">
        <f>SUMIFS('Assumption-Base'!$C$3:$C$32,'Assumption-Base'!$A$3:$A$32,$B100,'Assumption-Base'!$B$3:$B$32,$C100)</f>
        <v>0.12</v>
      </c>
      <c r="F100" s="19">
        <f t="shared" si="7"/>
        <v>17167819.368000001</v>
      </c>
      <c r="G100" s="98">
        <f>SUMIFS('Assumption-Base'!$D$3:$D$32,'Assumption-Base'!$A$3:$A$32,$B100,'Assumption-Base'!$B$3:$B$32,$C100)</f>
        <v>6.4999999999999997E-3</v>
      </c>
      <c r="H100" s="99">
        <f t="shared" si="8"/>
        <v>111590.82589199999</v>
      </c>
      <c r="I100" s="97">
        <f>SUMIFS('Assumption-Base'!$E$3:$E$32,'Assumption-Base'!$A$3:$A$32,$B100,'Assumption-Base'!$B$3:$B$32,$C100)</f>
        <v>0.32</v>
      </c>
      <c r="J100" s="19">
        <f t="shared" si="9"/>
        <v>35709.064285439999</v>
      </c>
      <c r="K100" s="100">
        <f>SUMIFS('Assumption-Base'!$F$3:$F$32,'Assumption-Base'!$A$3:$A$32,$B100,'Assumption-Base'!$B$3:$B$32,$C100)</f>
        <v>1.4999999999999999E-4</v>
      </c>
      <c r="L100" s="19">
        <f t="shared" si="10"/>
        <v>2575.1729052000001</v>
      </c>
      <c r="M100" s="99">
        <f t="shared" si="11"/>
        <v>73306.58870136</v>
      </c>
      <c r="N100" s="97">
        <f>SUMIFS('Assumption-Base'!$G$3:$G$32,'Assumption-Base'!$A$3:$A$32,$B100,'Assumption-Base'!$B$3:$B$32,$C100)</f>
        <v>0.4</v>
      </c>
      <c r="O100" s="19">
        <f t="shared" si="12"/>
        <v>44636.330356799997</v>
      </c>
      <c r="P100" s="99">
        <f t="shared" si="13"/>
        <v>28670.258344560003</v>
      </c>
    </row>
    <row r="101" spans="1:16" x14ac:dyDescent="0.35">
      <c r="A101" s="96" t="str">
        <f>LEFT('2025 actual v budget'!A101,4)&amp;"26"</f>
        <v>Apr-26</v>
      </c>
      <c r="B101" s="17" t="str">
        <f>'2025 actual v budget'!B101</f>
        <v>Germany</v>
      </c>
      <c r="C101" s="17" t="str">
        <f>'2025 actual v budget'!C101</f>
        <v>Treasury Yield</v>
      </c>
      <c r="D101" s="19">
        <f>'2025 actual v budget'!D101</f>
        <v>4192293.65</v>
      </c>
      <c r="E101" s="97">
        <f>SUMIFS('Assumption-Base'!$C$3:$C$32,'Assumption-Base'!$A$3:$A$32,$B101,'Assumption-Base'!$B$3:$B$32,$C101)</f>
        <v>0.06</v>
      </c>
      <c r="F101" s="19">
        <f t="shared" si="7"/>
        <v>4443831.2690000003</v>
      </c>
      <c r="G101" s="98">
        <f>SUMIFS('Assumption-Base'!$D$3:$D$32,'Assumption-Base'!$A$3:$A$32,$B101,'Assumption-Base'!$B$3:$B$32,$C101)</f>
        <v>3.0000000000000001E-3</v>
      </c>
      <c r="H101" s="99">
        <f t="shared" si="8"/>
        <v>13331.493807000001</v>
      </c>
      <c r="I101" s="97">
        <f>SUMIFS('Assumption-Base'!$E$3:$E$32,'Assumption-Base'!$A$3:$A$32,$B101,'Assumption-Base'!$B$3:$B$32,$C101)</f>
        <v>0.18</v>
      </c>
      <c r="J101" s="19">
        <f t="shared" si="9"/>
        <v>2399.66888526</v>
      </c>
      <c r="K101" s="100">
        <f>SUMIFS('Assumption-Base'!$F$3:$F$32,'Assumption-Base'!$A$3:$A$32,$B101,'Assumption-Base'!$B$3:$B$32,$C101)</f>
        <v>1.4999999999999999E-4</v>
      </c>
      <c r="L101" s="19">
        <f t="shared" si="10"/>
        <v>666.57469034999997</v>
      </c>
      <c r="M101" s="99">
        <f t="shared" si="11"/>
        <v>10265.25023139</v>
      </c>
      <c r="N101" s="97">
        <f>SUMIFS('Assumption-Base'!$G$3:$G$32,'Assumption-Base'!$A$3:$A$32,$B101,'Assumption-Base'!$B$3:$B$32,$C101)</f>
        <v>0.4</v>
      </c>
      <c r="O101" s="19">
        <f t="shared" si="12"/>
        <v>5332.5975228000007</v>
      </c>
      <c r="P101" s="99">
        <f t="shared" si="13"/>
        <v>4932.6527085899997</v>
      </c>
    </row>
    <row r="102" spans="1:16" x14ac:dyDescent="0.35">
      <c r="A102" s="96" t="str">
        <f>LEFT('2025 actual v budget'!A102,4)&amp;"26"</f>
        <v>Apr-26</v>
      </c>
      <c r="B102" s="17" t="str">
        <f>'2025 actual v budget'!B102</f>
        <v>Germany</v>
      </c>
      <c r="C102" s="17" t="str">
        <f>'2025 actual v budget'!C102</f>
        <v>Virtual Accounts</v>
      </c>
      <c r="D102" s="19">
        <f>'2025 actual v budget'!D102</f>
        <v>6430944.2300000004</v>
      </c>
      <c r="E102" s="97">
        <f>SUMIFS('Assumption-Base'!$C$3:$C$32,'Assumption-Base'!$A$3:$A$32,$B102,'Assumption-Base'!$B$3:$B$32,$C102)</f>
        <v>0.06</v>
      </c>
      <c r="F102" s="19">
        <f t="shared" si="7"/>
        <v>6816800.8838000009</v>
      </c>
      <c r="G102" s="98">
        <f>SUMIFS('Assumption-Base'!$D$3:$D$32,'Assumption-Base'!$A$3:$A$32,$B102,'Assumption-Base'!$B$3:$B$32,$C102)</f>
        <v>4.4999999999999997E-3</v>
      </c>
      <c r="H102" s="99">
        <f t="shared" si="8"/>
        <v>30675.603977100003</v>
      </c>
      <c r="I102" s="97">
        <f>SUMIFS('Assumption-Base'!$E$3:$E$32,'Assumption-Base'!$A$3:$A$32,$B102,'Assumption-Base'!$B$3:$B$32,$C102)</f>
        <v>0.22</v>
      </c>
      <c r="J102" s="19">
        <f t="shared" si="9"/>
        <v>6748.6328749620006</v>
      </c>
      <c r="K102" s="100">
        <f>SUMIFS('Assumption-Base'!$F$3:$F$32,'Assumption-Base'!$A$3:$A$32,$B102,'Assumption-Base'!$B$3:$B$32,$C102)</f>
        <v>1.4999999999999999E-4</v>
      </c>
      <c r="L102" s="19">
        <f t="shared" si="10"/>
        <v>1022.52013257</v>
      </c>
      <c r="M102" s="99">
        <f t="shared" si="11"/>
        <v>22904.450969568003</v>
      </c>
      <c r="N102" s="97">
        <f>SUMIFS('Assumption-Base'!$G$3:$G$32,'Assumption-Base'!$A$3:$A$32,$B102,'Assumption-Base'!$B$3:$B$32,$C102)</f>
        <v>0.4</v>
      </c>
      <c r="O102" s="19">
        <f t="shared" si="12"/>
        <v>12270.241590840002</v>
      </c>
      <c r="P102" s="99">
        <f t="shared" si="13"/>
        <v>10634.209378728001</v>
      </c>
    </row>
    <row r="103" spans="1:16" x14ac:dyDescent="0.35">
      <c r="A103" s="96" t="str">
        <f>LEFT('2025 actual v budget'!A103,4)&amp;"26"</f>
        <v>Apr-26</v>
      </c>
      <c r="B103" s="17" t="str">
        <f>'2025 actual v budget'!B103</f>
        <v>India</v>
      </c>
      <c r="C103" s="17" t="str">
        <f>'2025 actual v budget'!C103</f>
        <v>Cross-border Payouts</v>
      </c>
      <c r="D103" s="19">
        <f>'2025 actual v budget'!D103</f>
        <v>8243584.2199999997</v>
      </c>
      <c r="E103" s="97">
        <f>SUMIFS('Assumption-Base'!$C$3:$C$32,'Assumption-Base'!$A$3:$A$32,$B103,'Assumption-Base'!$B$3:$B$32,$C103)</f>
        <v>0.12</v>
      </c>
      <c r="F103" s="19">
        <f t="shared" si="7"/>
        <v>9232814.3264000006</v>
      </c>
      <c r="G103" s="98">
        <f>SUMIFS('Assumption-Base'!$D$3:$D$32,'Assumption-Base'!$A$3:$A$32,$B103,'Assumption-Base'!$B$3:$B$32,$C103)</f>
        <v>7.4999999999999997E-3</v>
      </c>
      <c r="H103" s="99">
        <f t="shared" si="8"/>
        <v>69246.107447999995</v>
      </c>
      <c r="I103" s="97">
        <f>SUMIFS('Assumption-Base'!$E$3:$E$32,'Assumption-Base'!$A$3:$A$32,$B103,'Assumption-Base'!$B$3:$B$32,$C103)</f>
        <v>0.35</v>
      </c>
      <c r="J103" s="19">
        <f t="shared" si="9"/>
        <v>24236.137606799995</v>
      </c>
      <c r="K103" s="100">
        <f>SUMIFS('Assumption-Base'!$F$3:$F$32,'Assumption-Base'!$A$3:$A$32,$B103,'Assumption-Base'!$B$3:$B$32,$C103)</f>
        <v>1.8000000000000001E-4</v>
      </c>
      <c r="L103" s="19">
        <f t="shared" si="10"/>
        <v>1661.9065787520003</v>
      </c>
      <c r="M103" s="99">
        <f t="shared" si="11"/>
        <v>43348.063262447999</v>
      </c>
      <c r="N103" s="97">
        <f>SUMIFS('Assumption-Base'!$G$3:$G$32,'Assumption-Base'!$A$3:$A$32,$B103,'Assumption-Base'!$B$3:$B$32,$C103)</f>
        <v>0.4</v>
      </c>
      <c r="O103" s="19">
        <f t="shared" si="12"/>
        <v>27698.442979200001</v>
      </c>
      <c r="P103" s="99">
        <f t="shared" si="13"/>
        <v>15649.620283247998</v>
      </c>
    </row>
    <row r="104" spans="1:16" x14ac:dyDescent="0.35">
      <c r="A104" s="96" t="str">
        <f>LEFT('2025 actual v budget'!A104,4)&amp;"26"</f>
        <v>Apr-26</v>
      </c>
      <c r="B104" s="17" t="str">
        <f>'2025 actual v budget'!B104</f>
        <v>India</v>
      </c>
      <c r="C104" s="17" t="str">
        <f>'2025 actual v budget'!C104</f>
        <v>FX Conversion</v>
      </c>
      <c r="D104" s="19">
        <f>'2025 actual v budget'!D104</f>
        <v>13154282.51</v>
      </c>
      <c r="E104" s="97">
        <f>SUMIFS('Assumption-Base'!$C$3:$C$32,'Assumption-Base'!$A$3:$A$32,$B104,'Assumption-Base'!$B$3:$B$32,$C104)</f>
        <v>0.12</v>
      </c>
      <c r="F104" s="19">
        <f t="shared" si="7"/>
        <v>14732796.411200002</v>
      </c>
      <c r="G104" s="98">
        <f>SUMIFS('Assumption-Base'!$D$3:$D$32,'Assumption-Base'!$A$3:$A$32,$B104,'Assumption-Base'!$B$3:$B$32,$C104)</f>
        <v>1.0500000000000001E-2</v>
      </c>
      <c r="H104" s="99">
        <f t="shared" si="8"/>
        <v>154694.36231760003</v>
      </c>
      <c r="I104" s="97">
        <f>SUMIFS('Assumption-Base'!$E$3:$E$32,'Assumption-Base'!$A$3:$A$32,$B104,'Assumption-Base'!$B$3:$B$32,$C104)</f>
        <v>0.28000000000000003</v>
      </c>
      <c r="J104" s="19">
        <f t="shared" si="9"/>
        <v>43314.421448928013</v>
      </c>
      <c r="K104" s="100">
        <f>SUMIFS('Assumption-Base'!$F$3:$F$32,'Assumption-Base'!$A$3:$A$32,$B104,'Assumption-Base'!$B$3:$B$32,$C104)</f>
        <v>1.8000000000000001E-4</v>
      </c>
      <c r="L104" s="19">
        <f t="shared" si="10"/>
        <v>2651.9033540160003</v>
      </c>
      <c r="M104" s="99">
        <f t="shared" si="11"/>
        <v>108728.03751465601</v>
      </c>
      <c r="N104" s="97">
        <f>SUMIFS('Assumption-Base'!$G$3:$G$32,'Assumption-Base'!$A$3:$A$32,$B104,'Assumption-Base'!$B$3:$B$32,$C104)</f>
        <v>0.4</v>
      </c>
      <c r="O104" s="19">
        <f t="shared" si="12"/>
        <v>61877.74492704001</v>
      </c>
      <c r="P104" s="99">
        <f t="shared" si="13"/>
        <v>46850.292587616001</v>
      </c>
    </row>
    <row r="105" spans="1:16" x14ac:dyDescent="0.35">
      <c r="A105" s="96" t="str">
        <f>LEFT('2025 actual v budget'!A105,4)&amp;"26"</f>
        <v>Apr-26</v>
      </c>
      <c r="B105" s="17" t="str">
        <f>'2025 actual v budget'!B105</f>
        <v>India</v>
      </c>
      <c r="C105" s="17" t="str">
        <f>'2025 actual v budget'!C105</f>
        <v>Stablecoin Settlement</v>
      </c>
      <c r="D105" s="19">
        <f>'2025 actual v budget'!D105</f>
        <v>19760710.289999999</v>
      </c>
      <c r="E105" s="97">
        <f>SUMIFS('Assumption-Base'!$C$3:$C$32,'Assumption-Base'!$A$3:$A$32,$B105,'Assumption-Base'!$B$3:$B$32,$C105)</f>
        <v>0.24</v>
      </c>
      <c r="F105" s="19">
        <f t="shared" si="7"/>
        <v>24503280.759599999</v>
      </c>
      <c r="G105" s="98">
        <f>SUMIFS('Assumption-Base'!$D$3:$D$32,'Assumption-Base'!$A$3:$A$32,$B105,'Assumption-Base'!$B$3:$B$32,$C105)</f>
        <v>6.4999999999999997E-3</v>
      </c>
      <c r="H105" s="99">
        <f t="shared" si="8"/>
        <v>159271.32493739997</v>
      </c>
      <c r="I105" s="97">
        <f>SUMIFS('Assumption-Base'!$E$3:$E$32,'Assumption-Base'!$A$3:$A$32,$B105,'Assumption-Base'!$B$3:$B$32,$C105)</f>
        <v>0.32</v>
      </c>
      <c r="J105" s="19">
        <f t="shared" si="9"/>
        <v>50966.823979967994</v>
      </c>
      <c r="K105" s="100">
        <f>SUMIFS('Assumption-Base'!$F$3:$F$32,'Assumption-Base'!$A$3:$A$32,$B105,'Assumption-Base'!$B$3:$B$32,$C105)</f>
        <v>1.8000000000000001E-4</v>
      </c>
      <c r="L105" s="19">
        <f t="shared" si="10"/>
        <v>4410.5905367280002</v>
      </c>
      <c r="M105" s="99">
        <f t="shared" si="11"/>
        <v>103893.91042070396</v>
      </c>
      <c r="N105" s="97">
        <f>SUMIFS('Assumption-Base'!$G$3:$G$32,'Assumption-Base'!$A$3:$A$32,$B105,'Assumption-Base'!$B$3:$B$32,$C105)</f>
        <v>0.4</v>
      </c>
      <c r="O105" s="19">
        <f t="shared" si="12"/>
        <v>63708.529974959994</v>
      </c>
      <c r="P105" s="99">
        <f t="shared" si="13"/>
        <v>40185.380445743969</v>
      </c>
    </row>
    <row r="106" spans="1:16" x14ac:dyDescent="0.35">
      <c r="A106" s="96" t="str">
        <f>LEFT('2025 actual v budget'!A106,4)&amp;"26"</f>
        <v>Apr-26</v>
      </c>
      <c r="B106" s="17" t="str">
        <f>'2025 actual v budget'!B106</f>
        <v>India</v>
      </c>
      <c r="C106" s="17" t="str">
        <f>'2025 actual v budget'!C106</f>
        <v>Treasury Yield</v>
      </c>
      <c r="D106" s="19">
        <f>'2025 actual v budget'!D106</f>
        <v>5406695.71</v>
      </c>
      <c r="E106" s="97">
        <f>SUMIFS('Assumption-Base'!$C$3:$C$32,'Assumption-Base'!$A$3:$A$32,$B106,'Assumption-Base'!$B$3:$B$32,$C106)</f>
        <v>0.12</v>
      </c>
      <c r="F106" s="19">
        <f t="shared" si="7"/>
        <v>6055499.1952000009</v>
      </c>
      <c r="G106" s="98">
        <f>SUMIFS('Assumption-Base'!$D$3:$D$32,'Assumption-Base'!$A$3:$A$32,$B106,'Assumption-Base'!$B$3:$B$32,$C106)</f>
        <v>3.0000000000000001E-3</v>
      </c>
      <c r="H106" s="99">
        <f t="shared" si="8"/>
        <v>18166.497585600002</v>
      </c>
      <c r="I106" s="97">
        <f>SUMIFS('Assumption-Base'!$E$3:$E$32,'Assumption-Base'!$A$3:$A$32,$B106,'Assumption-Base'!$B$3:$B$32,$C106)</f>
        <v>0.18</v>
      </c>
      <c r="J106" s="19">
        <f t="shared" si="9"/>
        <v>3269.9695654080001</v>
      </c>
      <c r="K106" s="100">
        <f>SUMIFS('Assumption-Base'!$F$3:$F$32,'Assumption-Base'!$A$3:$A$32,$B106,'Assumption-Base'!$B$3:$B$32,$C106)</f>
        <v>1.8000000000000001E-4</v>
      </c>
      <c r="L106" s="19">
        <f t="shared" si="10"/>
        <v>1089.9898551360002</v>
      </c>
      <c r="M106" s="99">
        <f t="shared" si="11"/>
        <v>13806.538165056001</v>
      </c>
      <c r="N106" s="97">
        <f>SUMIFS('Assumption-Base'!$G$3:$G$32,'Assumption-Base'!$A$3:$A$32,$B106,'Assumption-Base'!$B$3:$B$32,$C106)</f>
        <v>0.4</v>
      </c>
      <c r="O106" s="19">
        <f t="shared" si="12"/>
        <v>7266.5990342400009</v>
      </c>
      <c r="P106" s="99">
        <f t="shared" si="13"/>
        <v>6539.9391308160002</v>
      </c>
    </row>
    <row r="107" spans="1:16" x14ac:dyDescent="0.35">
      <c r="A107" s="96" t="str">
        <f>LEFT('2025 actual v budget'!A107,4)&amp;"26"</f>
        <v>Apr-26</v>
      </c>
      <c r="B107" s="17" t="str">
        <f>'2025 actual v budget'!B107</f>
        <v>India</v>
      </c>
      <c r="C107" s="17" t="str">
        <f>'2025 actual v budget'!C107</f>
        <v>Virtual Accounts</v>
      </c>
      <c r="D107" s="19">
        <f>'2025 actual v budget'!D107</f>
        <v>8293827.0599999996</v>
      </c>
      <c r="E107" s="97">
        <f>SUMIFS('Assumption-Base'!$C$3:$C$32,'Assumption-Base'!$A$3:$A$32,$B107,'Assumption-Base'!$B$3:$B$32,$C107)</f>
        <v>0.12</v>
      </c>
      <c r="F107" s="19">
        <f t="shared" si="7"/>
        <v>9289086.3071999997</v>
      </c>
      <c r="G107" s="98">
        <f>SUMIFS('Assumption-Base'!$D$3:$D$32,'Assumption-Base'!$A$3:$A$32,$B107,'Assumption-Base'!$B$3:$B$32,$C107)</f>
        <v>4.4999999999999997E-3</v>
      </c>
      <c r="H107" s="99">
        <f t="shared" si="8"/>
        <v>41800.888382399993</v>
      </c>
      <c r="I107" s="97">
        <f>SUMIFS('Assumption-Base'!$E$3:$E$32,'Assumption-Base'!$A$3:$A$32,$B107,'Assumption-Base'!$B$3:$B$32,$C107)</f>
        <v>0.22</v>
      </c>
      <c r="J107" s="19">
        <f t="shared" si="9"/>
        <v>9196.1954441279977</v>
      </c>
      <c r="K107" s="100">
        <f>SUMIFS('Assumption-Base'!$F$3:$F$32,'Assumption-Base'!$A$3:$A$32,$B107,'Assumption-Base'!$B$3:$B$32,$C107)</f>
        <v>1.8000000000000001E-4</v>
      </c>
      <c r="L107" s="19">
        <f t="shared" si="10"/>
        <v>1672.035535296</v>
      </c>
      <c r="M107" s="99">
        <f t="shared" si="11"/>
        <v>30932.657402975998</v>
      </c>
      <c r="N107" s="97">
        <f>SUMIFS('Assumption-Base'!$G$3:$G$32,'Assumption-Base'!$A$3:$A$32,$B107,'Assumption-Base'!$B$3:$B$32,$C107)</f>
        <v>0.4</v>
      </c>
      <c r="O107" s="19">
        <f t="shared" si="12"/>
        <v>16720.355352959999</v>
      </c>
      <c r="P107" s="99">
        <f t="shared" si="13"/>
        <v>14212.302050015998</v>
      </c>
    </row>
    <row r="108" spans="1:16" x14ac:dyDescent="0.35">
      <c r="A108" s="96" t="str">
        <f>LEFT('2025 actual v budget'!A108,4)&amp;"26"</f>
        <v>Apr-26</v>
      </c>
      <c r="B108" s="17" t="str">
        <f>'2025 actual v budget'!B108</f>
        <v>Mexico</v>
      </c>
      <c r="C108" s="17" t="str">
        <f>'2025 actual v budget'!C108</f>
        <v>Cross-border Payouts</v>
      </c>
      <c r="D108" s="19">
        <f>'2025 actual v budget'!D108</f>
        <v>9935556.4499999993</v>
      </c>
      <c r="E108" s="97">
        <f>SUMIFS('Assumption-Base'!$C$3:$C$32,'Assumption-Base'!$A$3:$A$32,$B108,'Assumption-Base'!$B$3:$B$32,$C108)</f>
        <v>0.15</v>
      </c>
      <c r="F108" s="19">
        <f t="shared" si="7"/>
        <v>11425889.917499999</v>
      </c>
      <c r="G108" s="98">
        <f>SUMIFS('Assumption-Base'!$D$3:$D$32,'Assumption-Base'!$A$3:$A$32,$B108,'Assumption-Base'!$B$3:$B$32,$C108)</f>
        <v>7.4999999999999997E-3</v>
      </c>
      <c r="H108" s="99">
        <f t="shared" si="8"/>
        <v>85694.174381249992</v>
      </c>
      <c r="I108" s="97">
        <f>SUMIFS('Assumption-Base'!$E$3:$E$32,'Assumption-Base'!$A$3:$A$32,$B108,'Assumption-Base'!$B$3:$B$32,$C108)</f>
        <v>0.35</v>
      </c>
      <c r="J108" s="19">
        <f t="shared" si="9"/>
        <v>29992.961033437496</v>
      </c>
      <c r="K108" s="100">
        <f>SUMIFS('Assumption-Base'!$F$3:$F$32,'Assumption-Base'!$A$3:$A$32,$B108,'Assumption-Base'!$B$3:$B$32,$C108)</f>
        <v>8.0000000000000007E-5</v>
      </c>
      <c r="L108" s="19">
        <f t="shared" si="10"/>
        <v>914.07119339999997</v>
      </c>
      <c r="M108" s="99">
        <f t="shared" si="11"/>
        <v>54787.142154412497</v>
      </c>
      <c r="N108" s="97">
        <f>SUMIFS('Assumption-Base'!$G$3:$G$32,'Assumption-Base'!$A$3:$A$32,$B108,'Assumption-Base'!$B$3:$B$32,$C108)</f>
        <v>0.4</v>
      </c>
      <c r="O108" s="19">
        <f t="shared" si="12"/>
        <v>34277.669752499998</v>
      </c>
      <c r="P108" s="99">
        <f t="shared" si="13"/>
        <v>20509.472401912499</v>
      </c>
    </row>
    <row r="109" spans="1:16" x14ac:dyDescent="0.35">
      <c r="A109" s="96" t="str">
        <f>LEFT('2025 actual v budget'!A109,4)&amp;"26"</f>
        <v>Apr-26</v>
      </c>
      <c r="B109" s="17" t="str">
        <f>'2025 actual v budget'!B109</f>
        <v>Mexico</v>
      </c>
      <c r="C109" s="17" t="str">
        <f>'2025 actual v budget'!C109</f>
        <v>FX Conversion</v>
      </c>
      <c r="D109" s="19">
        <f>'2025 actual v budget'!D109</f>
        <v>15853123.060000001</v>
      </c>
      <c r="E109" s="97">
        <f>SUMIFS('Assumption-Base'!$C$3:$C$32,'Assumption-Base'!$A$3:$A$32,$B109,'Assumption-Base'!$B$3:$B$32,$C109)</f>
        <v>0.15</v>
      </c>
      <c r="F109" s="19">
        <f t="shared" si="7"/>
        <v>18231091.518999998</v>
      </c>
      <c r="G109" s="98">
        <f>SUMIFS('Assumption-Base'!$D$3:$D$32,'Assumption-Base'!$A$3:$A$32,$B109,'Assumption-Base'!$B$3:$B$32,$C109)</f>
        <v>1.0500000000000001E-2</v>
      </c>
      <c r="H109" s="99">
        <f t="shared" si="8"/>
        <v>191426.46094949997</v>
      </c>
      <c r="I109" s="97">
        <f>SUMIFS('Assumption-Base'!$E$3:$E$32,'Assumption-Base'!$A$3:$A$32,$B109,'Assumption-Base'!$B$3:$B$32,$C109)</f>
        <v>0.28000000000000003</v>
      </c>
      <c r="J109" s="19">
        <f t="shared" si="9"/>
        <v>53599.409065859996</v>
      </c>
      <c r="K109" s="100">
        <f>SUMIFS('Assumption-Base'!$F$3:$F$32,'Assumption-Base'!$A$3:$A$32,$B109,'Assumption-Base'!$B$3:$B$32,$C109)</f>
        <v>8.0000000000000007E-5</v>
      </c>
      <c r="L109" s="19">
        <f t="shared" si="10"/>
        <v>1458.48732152</v>
      </c>
      <c r="M109" s="99">
        <f t="shared" si="11"/>
        <v>136368.56456211998</v>
      </c>
      <c r="N109" s="97">
        <f>SUMIFS('Assumption-Base'!$G$3:$G$32,'Assumption-Base'!$A$3:$A$32,$B109,'Assumption-Base'!$B$3:$B$32,$C109)</f>
        <v>0.4</v>
      </c>
      <c r="O109" s="19">
        <f t="shared" si="12"/>
        <v>76570.584379799999</v>
      </c>
      <c r="P109" s="99">
        <f t="shared" si="13"/>
        <v>59797.980182319981</v>
      </c>
    </row>
    <row r="110" spans="1:16" x14ac:dyDescent="0.35">
      <c r="A110" s="96" t="str">
        <f>LEFT('2025 actual v budget'!A110,4)&amp;"26"</f>
        <v>Apr-26</v>
      </c>
      <c r="B110" s="17" t="str">
        <f>'2025 actual v budget'!B110</f>
        <v>Mexico</v>
      </c>
      <c r="C110" s="17" t="str">
        <f>'2025 actual v budget'!C110</f>
        <v>Stablecoin Settlement</v>
      </c>
      <c r="D110" s="19">
        <f>'2025 actual v budget'!D110</f>
        <v>23816539.920000002</v>
      </c>
      <c r="E110" s="97">
        <f>SUMIFS('Assumption-Base'!$C$3:$C$32,'Assumption-Base'!$A$3:$A$32,$B110,'Assumption-Base'!$B$3:$B$32,$C110)</f>
        <v>0.3</v>
      </c>
      <c r="F110" s="19">
        <f t="shared" si="7"/>
        <v>30961501.896000002</v>
      </c>
      <c r="G110" s="98">
        <f>SUMIFS('Assumption-Base'!$D$3:$D$32,'Assumption-Base'!$A$3:$A$32,$B110,'Assumption-Base'!$B$3:$B$32,$C110)</f>
        <v>6.4999999999999997E-3</v>
      </c>
      <c r="H110" s="99">
        <f t="shared" si="8"/>
        <v>201249.76232400001</v>
      </c>
      <c r="I110" s="97">
        <f>SUMIFS('Assumption-Base'!$E$3:$E$32,'Assumption-Base'!$A$3:$A$32,$B110,'Assumption-Base'!$B$3:$B$32,$C110)</f>
        <v>0.32</v>
      </c>
      <c r="J110" s="19">
        <f t="shared" si="9"/>
        <v>64399.923943680005</v>
      </c>
      <c r="K110" s="100">
        <f>SUMIFS('Assumption-Base'!$F$3:$F$32,'Assumption-Base'!$A$3:$A$32,$B110,'Assumption-Base'!$B$3:$B$32,$C110)</f>
        <v>8.0000000000000007E-5</v>
      </c>
      <c r="L110" s="19">
        <f t="shared" si="10"/>
        <v>2476.9201516800003</v>
      </c>
      <c r="M110" s="99">
        <f t="shared" si="11"/>
        <v>134372.91822863999</v>
      </c>
      <c r="N110" s="97">
        <f>SUMIFS('Assumption-Base'!$G$3:$G$32,'Assumption-Base'!$A$3:$A$32,$B110,'Assumption-Base'!$B$3:$B$32,$C110)</f>
        <v>0.4</v>
      </c>
      <c r="O110" s="19">
        <f t="shared" si="12"/>
        <v>80499.904929600016</v>
      </c>
      <c r="P110" s="99">
        <f t="shared" si="13"/>
        <v>53873.013299039972</v>
      </c>
    </row>
    <row r="111" spans="1:16" x14ac:dyDescent="0.35">
      <c r="A111" s="96" t="str">
        <f>LEFT('2025 actual v budget'!A111,4)&amp;"26"</f>
        <v>Apr-26</v>
      </c>
      <c r="B111" s="17" t="str">
        <f>'2025 actual v budget'!B111</f>
        <v>Mexico</v>
      </c>
      <c r="C111" s="17" t="str">
        <f>'2025 actual v budget'!C111</f>
        <v>Treasury Yield</v>
      </c>
      <c r="D111" s="19">
        <f>'2025 actual v budget'!D111</f>
        <v>6515977.7699999996</v>
      </c>
      <c r="E111" s="97">
        <f>SUMIFS('Assumption-Base'!$C$3:$C$32,'Assumption-Base'!$A$3:$A$32,$B111,'Assumption-Base'!$B$3:$B$32,$C111)</f>
        <v>0.15</v>
      </c>
      <c r="F111" s="19">
        <f t="shared" si="7"/>
        <v>7493374.4354999987</v>
      </c>
      <c r="G111" s="98">
        <f>SUMIFS('Assumption-Base'!$D$3:$D$32,'Assumption-Base'!$A$3:$A$32,$B111,'Assumption-Base'!$B$3:$B$32,$C111)</f>
        <v>3.0000000000000001E-3</v>
      </c>
      <c r="H111" s="99">
        <f t="shared" si="8"/>
        <v>22480.123306499998</v>
      </c>
      <c r="I111" s="97">
        <f>SUMIFS('Assumption-Base'!$E$3:$E$32,'Assumption-Base'!$A$3:$A$32,$B111,'Assumption-Base'!$B$3:$B$32,$C111)</f>
        <v>0.18</v>
      </c>
      <c r="J111" s="19">
        <f t="shared" si="9"/>
        <v>4046.4221951699997</v>
      </c>
      <c r="K111" s="100">
        <f>SUMIFS('Assumption-Base'!$F$3:$F$32,'Assumption-Base'!$A$3:$A$32,$B111,'Assumption-Base'!$B$3:$B$32,$C111)</f>
        <v>8.0000000000000007E-5</v>
      </c>
      <c r="L111" s="19">
        <f t="shared" si="10"/>
        <v>599.4699548399999</v>
      </c>
      <c r="M111" s="99">
        <f t="shared" si="11"/>
        <v>17834.231156490001</v>
      </c>
      <c r="N111" s="97">
        <f>SUMIFS('Assumption-Base'!$G$3:$G$32,'Assumption-Base'!$A$3:$A$32,$B111,'Assumption-Base'!$B$3:$B$32,$C111)</f>
        <v>0.4</v>
      </c>
      <c r="O111" s="19">
        <f t="shared" si="12"/>
        <v>8992.0493225999999</v>
      </c>
      <c r="P111" s="99">
        <f t="shared" si="13"/>
        <v>8842.1818338900011</v>
      </c>
    </row>
    <row r="112" spans="1:16" x14ac:dyDescent="0.35">
      <c r="A112" s="96" t="str">
        <f>LEFT('2025 actual v budget'!A112,4)&amp;"26"</f>
        <v>Apr-26</v>
      </c>
      <c r="B112" s="17" t="str">
        <f>'2025 actual v budget'!B112</f>
        <v>Mexico</v>
      </c>
      <c r="C112" s="17" t="str">
        <f>'2025 actual v budget'!C112</f>
        <v>Virtual Accounts</v>
      </c>
      <c r="D112" s="19">
        <f>'2025 actual v budget'!D112</f>
        <v>9995456.6899999995</v>
      </c>
      <c r="E112" s="97">
        <f>SUMIFS('Assumption-Base'!$C$3:$C$32,'Assumption-Base'!$A$3:$A$32,$B112,'Assumption-Base'!$B$3:$B$32,$C112)</f>
        <v>0.15</v>
      </c>
      <c r="F112" s="19">
        <f t="shared" si="7"/>
        <v>11494775.193499999</v>
      </c>
      <c r="G112" s="98">
        <f>SUMIFS('Assumption-Base'!$D$3:$D$32,'Assumption-Base'!$A$3:$A$32,$B112,'Assumption-Base'!$B$3:$B$32,$C112)</f>
        <v>4.4999999999999997E-3</v>
      </c>
      <c r="H112" s="99">
        <f t="shared" si="8"/>
        <v>51726.48837074999</v>
      </c>
      <c r="I112" s="97">
        <f>SUMIFS('Assumption-Base'!$E$3:$E$32,'Assumption-Base'!$A$3:$A$32,$B112,'Assumption-Base'!$B$3:$B$32,$C112)</f>
        <v>0.22</v>
      </c>
      <c r="J112" s="19">
        <f t="shared" si="9"/>
        <v>11379.827441564998</v>
      </c>
      <c r="K112" s="100">
        <f>SUMIFS('Assumption-Base'!$F$3:$F$32,'Assumption-Base'!$A$3:$A$32,$B112,'Assumption-Base'!$B$3:$B$32,$C112)</f>
        <v>8.0000000000000007E-5</v>
      </c>
      <c r="L112" s="19">
        <f t="shared" si="10"/>
        <v>919.58201548</v>
      </c>
      <c r="M112" s="99">
        <f t="shared" si="11"/>
        <v>39427.078913704987</v>
      </c>
      <c r="N112" s="97">
        <f>SUMIFS('Assumption-Base'!$G$3:$G$32,'Assumption-Base'!$A$3:$A$32,$B112,'Assumption-Base'!$B$3:$B$32,$C112)</f>
        <v>0.4</v>
      </c>
      <c r="O112" s="19">
        <f t="shared" si="12"/>
        <v>20690.595348299998</v>
      </c>
      <c r="P112" s="99">
        <f t="shared" si="13"/>
        <v>18736.483565404989</v>
      </c>
    </row>
    <row r="113" spans="1:16" x14ac:dyDescent="0.35">
      <c r="A113" s="96" t="str">
        <f>LEFT('2025 actual v budget'!A113,4)&amp;"26"</f>
        <v>Apr-26</v>
      </c>
      <c r="B113" s="17" t="str">
        <f>'2025 actual v budget'!B113</f>
        <v>Singapore</v>
      </c>
      <c r="C113" s="17" t="str">
        <f>'2025 actual v budget'!C113</f>
        <v>Cross-border Payouts</v>
      </c>
      <c r="D113" s="19">
        <f>'2025 actual v budget'!D113</f>
        <v>8311449.8499999996</v>
      </c>
      <c r="E113" s="97">
        <f>SUMIFS('Assumption-Base'!$C$3:$C$32,'Assumption-Base'!$A$3:$A$32,$B113,'Assumption-Base'!$B$3:$B$32,$C113)</f>
        <v>0.05</v>
      </c>
      <c r="F113" s="19">
        <f t="shared" si="7"/>
        <v>8727022.3424999993</v>
      </c>
      <c r="G113" s="98">
        <f>SUMIFS('Assumption-Base'!$D$3:$D$32,'Assumption-Base'!$A$3:$A$32,$B113,'Assumption-Base'!$B$3:$B$32,$C113)</f>
        <v>7.4999999999999997E-3</v>
      </c>
      <c r="H113" s="99">
        <f t="shared" si="8"/>
        <v>65452.667568749996</v>
      </c>
      <c r="I113" s="97">
        <f>SUMIFS('Assumption-Base'!$E$3:$E$32,'Assumption-Base'!$A$3:$A$32,$B113,'Assumption-Base'!$B$3:$B$32,$C113)</f>
        <v>0.35</v>
      </c>
      <c r="J113" s="19">
        <f t="shared" si="9"/>
        <v>22908.433649062496</v>
      </c>
      <c r="K113" s="100">
        <f>SUMIFS('Assumption-Base'!$F$3:$F$32,'Assumption-Base'!$A$3:$A$32,$B113,'Assumption-Base'!$B$3:$B$32,$C113)</f>
        <v>9.0000000000000006E-5</v>
      </c>
      <c r="L113" s="19">
        <f t="shared" si="10"/>
        <v>785.43201082500002</v>
      </c>
      <c r="M113" s="99">
        <f t="shared" si="11"/>
        <v>41758.801908862493</v>
      </c>
      <c r="N113" s="97">
        <f>SUMIFS('Assumption-Base'!$G$3:$G$32,'Assumption-Base'!$A$3:$A$32,$B113,'Assumption-Base'!$B$3:$B$32,$C113)</f>
        <v>0.4</v>
      </c>
      <c r="O113" s="19">
        <f t="shared" si="12"/>
        <v>26181.067027500001</v>
      </c>
      <c r="P113" s="99">
        <f t="shared" si="13"/>
        <v>15577.734881362492</v>
      </c>
    </row>
    <row r="114" spans="1:16" x14ac:dyDescent="0.35">
      <c r="A114" s="96" t="str">
        <f>LEFT('2025 actual v budget'!A114,4)&amp;"26"</f>
        <v>Apr-26</v>
      </c>
      <c r="B114" s="17" t="str">
        <f>'2025 actual v budget'!B114</f>
        <v>Singapore</v>
      </c>
      <c r="C114" s="17" t="str">
        <f>'2025 actual v budget'!C114</f>
        <v>FX Conversion</v>
      </c>
      <c r="D114" s="19">
        <f>'2025 actual v budget'!D114</f>
        <v>13259051.35</v>
      </c>
      <c r="E114" s="97">
        <f>SUMIFS('Assumption-Base'!$C$3:$C$32,'Assumption-Base'!$A$3:$A$32,$B114,'Assumption-Base'!$B$3:$B$32,$C114)</f>
        <v>0.05</v>
      </c>
      <c r="F114" s="19">
        <f t="shared" si="7"/>
        <v>13922003.9175</v>
      </c>
      <c r="G114" s="98">
        <f>SUMIFS('Assumption-Base'!$D$3:$D$32,'Assumption-Base'!$A$3:$A$32,$B114,'Assumption-Base'!$B$3:$B$32,$C114)</f>
        <v>1.0500000000000001E-2</v>
      </c>
      <c r="H114" s="99">
        <f t="shared" si="8"/>
        <v>146181.04113375003</v>
      </c>
      <c r="I114" s="97">
        <f>SUMIFS('Assumption-Base'!$E$3:$E$32,'Assumption-Base'!$A$3:$A$32,$B114,'Assumption-Base'!$B$3:$B$32,$C114)</f>
        <v>0.28000000000000003</v>
      </c>
      <c r="J114" s="19">
        <f t="shared" si="9"/>
        <v>40930.69151745001</v>
      </c>
      <c r="K114" s="100">
        <f>SUMIFS('Assumption-Base'!$F$3:$F$32,'Assumption-Base'!$A$3:$A$32,$B114,'Assumption-Base'!$B$3:$B$32,$C114)</f>
        <v>9.0000000000000006E-5</v>
      </c>
      <c r="L114" s="19">
        <f t="shared" si="10"/>
        <v>1252.9803525750001</v>
      </c>
      <c r="M114" s="99">
        <f t="shared" si="11"/>
        <v>103997.36926372502</v>
      </c>
      <c r="N114" s="97">
        <f>SUMIFS('Assumption-Base'!$G$3:$G$32,'Assumption-Base'!$A$3:$A$32,$B114,'Assumption-Base'!$B$3:$B$32,$C114)</f>
        <v>0.4</v>
      </c>
      <c r="O114" s="19">
        <f t="shared" si="12"/>
        <v>58472.416453500016</v>
      </c>
      <c r="P114" s="99">
        <f t="shared" si="13"/>
        <v>45524.952810225004</v>
      </c>
    </row>
    <row r="115" spans="1:16" x14ac:dyDescent="0.35">
      <c r="A115" s="96" t="str">
        <f>LEFT('2025 actual v budget'!A115,4)&amp;"26"</f>
        <v>Apr-26</v>
      </c>
      <c r="B115" s="17" t="str">
        <f>'2025 actual v budget'!B115</f>
        <v>Singapore</v>
      </c>
      <c r="C115" s="17" t="str">
        <f>'2025 actual v budget'!C115</f>
        <v>Stablecoin Settlement</v>
      </c>
      <c r="D115" s="19">
        <f>'2025 actual v budget'!D115</f>
        <v>19923391.120000001</v>
      </c>
      <c r="E115" s="97">
        <f>SUMIFS('Assumption-Base'!$C$3:$C$32,'Assumption-Base'!$A$3:$A$32,$B115,'Assumption-Base'!$B$3:$B$32,$C115)</f>
        <v>0.1</v>
      </c>
      <c r="F115" s="19">
        <f t="shared" si="7"/>
        <v>21915730.232000005</v>
      </c>
      <c r="G115" s="98">
        <f>SUMIFS('Assumption-Base'!$D$3:$D$32,'Assumption-Base'!$A$3:$A$32,$B115,'Assumption-Base'!$B$3:$B$32,$C115)</f>
        <v>6.4999999999999997E-3</v>
      </c>
      <c r="H115" s="99">
        <f t="shared" si="8"/>
        <v>142452.24650800001</v>
      </c>
      <c r="I115" s="97">
        <f>SUMIFS('Assumption-Base'!$E$3:$E$32,'Assumption-Base'!$A$3:$A$32,$B115,'Assumption-Base'!$B$3:$B$32,$C115)</f>
        <v>0.32</v>
      </c>
      <c r="J115" s="19">
        <f t="shared" si="9"/>
        <v>45584.718882560002</v>
      </c>
      <c r="K115" s="100">
        <f>SUMIFS('Assumption-Base'!$F$3:$F$32,'Assumption-Base'!$A$3:$A$32,$B115,'Assumption-Base'!$B$3:$B$32,$C115)</f>
        <v>9.0000000000000006E-5</v>
      </c>
      <c r="L115" s="19">
        <f t="shared" si="10"/>
        <v>1972.4157208800004</v>
      </c>
      <c r="M115" s="99">
        <f t="shared" si="11"/>
        <v>94895.111904560006</v>
      </c>
      <c r="N115" s="97">
        <f>SUMIFS('Assumption-Base'!$G$3:$G$32,'Assumption-Base'!$A$3:$A$32,$B115,'Assumption-Base'!$B$3:$B$32,$C115)</f>
        <v>0.4</v>
      </c>
      <c r="O115" s="19">
        <f t="shared" si="12"/>
        <v>56980.89860320001</v>
      </c>
      <c r="P115" s="99">
        <f t="shared" si="13"/>
        <v>37914.213301359996</v>
      </c>
    </row>
    <row r="116" spans="1:16" x14ac:dyDescent="0.35">
      <c r="A116" s="96" t="str">
        <f>LEFT('2025 actual v budget'!A116,4)&amp;"26"</f>
        <v>Apr-26</v>
      </c>
      <c r="B116" s="17" t="str">
        <f>'2025 actual v budget'!B116</f>
        <v>Singapore</v>
      </c>
      <c r="C116" s="17" t="str">
        <f>'2025 actual v budget'!C116</f>
        <v>Treasury Yield</v>
      </c>
      <c r="D116" s="19">
        <f>'2025 actual v budget'!D116</f>
        <v>5449757.9699999997</v>
      </c>
      <c r="E116" s="97">
        <f>SUMIFS('Assumption-Base'!$C$3:$C$32,'Assumption-Base'!$A$3:$A$32,$B116,'Assumption-Base'!$B$3:$B$32,$C116)</f>
        <v>0.05</v>
      </c>
      <c r="F116" s="19">
        <f t="shared" si="7"/>
        <v>5722245.8684999999</v>
      </c>
      <c r="G116" s="98">
        <f>SUMIFS('Assumption-Base'!$D$3:$D$32,'Assumption-Base'!$A$3:$A$32,$B116,'Assumption-Base'!$B$3:$B$32,$C116)</f>
        <v>3.0000000000000001E-3</v>
      </c>
      <c r="H116" s="99">
        <f t="shared" si="8"/>
        <v>17166.737605499999</v>
      </c>
      <c r="I116" s="97">
        <f>SUMIFS('Assumption-Base'!$E$3:$E$32,'Assumption-Base'!$A$3:$A$32,$B116,'Assumption-Base'!$B$3:$B$32,$C116)</f>
        <v>0.18</v>
      </c>
      <c r="J116" s="19">
        <f t="shared" si="9"/>
        <v>3090.0127689899996</v>
      </c>
      <c r="K116" s="100">
        <f>SUMIFS('Assumption-Base'!$F$3:$F$32,'Assumption-Base'!$A$3:$A$32,$B116,'Assumption-Base'!$B$3:$B$32,$C116)</f>
        <v>9.0000000000000006E-5</v>
      </c>
      <c r="L116" s="19">
        <f t="shared" si="10"/>
        <v>515.00212816500004</v>
      </c>
      <c r="M116" s="99">
        <f t="shared" si="11"/>
        <v>13561.722708344998</v>
      </c>
      <c r="N116" s="97">
        <f>SUMIFS('Assumption-Base'!$G$3:$G$32,'Assumption-Base'!$A$3:$A$32,$B116,'Assumption-Base'!$B$3:$B$32,$C116)</f>
        <v>0.4</v>
      </c>
      <c r="O116" s="19">
        <f t="shared" si="12"/>
        <v>6866.6950422</v>
      </c>
      <c r="P116" s="99">
        <f t="shared" si="13"/>
        <v>6695.027666144998</v>
      </c>
    </row>
    <row r="117" spans="1:16" x14ac:dyDescent="0.35">
      <c r="A117" s="96" t="str">
        <f>LEFT('2025 actual v budget'!A117,4)&amp;"26"</f>
        <v>Apr-26</v>
      </c>
      <c r="B117" s="17" t="str">
        <f>'2025 actual v budget'!B117</f>
        <v>Singapore</v>
      </c>
      <c r="C117" s="17" t="str">
        <f>'2025 actual v budget'!C117</f>
        <v>Virtual Accounts</v>
      </c>
      <c r="D117" s="19">
        <f>'2025 actual v budget'!D117</f>
        <v>8359884.2300000004</v>
      </c>
      <c r="E117" s="97">
        <f>SUMIFS('Assumption-Base'!$C$3:$C$32,'Assumption-Base'!$A$3:$A$32,$B117,'Assumption-Base'!$B$3:$B$32,$C117)</f>
        <v>0.05</v>
      </c>
      <c r="F117" s="19">
        <f t="shared" si="7"/>
        <v>8777878.4415000007</v>
      </c>
      <c r="G117" s="98">
        <f>SUMIFS('Assumption-Base'!$D$3:$D$32,'Assumption-Base'!$A$3:$A$32,$B117,'Assumption-Base'!$B$3:$B$32,$C117)</f>
        <v>4.4999999999999997E-3</v>
      </c>
      <c r="H117" s="99">
        <f t="shared" si="8"/>
        <v>39500.452986750002</v>
      </c>
      <c r="I117" s="97">
        <f>SUMIFS('Assumption-Base'!$E$3:$E$32,'Assumption-Base'!$A$3:$A$32,$B117,'Assumption-Base'!$B$3:$B$32,$C117)</f>
        <v>0.22</v>
      </c>
      <c r="J117" s="19">
        <f t="shared" si="9"/>
        <v>8690.0996570850002</v>
      </c>
      <c r="K117" s="100">
        <f>SUMIFS('Assumption-Base'!$F$3:$F$32,'Assumption-Base'!$A$3:$A$32,$B117,'Assumption-Base'!$B$3:$B$32,$C117)</f>
        <v>9.0000000000000006E-5</v>
      </c>
      <c r="L117" s="19">
        <f t="shared" si="10"/>
        <v>790.00905973500016</v>
      </c>
      <c r="M117" s="99">
        <f t="shared" si="11"/>
        <v>30020.344269930003</v>
      </c>
      <c r="N117" s="97">
        <f>SUMIFS('Assumption-Base'!$G$3:$G$32,'Assumption-Base'!$A$3:$A$32,$B117,'Assumption-Base'!$B$3:$B$32,$C117)</f>
        <v>0.4</v>
      </c>
      <c r="O117" s="19">
        <f t="shared" si="12"/>
        <v>15800.181194700002</v>
      </c>
      <c r="P117" s="99">
        <f t="shared" si="13"/>
        <v>14220.163075230001</v>
      </c>
    </row>
    <row r="118" spans="1:16" x14ac:dyDescent="0.35">
      <c r="A118" s="96" t="str">
        <f>LEFT('2025 actual v budget'!A118,4)&amp;"26"</f>
        <v>Apr-26</v>
      </c>
      <c r="B118" s="17" t="str">
        <f>'2025 actual v budget'!B118</f>
        <v>USA</v>
      </c>
      <c r="C118" s="17" t="str">
        <f>'2025 actual v budget'!C118</f>
        <v>Cross-border Payouts</v>
      </c>
      <c r="D118" s="19">
        <f>'2025 actual v budget'!D118</f>
        <v>20484591.879999999</v>
      </c>
      <c r="E118" s="97">
        <f>SUMIFS('Assumption-Base'!$C$3:$C$32,'Assumption-Base'!$A$3:$A$32,$B118,'Assumption-Base'!$B$3:$B$32,$C118)</f>
        <v>0.1</v>
      </c>
      <c r="F118" s="19">
        <f t="shared" si="7"/>
        <v>22533051.068</v>
      </c>
      <c r="G118" s="98">
        <f>SUMIFS('Assumption-Base'!$D$3:$D$32,'Assumption-Base'!$A$3:$A$32,$B118,'Assumption-Base'!$B$3:$B$32,$C118)</f>
        <v>7.4999999999999997E-3</v>
      </c>
      <c r="H118" s="99">
        <f t="shared" si="8"/>
        <v>168997.88300999999</v>
      </c>
      <c r="I118" s="97">
        <f>SUMIFS('Assumption-Base'!$E$3:$E$32,'Assumption-Base'!$A$3:$A$32,$B118,'Assumption-Base'!$B$3:$B$32,$C118)</f>
        <v>0.35</v>
      </c>
      <c r="J118" s="19">
        <f t="shared" si="9"/>
        <v>59149.259053499991</v>
      </c>
      <c r="K118" s="100">
        <f>SUMIFS('Assumption-Base'!$F$3:$F$32,'Assumption-Base'!$A$3:$A$32,$B118,'Assumption-Base'!$B$3:$B$32,$C118)</f>
        <v>2.0000000000000001E-4</v>
      </c>
      <c r="L118" s="19">
        <f t="shared" si="10"/>
        <v>4506.6102136</v>
      </c>
      <c r="M118" s="99">
        <f t="shared" si="11"/>
        <v>105342.0137429</v>
      </c>
      <c r="N118" s="97">
        <f>SUMIFS('Assumption-Base'!$G$3:$G$32,'Assumption-Base'!$A$3:$A$32,$B118,'Assumption-Base'!$B$3:$B$32,$C118)</f>
        <v>0.4</v>
      </c>
      <c r="O118" s="19">
        <f t="shared" si="12"/>
        <v>67599.153204000002</v>
      </c>
      <c r="P118" s="99">
        <f t="shared" si="13"/>
        <v>37742.8605389</v>
      </c>
    </row>
    <row r="119" spans="1:16" x14ac:dyDescent="0.35">
      <c r="A119" s="96" t="str">
        <f>LEFT('2025 actual v budget'!A119,4)&amp;"26"</f>
        <v>Apr-26</v>
      </c>
      <c r="B119" s="17" t="str">
        <f>'2025 actual v budget'!B119</f>
        <v>USA</v>
      </c>
      <c r="C119" s="17" t="str">
        <f>'2025 actual v budget'!C119</f>
        <v>FX Conversion</v>
      </c>
      <c r="D119" s="19">
        <f>'2025 actual v budget'!D119</f>
        <v>32676342.18</v>
      </c>
      <c r="E119" s="97">
        <f>SUMIFS('Assumption-Base'!$C$3:$C$32,'Assumption-Base'!$A$3:$A$32,$B119,'Assumption-Base'!$B$3:$B$32,$C119)</f>
        <v>0.1</v>
      </c>
      <c r="F119" s="19">
        <f t="shared" si="7"/>
        <v>35943976.398000002</v>
      </c>
      <c r="G119" s="98">
        <f>SUMIFS('Assumption-Base'!$D$3:$D$32,'Assumption-Base'!$A$3:$A$32,$B119,'Assumption-Base'!$B$3:$B$32,$C119)</f>
        <v>1.0500000000000001E-2</v>
      </c>
      <c r="H119" s="99">
        <f t="shared" si="8"/>
        <v>377411.75217900006</v>
      </c>
      <c r="I119" s="97">
        <f>SUMIFS('Assumption-Base'!$E$3:$E$32,'Assumption-Base'!$A$3:$A$32,$B119,'Assumption-Base'!$B$3:$B$32,$C119)</f>
        <v>0.28000000000000003</v>
      </c>
      <c r="J119" s="19">
        <f t="shared" si="9"/>
        <v>105675.29061012002</v>
      </c>
      <c r="K119" s="100">
        <f>SUMIFS('Assumption-Base'!$F$3:$F$32,'Assumption-Base'!$A$3:$A$32,$B119,'Assumption-Base'!$B$3:$B$32,$C119)</f>
        <v>2.0000000000000001E-4</v>
      </c>
      <c r="L119" s="19">
        <f t="shared" si="10"/>
        <v>7188.7952796000009</v>
      </c>
      <c r="M119" s="99">
        <f t="shared" si="11"/>
        <v>264547.66628927999</v>
      </c>
      <c r="N119" s="97">
        <f>SUMIFS('Assumption-Base'!$G$3:$G$32,'Assumption-Base'!$A$3:$A$32,$B119,'Assumption-Base'!$B$3:$B$32,$C119)</f>
        <v>0.4</v>
      </c>
      <c r="O119" s="19">
        <f t="shared" si="12"/>
        <v>150964.70087160004</v>
      </c>
      <c r="P119" s="99">
        <f t="shared" si="13"/>
        <v>113582.96541767995</v>
      </c>
    </row>
    <row r="120" spans="1:16" x14ac:dyDescent="0.35">
      <c r="A120" s="96" t="str">
        <f>LEFT('2025 actual v budget'!A120,4)&amp;"26"</f>
        <v>Apr-26</v>
      </c>
      <c r="B120" s="17" t="str">
        <f>'2025 actual v budget'!B120</f>
        <v>USA</v>
      </c>
      <c r="C120" s="17" t="str">
        <f>'2025 actual v budget'!C120</f>
        <v>Stablecoin Settlement</v>
      </c>
      <c r="D120" s="19">
        <f>'2025 actual v budget'!D120</f>
        <v>49103651.390000001</v>
      </c>
      <c r="E120" s="97">
        <f>SUMIFS('Assumption-Base'!$C$3:$C$32,'Assumption-Base'!$A$3:$A$32,$B120,'Assumption-Base'!$B$3:$B$32,$C120)</f>
        <v>0.2</v>
      </c>
      <c r="F120" s="19">
        <f t="shared" si="7"/>
        <v>58924381.667999998</v>
      </c>
      <c r="G120" s="98">
        <f>SUMIFS('Assumption-Base'!$D$3:$D$32,'Assumption-Base'!$A$3:$A$32,$B120,'Assumption-Base'!$B$3:$B$32,$C120)</f>
        <v>6.4999999999999997E-3</v>
      </c>
      <c r="H120" s="99">
        <f t="shared" si="8"/>
        <v>383008.48084199999</v>
      </c>
      <c r="I120" s="97">
        <f>SUMIFS('Assumption-Base'!$E$3:$E$32,'Assumption-Base'!$A$3:$A$32,$B120,'Assumption-Base'!$B$3:$B$32,$C120)</f>
        <v>0.32</v>
      </c>
      <c r="J120" s="19">
        <f t="shared" si="9"/>
        <v>122562.71386944001</v>
      </c>
      <c r="K120" s="100">
        <f>SUMIFS('Assumption-Base'!$F$3:$F$32,'Assumption-Base'!$A$3:$A$32,$B120,'Assumption-Base'!$B$3:$B$32,$C120)</f>
        <v>2.0000000000000001E-4</v>
      </c>
      <c r="L120" s="19">
        <f t="shared" si="10"/>
        <v>11784.876333599999</v>
      </c>
      <c r="M120" s="99">
        <f t="shared" si="11"/>
        <v>248660.89063895997</v>
      </c>
      <c r="N120" s="97">
        <f>SUMIFS('Assumption-Base'!$G$3:$G$32,'Assumption-Base'!$A$3:$A$32,$B120,'Assumption-Base'!$B$3:$B$32,$C120)</f>
        <v>0.4</v>
      </c>
      <c r="O120" s="19">
        <f t="shared" si="12"/>
        <v>153203.3923368</v>
      </c>
      <c r="P120" s="99">
        <f t="shared" si="13"/>
        <v>95457.498302159976</v>
      </c>
    </row>
    <row r="121" spans="1:16" x14ac:dyDescent="0.35">
      <c r="A121" s="96" t="str">
        <f>LEFT('2025 actual v budget'!A121,4)&amp;"26"</f>
        <v>Apr-26</v>
      </c>
      <c r="B121" s="17" t="str">
        <f>'2025 actual v budget'!B121</f>
        <v>USA</v>
      </c>
      <c r="C121" s="17" t="str">
        <f>'2025 actual v budget'!C121</f>
        <v>Treasury Yield</v>
      </c>
      <c r="D121" s="19">
        <f>'2025 actual v budget'!D121</f>
        <v>13430686.08</v>
      </c>
      <c r="E121" s="97">
        <f>SUMIFS('Assumption-Base'!$C$3:$C$32,'Assumption-Base'!$A$3:$A$32,$B121,'Assumption-Base'!$B$3:$B$32,$C121)</f>
        <v>0.1</v>
      </c>
      <c r="F121" s="19">
        <f t="shared" si="7"/>
        <v>14773754.688000001</v>
      </c>
      <c r="G121" s="98">
        <f>SUMIFS('Assumption-Base'!$D$3:$D$32,'Assumption-Base'!$A$3:$A$32,$B121,'Assumption-Base'!$B$3:$B$32,$C121)</f>
        <v>3.0000000000000001E-3</v>
      </c>
      <c r="H121" s="99">
        <f t="shared" si="8"/>
        <v>44321.264064000003</v>
      </c>
      <c r="I121" s="97">
        <f>SUMIFS('Assumption-Base'!$E$3:$E$32,'Assumption-Base'!$A$3:$A$32,$B121,'Assumption-Base'!$B$3:$B$32,$C121)</f>
        <v>0.18</v>
      </c>
      <c r="J121" s="19">
        <f t="shared" si="9"/>
        <v>7977.8275315199999</v>
      </c>
      <c r="K121" s="100">
        <f>SUMIFS('Assumption-Base'!$F$3:$F$32,'Assumption-Base'!$A$3:$A$32,$B121,'Assumption-Base'!$B$3:$B$32,$C121)</f>
        <v>2.0000000000000001E-4</v>
      </c>
      <c r="L121" s="19">
        <f t="shared" si="10"/>
        <v>2954.7509376000003</v>
      </c>
      <c r="M121" s="99">
        <f t="shared" si="11"/>
        <v>33388.68559488</v>
      </c>
      <c r="N121" s="97">
        <f>SUMIFS('Assumption-Base'!$G$3:$G$32,'Assumption-Base'!$A$3:$A$32,$B121,'Assumption-Base'!$B$3:$B$32,$C121)</f>
        <v>0.4</v>
      </c>
      <c r="O121" s="19">
        <f t="shared" si="12"/>
        <v>17728.505625600003</v>
      </c>
      <c r="P121" s="99">
        <f t="shared" si="13"/>
        <v>15660.179969279998</v>
      </c>
    </row>
    <row r="122" spans="1:16" x14ac:dyDescent="0.35">
      <c r="A122" s="96" t="str">
        <f>LEFT('2025 actual v budget'!A122,4)&amp;"26"</f>
        <v>Apr-26</v>
      </c>
      <c r="B122" s="17" t="str">
        <f>'2025 actual v budget'!B122</f>
        <v>USA</v>
      </c>
      <c r="C122" s="17" t="str">
        <f>'2025 actual v budget'!C122</f>
        <v>Virtual Accounts</v>
      </c>
      <c r="D122" s="19">
        <f>'2025 actual v budget'!D122</f>
        <v>20602562.780000001</v>
      </c>
      <c r="E122" s="97">
        <f>SUMIFS('Assumption-Base'!$C$3:$C$32,'Assumption-Base'!$A$3:$A$32,$B122,'Assumption-Base'!$B$3:$B$32,$C122)</f>
        <v>0.1</v>
      </c>
      <c r="F122" s="19">
        <f t="shared" si="7"/>
        <v>22662819.058000002</v>
      </c>
      <c r="G122" s="98">
        <f>SUMIFS('Assumption-Base'!$D$3:$D$32,'Assumption-Base'!$A$3:$A$32,$B122,'Assumption-Base'!$B$3:$B$32,$C122)</f>
        <v>4.4999999999999997E-3</v>
      </c>
      <c r="H122" s="99">
        <f t="shared" si="8"/>
        <v>101982.685761</v>
      </c>
      <c r="I122" s="97">
        <f>SUMIFS('Assumption-Base'!$E$3:$E$32,'Assumption-Base'!$A$3:$A$32,$B122,'Assumption-Base'!$B$3:$B$32,$C122)</f>
        <v>0.22</v>
      </c>
      <c r="J122" s="19">
        <f t="shared" si="9"/>
        <v>22436.190867419999</v>
      </c>
      <c r="K122" s="100">
        <f>SUMIFS('Assumption-Base'!$F$3:$F$32,'Assumption-Base'!$A$3:$A$32,$B122,'Assumption-Base'!$B$3:$B$32,$C122)</f>
        <v>2.0000000000000001E-4</v>
      </c>
      <c r="L122" s="19">
        <f t="shared" si="10"/>
        <v>4532.5638116000009</v>
      </c>
      <c r="M122" s="99">
        <f t="shared" si="11"/>
        <v>75013.931081980001</v>
      </c>
      <c r="N122" s="97">
        <f>SUMIFS('Assumption-Base'!$G$3:$G$32,'Assumption-Base'!$A$3:$A$32,$B122,'Assumption-Base'!$B$3:$B$32,$C122)</f>
        <v>0.4</v>
      </c>
      <c r="O122" s="19">
        <f t="shared" si="12"/>
        <v>40793.074304400005</v>
      </c>
      <c r="P122" s="99">
        <f t="shared" si="13"/>
        <v>34220.856777579997</v>
      </c>
    </row>
    <row r="123" spans="1:16" x14ac:dyDescent="0.35">
      <c r="A123" s="91" t="str">
        <f>LEFT('2025 actual v budget'!A123,4)&amp;"26"</f>
        <v>May-26</v>
      </c>
      <c r="B123" s="12" t="str">
        <f>'2025 actual v budget'!B123</f>
        <v>Brazil</v>
      </c>
      <c r="C123" s="12" t="str">
        <f>'2025 actual v budget'!C123</f>
        <v>Cross-border Payouts</v>
      </c>
      <c r="D123" s="14">
        <f>'2025 actual v budget'!D123</f>
        <v>13263247.5</v>
      </c>
      <c r="E123" s="92">
        <f>SUMIFS('Assumption-Base'!$C$3:$C$32,'Assumption-Base'!$A$3:$A$32,$B123,'Assumption-Base'!$B$3:$B$32,$C123)</f>
        <v>0.2</v>
      </c>
      <c r="F123" s="14">
        <f t="shared" si="7"/>
        <v>15915897</v>
      </c>
      <c r="G123" s="93">
        <f>SUMIFS('Assumption-Base'!$D$3:$D$32,'Assumption-Base'!$A$3:$A$32,$B123,'Assumption-Base'!$B$3:$B$32,$C123)</f>
        <v>7.4999999999999997E-3</v>
      </c>
      <c r="H123" s="94">
        <f t="shared" si="8"/>
        <v>119369.22749999999</v>
      </c>
      <c r="I123" s="92">
        <f>SUMIFS('Assumption-Base'!$E$3:$E$32,'Assumption-Base'!$A$3:$A$32,$B123,'Assumption-Base'!$B$3:$B$32,$C123)</f>
        <v>0.35</v>
      </c>
      <c r="J123" s="14">
        <f t="shared" si="9"/>
        <v>41779.229624999993</v>
      </c>
      <c r="K123" s="95">
        <f>SUMIFS('Assumption-Base'!$F$3:$F$32,'Assumption-Base'!$A$3:$A$32,$B123,'Assumption-Base'!$B$3:$B$32,$C123)</f>
        <v>6.9999999999999994E-5</v>
      </c>
      <c r="L123" s="14">
        <f t="shared" si="10"/>
        <v>1114.1127899999999</v>
      </c>
      <c r="M123" s="94">
        <f t="shared" si="11"/>
        <v>76475.885085000002</v>
      </c>
      <c r="N123" s="92">
        <f>SUMIFS('Assumption-Base'!$G$3:$G$32,'Assumption-Base'!$A$3:$A$32,$B123,'Assumption-Base'!$B$3:$B$32,$C123)</f>
        <v>0.4</v>
      </c>
      <c r="O123" s="14">
        <f t="shared" si="12"/>
        <v>47747.690999999999</v>
      </c>
      <c r="P123" s="94">
        <f t="shared" si="13"/>
        <v>28728.194085000003</v>
      </c>
    </row>
    <row r="124" spans="1:16" x14ac:dyDescent="0.35">
      <c r="A124" s="91" t="str">
        <f>LEFT('2025 actual v budget'!A124,4)&amp;"26"</f>
        <v>May-26</v>
      </c>
      <c r="B124" s="12" t="str">
        <f>'2025 actual v budget'!B124</f>
        <v>Brazil</v>
      </c>
      <c r="C124" s="12" t="str">
        <f>'2025 actual v budget'!C124</f>
        <v>FX Conversion</v>
      </c>
      <c r="D124" s="14">
        <f>'2025 actual v budget'!D124</f>
        <v>20801795.550000001</v>
      </c>
      <c r="E124" s="92">
        <f>SUMIFS('Assumption-Base'!$C$3:$C$32,'Assumption-Base'!$A$3:$A$32,$B124,'Assumption-Base'!$B$3:$B$32,$C124)</f>
        <v>0.2</v>
      </c>
      <c r="F124" s="14">
        <f t="shared" si="7"/>
        <v>24962154.66</v>
      </c>
      <c r="G124" s="93">
        <f>SUMIFS('Assumption-Base'!$D$3:$D$32,'Assumption-Base'!$A$3:$A$32,$B124,'Assumption-Base'!$B$3:$B$32,$C124)</f>
        <v>1.0500000000000001E-2</v>
      </c>
      <c r="H124" s="94">
        <f t="shared" si="8"/>
        <v>262102.62393000003</v>
      </c>
      <c r="I124" s="92">
        <f>SUMIFS('Assumption-Base'!$E$3:$E$32,'Assumption-Base'!$A$3:$A$32,$B124,'Assumption-Base'!$B$3:$B$32,$C124)</f>
        <v>0.28000000000000003</v>
      </c>
      <c r="J124" s="14">
        <f t="shared" si="9"/>
        <v>73388.734700400018</v>
      </c>
      <c r="K124" s="95">
        <f>SUMIFS('Assumption-Base'!$F$3:$F$32,'Assumption-Base'!$A$3:$A$32,$B124,'Assumption-Base'!$B$3:$B$32,$C124)</f>
        <v>6.9999999999999994E-5</v>
      </c>
      <c r="L124" s="14">
        <f t="shared" si="10"/>
        <v>1747.3508261999998</v>
      </c>
      <c r="M124" s="94">
        <f t="shared" si="11"/>
        <v>186966.53840340002</v>
      </c>
      <c r="N124" s="92">
        <f>SUMIFS('Assumption-Base'!$G$3:$G$32,'Assumption-Base'!$A$3:$A$32,$B124,'Assumption-Base'!$B$3:$B$32,$C124)</f>
        <v>0.4</v>
      </c>
      <c r="O124" s="14">
        <f t="shared" si="12"/>
        <v>104841.04957200002</v>
      </c>
      <c r="P124" s="94">
        <f t="shared" si="13"/>
        <v>82125.488831399998</v>
      </c>
    </row>
    <row r="125" spans="1:16" x14ac:dyDescent="0.35">
      <c r="A125" s="91" t="str">
        <f>LEFT('2025 actual v budget'!A125,4)&amp;"26"</f>
        <v>May-26</v>
      </c>
      <c r="B125" s="12" t="str">
        <f>'2025 actual v budget'!B125</f>
        <v>Brazil</v>
      </c>
      <c r="C125" s="12" t="str">
        <f>'2025 actual v budget'!C125</f>
        <v>Stablecoin Settlement</v>
      </c>
      <c r="D125" s="14">
        <f>'2025 actual v budget'!D125</f>
        <v>32333137.93</v>
      </c>
      <c r="E125" s="92">
        <f>SUMIFS('Assumption-Base'!$C$3:$C$32,'Assumption-Base'!$A$3:$A$32,$B125,'Assumption-Base'!$B$3:$B$32,$C125)</f>
        <v>0.4</v>
      </c>
      <c r="F125" s="14">
        <f t="shared" si="7"/>
        <v>45266393.101999998</v>
      </c>
      <c r="G125" s="93">
        <f>SUMIFS('Assumption-Base'!$D$3:$D$32,'Assumption-Base'!$A$3:$A$32,$B125,'Assumption-Base'!$B$3:$B$32,$C125)</f>
        <v>6.4999999999999997E-3</v>
      </c>
      <c r="H125" s="94">
        <f t="shared" si="8"/>
        <v>294231.55516299995</v>
      </c>
      <c r="I125" s="92">
        <f>SUMIFS('Assumption-Base'!$E$3:$E$32,'Assumption-Base'!$A$3:$A$32,$B125,'Assumption-Base'!$B$3:$B$32,$C125)</f>
        <v>0.32</v>
      </c>
      <c r="J125" s="14">
        <f t="shared" si="9"/>
        <v>94154.09765215998</v>
      </c>
      <c r="K125" s="95">
        <f>SUMIFS('Assumption-Base'!$F$3:$F$32,'Assumption-Base'!$A$3:$A$32,$B125,'Assumption-Base'!$B$3:$B$32,$C125)</f>
        <v>6.9999999999999994E-5</v>
      </c>
      <c r="L125" s="14">
        <f t="shared" si="10"/>
        <v>3168.6475171399998</v>
      </c>
      <c r="M125" s="94">
        <f t="shared" si="11"/>
        <v>196908.80999369998</v>
      </c>
      <c r="N125" s="92">
        <f>SUMIFS('Assumption-Base'!$G$3:$G$32,'Assumption-Base'!$A$3:$A$32,$B125,'Assumption-Base'!$B$3:$B$32,$C125)</f>
        <v>0.4</v>
      </c>
      <c r="O125" s="14">
        <f t="shared" si="12"/>
        <v>117692.62206519999</v>
      </c>
      <c r="P125" s="94">
        <f t="shared" si="13"/>
        <v>79216.187928499989</v>
      </c>
    </row>
    <row r="126" spans="1:16" x14ac:dyDescent="0.35">
      <c r="A126" s="91" t="str">
        <f>LEFT('2025 actual v budget'!A126,4)&amp;"26"</f>
        <v>May-26</v>
      </c>
      <c r="B126" s="12" t="str">
        <f>'2025 actual v budget'!B126</f>
        <v>Brazil</v>
      </c>
      <c r="C126" s="12" t="str">
        <f>'2025 actual v budget'!C126</f>
        <v>Treasury Yield</v>
      </c>
      <c r="D126" s="14">
        <f>'2025 actual v budget'!D126</f>
        <v>8704604.1500000004</v>
      </c>
      <c r="E126" s="92">
        <f>SUMIFS('Assumption-Base'!$C$3:$C$32,'Assumption-Base'!$A$3:$A$32,$B126,'Assumption-Base'!$B$3:$B$32,$C126)</f>
        <v>0.2</v>
      </c>
      <c r="F126" s="14">
        <f t="shared" si="7"/>
        <v>10445524.98</v>
      </c>
      <c r="G126" s="93">
        <f>SUMIFS('Assumption-Base'!$D$3:$D$32,'Assumption-Base'!$A$3:$A$32,$B126,'Assumption-Base'!$B$3:$B$32,$C126)</f>
        <v>3.0000000000000001E-3</v>
      </c>
      <c r="H126" s="94">
        <f t="shared" si="8"/>
        <v>31336.574940000002</v>
      </c>
      <c r="I126" s="92">
        <f>SUMIFS('Assumption-Base'!$E$3:$E$32,'Assumption-Base'!$A$3:$A$32,$B126,'Assumption-Base'!$B$3:$B$32,$C126)</f>
        <v>0.18</v>
      </c>
      <c r="J126" s="14">
        <f t="shared" si="9"/>
        <v>5640.5834892000003</v>
      </c>
      <c r="K126" s="95">
        <f>SUMIFS('Assumption-Base'!$F$3:$F$32,'Assumption-Base'!$A$3:$A$32,$B126,'Assumption-Base'!$B$3:$B$32,$C126)</f>
        <v>6.9999999999999994E-5</v>
      </c>
      <c r="L126" s="14">
        <f t="shared" si="10"/>
        <v>731.18674859999999</v>
      </c>
      <c r="M126" s="94">
        <f t="shared" si="11"/>
        <v>24964.804702199999</v>
      </c>
      <c r="N126" s="92">
        <f>SUMIFS('Assumption-Base'!$G$3:$G$32,'Assumption-Base'!$A$3:$A$32,$B126,'Assumption-Base'!$B$3:$B$32,$C126)</f>
        <v>0.4</v>
      </c>
      <c r="O126" s="14">
        <f t="shared" si="12"/>
        <v>12534.629976000002</v>
      </c>
      <c r="P126" s="94">
        <f t="shared" si="13"/>
        <v>12430.174726199997</v>
      </c>
    </row>
    <row r="127" spans="1:16" x14ac:dyDescent="0.35">
      <c r="A127" s="91" t="str">
        <f>LEFT('2025 actual v budget'!A127,4)&amp;"26"</f>
        <v>May-26</v>
      </c>
      <c r="B127" s="12" t="str">
        <f>'2025 actual v budget'!B127</f>
        <v>Brazil</v>
      </c>
      <c r="C127" s="12" t="str">
        <f>'2025 actual v budget'!C127</f>
        <v>Virtual Accounts</v>
      </c>
      <c r="D127" s="14">
        <f>'2025 actual v budget'!D127</f>
        <v>13498048.27</v>
      </c>
      <c r="E127" s="92">
        <f>SUMIFS('Assumption-Base'!$C$3:$C$32,'Assumption-Base'!$A$3:$A$32,$B127,'Assumption-Base'!$B$3:$B$32,$C127)</f>
        <v>0.2</v>
      </c>
      <c r="F127" s="14">
        <f t="shared" si="7"/>
        <v>16197657.923999999</v>
      </c>
      <c r="G127" s="93">
        <f>SUMIFS('Assumption-Base'!$D$3:$D$32,'Assumption-Base'!$A$3:$A$32,$B127,'Assumption-Base'!$B$3:$B$32,$C127)</f>
        <v>4.4999999999999997E-3</v>
      </c>
      <c r="H127" s="94">
        <f t="shared" si="8"/>
        <v>72889.460657999982</v>
      </c>
      <c r="I127" s="92">
        <f>SUMIFS('Assumption-Base'!$E$3:$E$32,'Assumption-Base'!$A$3:$A$32,$B127,'Assumption-Base'!$B$3:$B$32,$C127)</f>
        <v>0.22</v>
      </c>
      <c r="J127" s="14">
        <f t="shared" si="9"/>
        <v>16035.681344759996</v>
      </c>
      <c r="K127" s="95">
        <f>SUMIFS('Assumption-Base'!$F$3:$F$32,'Assumption-Base'!$A$3:$A$32,$B127,'Assumption-Base'!$B$3:$B$32,$C127)</f>
        <v>6.9999999999999994E-5</v>
      </c>
      <c r="L127" s="14">
        <f t="shared" si="10"/>
        <v>1133.8360546799997</v>
      </c>
      <c r="M127" s="94">
        <f t="shared" si="11"/>
        <v>55719.943258559979</v>
      </c>
      <c r="N127" s="92">
        <f>SUMIFS('Assumption-Base'!$G$3:$G$32,'Assumption-Base'!$A$3:$A$32,$B127,'Assumption-Base'!$B$3:$B$32,$C127)</f>
        <v>0.4</v>
      </c>
      <c r="O127" s="14">
        <f t="shared" si="12"/>
        <v>29155.784263199996</v>
      </c>
      <c r="P127" s="94">
        <f t="shared" si="13"/>
        <v>26564.158995359983</v>
      </c>
    </row>
    <row r="128" spans="1:16" x14ac:dyDescent="0.35">
      <c r="A128" s="91" t="str">
        <f>LEFT('2025 actual v budget'!A128,4)&amp;"26"</f>
        <v>May-26</v>
      </c>
      <c r="B128" s="12" t="str">
        <f>'2025 actual v budget'!B128</f>
        <v>Germany</v>
      </c>
      <c r="C128" s="12" t="str">
        <f>'2025 actual v budget'!C128</f>
        <v>Cross-border Payouts</v>
      </c>
      <c r="D128" s="14">
        <f>'2025 actual v budget'!D128</f>
        <v>6674245.25</v>
      </c>
      <c r="E128" s="92">
        <f>SUMIFS('Assumption-Base'!$C$3:$C$32,'Assumption-Base'!$A$3:$A$32,$B128,'Assumption-Base'!$B$3:$B$32,$C128)</f>
        <v>0.06</v>
      </c>
      <c r="F128" s="14">
        <f t="shared" si="7"/>
        <v>7074699.9650000008</v>
      </c>
      <c r="G128" s="93">
        <f>SUMIFS('Assumption-Base'!$D$3:$D$32,'Assumption-Base'!$A$3:$A$32,$B128,'Assumption-Base'!$B$3:$B$32,$C128)</f>
        <v>7.4999999999999997E-3</v>
      </c>
      <c r="H128" s="94">
        <f t="shared" si="8"/>
        <v>53060.249737500002</v>
      </c>
      <c r="I128" s="92">
        <f>SUMIFS('Assumption-Base'!$E$3:$E$32,'Assumption-Base'!$A$3:$A$32,$B128,'Assumption-Base'!$B$3:$B$32,$C128)</f>
        <v>0.35</v>
      </c>
      <c r="J128" s="14">
        <f t="shared" si="9"/>
        <v>18571.087408125</v>
      </c>
      <c r="K128" s="95">
        <f>SUMIFS('Assumption-Base'!$F$3:$F$32,'Assumption-Base'!$A$3:$A$32,$B128,'Assumption-Base'!$B$3:$B$32,$C128)</f>
        <v>1.4999999999999999E-4</v>
      </c>
      <c r="L128" s="14">
        <f t="shared" si="10"/>
        <v>1061.20499475</v>
      </c>
      <c r="M128" s="94">
        <f t="shared" si="11"/>
        <v>33427.957334625004</v>
      </c>
      <c r="N128" s="92">
        <f>SUMIFS('Assumption-Base'!$G$3:$G$32,'Assumption-Base'!$A$3:$A$32,$B128,'Assumption-Base'!$B$3:$B$32,$C128)</f>
        <v>0.4</v>
      </c>
      <c r="O128" s="14">
        <f t="shared" si="12"/>
        <v>21224.099895000003</v>
      </c>
      <c r="P128" s="94">
        <f t="shared" si="13"/>
        <v>12203.857439625001</v>
      </c>
    </row>
    <row r="129" spans="1:16" x14ac:dyDescent="0.35">
      <c r="A129" s="91" t="str">
        <f>LEFT('2025 actual v budget'!A129,4)&amp;"26"</f>
        <v>May-26</v>
      </c>
      <c r="B129" s="12" t="str">
        <f>'2025 actual v budget'!B129</f>
        <v>Germany</v>
      </c>
      <c r="C129" s="12" t="str">
        <f>'2025 actual v budget'!C129</f>
        <v>FX Conversion</v>
      </c>
      <c r="D129" s="14">
        <f>'2025 actual v budget'!D129</f>
        <v>10463964.949999999</v>
      </c>
      <c r="E129" s="92">
        <f>SUMIFS('Assumption-Base'!$C$3:$C$32,'Assumption-Base'!$A$3:$A$32,$B129,'Assumption-Base'!$B$3:$B$32,$C129)</f>
        <v>0.06</v>
      </c>
      <c r="F129" s="14">
        <f t="shared" si="7"/>
        <v>11091802.846999999</v>
      </c>
      <c r="G129" s="93">
        <f>SUMIFS('Assumption-Base'!$D$3:$D$32,'Assumption-Base'!$A$3:$A$32,$B129,'Assumption-Base'!$B$3:$B$32,$C129)</f>
        <v>1.0500000000000001E-2</v>
      </c>
      <c r="H129" s="94">
        <f t="shared" si="8"/>
        <v>116463.9298935</v>
      </c>
      <c r="I129" s="92">
        <f>SUMIFS('Assumption-Base'!$E$3:$E$32,'Assumption-Base'!$A$3:$A$32,$B129,'Assumption-Base'!$B$3:$B$32,$C129)</f>
        <v>0.28000000000000003</v>
      </c>
      <c r="J129" s="14">
        <f t="shared" si="9"/>
        <v>32609.900370180003</v>
      </c>
      <c r="K129" s="95">
        <f>SUMIFS('Assumption-Base'!$F$3:$F$32,'Assumption-Base'!$A$3:$A$32,$B129,'Assumption-Base'!$B$3:$B$32,$C129)</f>
        <v>1.4999999999999999E-4</v>
      </c>
      <c r="L129" s="14">
        <f t="shared" si="10"/>
        <v>1663.7704270499996</v>
      </c>
      <c r="M129" s="94">
        <f t="shared" si="11"/>
        <v>82190.259096270005</v>
      </c>
      <c r="N129" s="92">
        <f>SUMIFS('Assumption-Base'!$G$3:$G$32,'Assumption-Base'!$A$3:$A$32,$B129,'Assumption-Base'!$B$3:$B$32,$C129)</f>
        <v>0.4</v>
      </c>
      <c r="O129" s="14">
        <f t="shared" si="12"/>
        <v>46585.571957400003</v>
      </c>
      <c r="P129" s="94">
        <f t="shared" si="13"/>
        <v>35604.687138870002</v>
      </c>
    </row>
    <row r="130" spans="1:16" x14ac:dyDescent="0.35">
      <c r="A130" s="91" t="str">
        <f>LEFT('2025 actual v budget'!A130,4)&amp;"26"</f>
        <v>May-26</v>
      </c>
      <c r="B130" s="12" t="str">
        <f>'2025 actual v budget'!B130</f>
        <v>Germany</v>
      </c>
      <c r="C130" s="12" t="str">
        <f>'2025 actual v budget'!C130</f>
        <v>Stablecoin Settlement</v>
      </c>
      <c r="D130" s="14">
        <f>'2025 actual v budget'!D130</f>
        <v>16270471.640000001</v>
      </c>
      <c r="E130" s="92">
        <f>SUMIFS('Assumption-Base'!$C$3:$C$32,'Assumption-Base'!$A$3:$A$32,$B130,'Assumption-Base'!$B$3:$B$32,$C130)</f>
        <v>0.12</v>
      </c>
      <c r="F130" s="14">
        <f t="shared" si="7"/>
        <v>18222928.236800004</v>
      </c>
      <c r="G130" s="93">
        <f>SUMIFS('Assumption-Base'!$D$3:$D$32,'Assumption-Base'!$A$3:$A$32,$B130,'Assumption-Base'!$B$3:$B$32,$C130)</f>
        <v>6.4999999999999997E-3</v>
      </c>
      <c r="H130" s="94">
        <f t="shared" si="8"/>
        <v>118449.03353920001</v>
      </c>
      <c r="I130" s="92">
        <f>SUMIFS('Assumption-Base'!$E$3:$E$32,'Assumption-Base'!$A$3:$A$32,$B130,'Assumption-Base'!$B$3:$B$32,$C130)</f>
        <v>0.32</v>
      </c>
      <c r="J130" s="14">
        <f t="shared" si="9"/>
        <v>37903.690732544004</v>
      </c>
      <c r="K130" s="95">
        <f>SUMIFS('Assumption-Base'!$F$3:$F$32,'Assumption-Base'!$A$3:$A$32,$B130,'Assumption-Base'!$B$3:$B$32,$C130)</f>
        <v>1.4999999999999999E-4</v>
      </c>
      <c r="L130" s="14">
        <f t="shared" si="10"/>
        <v>2733.4392355200002</v>
      </c>
      <c r="M130" s="94">
        <f t="shared" si="11"/>
        <v>77811.903571136005</v>
      </c>
      <c r="N130" s="92">
        <f>SUMIFS('Assumption-Base'!$G$3:$G$32,'Assumption-Base'!$A$3:$A$32,$B130,'Assumption-Base'!$B$3:$B$32,$C130)</f>
        <v>0.4</v>
      </c>
      <c r="O130" s="14">
        <f t="shared" si="12"/>
        <v>47379.613415680011</v>
      </c>
      <c r="P130" s="94">
        <f t="shared" si="13"/>
        <v>30432.290155455994</v>
      </c>
    </row>
    <row r="131" spans="1:16" x14ac:dyDescent="0.35">
      <c r="A131" s="91" t="str">
        <f>LEFT('2025 actual v budget'!A131,4)&amp;"26"</f>
        <v>May-26</v>
      </c>
      <c r="B131" s="12" t="str">
        <f>'2025 actual v budget'!B131</f>
        <v>Germany</v>
      </c>
      <c r="C131" s="12" t="str">
        <f>'2025 actual v budget'!C131</f>
        <v>Treasury Yield</v>
      </c>
      <c r="D131" s="14">
        <f>'2025 actual v budget'!D131</f>
        <v>4378692.8099999996</v>
      </c>
      <c r="E131" s="92">
        <f>SUMIFS('Assumption-Base'!$C$3:$C$32,'Assumption-Base'!$A$3:$A$32,$B131,'Assumption-Base'!$B$3:$B$32,$C131)</f>
        <v>0.06</v>
      </c>
      <c r="F131" s="14">
        <f t="shared" ref="F131:F194" si="14">D131*(1+E131)</f>
        <v>4641414.3785999995</v>
      </c>
      <c r="G131" s="93">
        <f>SUMIFS('Assumption-Base'!$D$3:$D$32,'Assumption-Base'!$A$3:$A$32,$B131,'Assumption-Base'!$B$3:$B$32,$C131)</f>
        <v>3.0000000000000001E-3</v>
      </c>
      <c r="H131" s="94">
        <f t="shared" ref="H131:H194" si="15">F131*G131</f>
        <v>13924.243135799999</v>
      </c>
      <c r="I131" s="92">
        <f>SUMIFS('Assumption-Base'!$E$3:$E$32,'Assumption-Base'!$A$3:$A$32,$B131,'Assumption-Base'!$B$3:$B$32,$C131)</f>
        <v>0.18</v>
      </c>
      <c r="J131" s="14">
        <f t="shared" ref="J131:J194" si="16">H131*I131</f>
        <v>2506.363764444</v>
      </c>
      <c r="K131" s="95">
        <f>SUMIFS('Assumption-Base'!$F$3:$F$32,'Assumption-Base'!$A$3:$A$32,$B131,'Assumption-Base'!$B$3:$B$32,$C131)</f>
        <v>1.4999999999999999E-4</v>
      </c>
      <c r="L131" s="14">
        <f t="shared" ref="L131:L194" si="17">F131*K131</f>
        <v>696.21215678999988</v>
      </c>
      <c r="M131" s="94">
        <f t="shared" ref="M131:M194" si="18">H131-J131-L131</f>
        <v>10721.667214566</v>
      </c>
      <c r="N131" s="92">
        <f>SUMIFS('Assumption-Base'!$G$3:$G$32,'Assumption-Base'!$A$3:$A$32,$B131,'Assumption-Base'!$B$3:$B$32,$C131)</f>
        <v>0.4</v>
      </c>
      <c r="O131" s="14">
        <f t="shared" ref="O131:O194" si="19">H131*N131</f>
        <v>5569.69725432</v>
      </c>
      <c r="P131" s="94">
        <f t="shared" ref="P131:P194" si="20">M131-O131</f>
        <v>5151.9699602459996</v>
      </c>
    </row>
    <row r="132" spans="1:16" x14ac:dyDescent="0.35">
      <c r="A132" s="91" t="str">
        <f>LEFT('2025 actual v budget'!A132,4)&amp;"26"</f>
        <v>May-26</v>
      </c>
      <c r="B132" s="12" t="str">
        <f>'2025 actual v budget'!B132</f>
        <v>Germany</v>
      </c>
      <c r="C132" s="12" t="str">
        <f>'2025 actual v budget'!C132</f>
        <v>Virtual Accounts</v>
      </c>
      <c r="D132" s="14">
        <f>'2025 actual v budget'!D132</f>
        <v>6789947.71</v>
      </c>
      <c r="E132" s="92">
        <f>SUMIFS('Assumption-Base'!$C$3:$C$32,'Assumption-Base'!$A$3:$A$32,$B132,'Assumption-Base'!$B$3:$B$32,$C132)</f>
        <v>0.06</v>
      </c>
      <c r="F132" s="14">
        <f t="shared" si="14"/>
        <v>7197344.5726000005</v>
      </c>
      <c r="G132" s="93">
        <f>SUMIFS('Assumption-Base'!$D$3:$D$32,'Assumption-Base'!$A$3:$A$32,$B132,'Assumption-Base'!$B$3:$B$32,$C132)</f>
        <v>4.4999999999999997E-3</v>
      </c>
      <c r="H132" s="94">
        <f t="shared" si="15"/>
        <v>32388.0505767</v>
      </c>
      <c r="I132" s="92">
        <f>SUMIFS('Assumption-Base'!$E$3:$E$32,'Assumption-Base'!$A$3:$A$32,$B132,'Assumption-Base'!$B$3:$B$32,$C132)</f>
        <v>0.22</v>
      </c>
      <c r="J132" s="14">
        <f t="shared" si="16"/>
        <v>7125.3711268739999</v>
      </c>
      <c r="K132" s="95">
        <f>SUMIFS('Assumption-Base'!$F$3:$F$32,'Assumption-Base'!$A$3:$A$32,$B132,'Assumption-Base'!$B$3:$B$32,$C132)</f>
        <v>1.4999999999999999E-4</v>
      </c>
      <c r="L132" s="14">
        <f t="shared" si="17"/>
        <v>1079.60168589</v>
      </c>
      <c r="M132" s="94">
        <f t="shared" si="18"/>
        <v>24183.077763935999</v>
      </c>
      <c r="N132" s="92">
        <f>SUMIFS('Assumption-Base'!$G$3:$G$32,'Assumption-Base'!$A$3:$A$32,$B132,'Assumption-Base'!$B$3:$B$32,$C132)</f>
        <v>0.4</v>
      </c>
      <c r="O132" s="14">
        <f t="shared" si="19"/>
        <v>12955.220230680001</v>
      </c>
      <c r="P132" s="94">
        <f t="shared" si="20"/>
        <v>11227.857533255998</v>
      </c>
    </row>
    <row r="133" spans="1:16" x14ac:dyDescent="0.35">
      <c r="A133" s="91" t="str">
        <f>LEFT('2025 actual v budget'!A133,4)&amp;"26"</f>
        <v>May-26</v>
      </c>
      <c r="B133" s="12" t="str">
        <f>'2025 actual v budget'!B133</f>
        <v>India</v>
      </c>
      <c r="C133" s="12" t="str">
        <f>'2025 actual v budget'!C133</f>
        <v>Cross-border Payouts</v>
      </c>
      <c r="D133" s="14">
        <f>'2025 actual v budget'!D133</f>
        <v>8851151.4900000002</v>
      </c>
      <c r="E133" s="92">
        <f>SUMIFS('Assumption-Base'!$C$3:$C$32,'Assumption-Base'!$A$3:$A$32,$B133,'Assumption-Base'!$B$3:$B$32,$C133)</f>
        <v>0.12</v>
      </c>
      <c r="F133" s="14">
        <f t="shared" si="14"/>
        <v>9913289.668800002</v>
      </c>
      <c r="G133" s="93">
        <f>SUMIFS('Assumption-Base'!$D$3:$D$32,'Assumption-Base'!$A$3:$A$32,$B133,'Assumption-Base'!$B$3:$B$32,$C133)</f>
        <v>7.4999999999999997E-3</v>
      </c>
      <c r="H133" s="94">
        <f t="shared" si="15"/>
        <v>74349.672516000006</v>
      </c>
      <c r="I133" s="92">
        <f>SUMIFS('Assumption-Base'!$E$3:$E$32,'Assumption-Base'!$A$3:$A$32,$B133,'Assumption-Base'!$B$3:$B$32,$C133)</f>
        <v>0.35</v>
      </c>
      <c r="J133" s="14">
        <f t="shared" si="16"/>
        <v>26022.385380600001</v>
      </c>
      <c r="K133" s="95">
        <f>SUMIFS('Assumption-Base'!$F$3:$F$32,'Assumption-Base'!$A$3:$A$32,$B133,'Assumption-Base'!$B$3:$B$32,$C133)</f>
        <v>1.8000000000000001E-4</v>
      </c>
      <c r="L133" s="14">
        <f t="shared" si="17"/>
        <v>1784.3921403840004</v>
      </c>
      <c r="M133" s="94">
        <f t="shared" si="18"/>
        <v>46542.894995016009</v>
      </c>
      <c r="N133" s="92">
        <f>SUMIFS('Assumption-Base'!$G$3:$G$32,'Assumption-Base'!$A$3:$A$32,$B133,'Assumption-Base'!$B$3:$B$32,$C133)</f>
        <v>0.4</v>
      </c>
      <c r="O133" s="14">
        <f t="shared" si="19"/>
        <v>29739.869006400004</v>
      </c>
      <c r="P133" s="94">
        <f t="shared" si="20"/>
        <v>16803.025988616006</v>
      </c>
    </row>
    <row r="134" spans="1:16" x14ac:dyDescent="0.35">
      <c r="A134" s="91" t="str">
        <f>LEFT('2025 actual v budget'!A134,4)&amp;"26"</f>
        <v>May-26</v>
      </c>
      <c r="B134" s="12" t="str">
        <f>'2025 actual v budget'!B134</f>
        <v>India</v>
      </c>
      <c r="C134" s="12" t="str">
        <f>'2025 actual v budget'!C134</f>
        <v>FX Conversion</v>
      </c>
      <c r="D134" s="14">
        <f>'2025 actual v budget'!D134</f>
        <v>13884394.57</v>
      </c>
      <c r="E134" s="92">
        <f>SUMIFS('Assumption-Base'!$C$3:$C$32,'Assumption-Base'!$A$3:$A$32,$B134,'Assumption-Base'!$B$3:$B$32,$C134)</f>
        <v>0.12</v>
      </c>
      <c r="F134" s="14">
        <f t="shared" si="14"/>
        <v>15550521.918400003</v>
      </c>
      <c r="G134" s="93">
        <f>SUMIFS('Assumption-Base'!$D$3:$D$32,'Assumption-Base'!$A$3:$A$32,$B134,'Assumption-Base'!$B$3:$B$32,$C134)</f>
        <v>1.0500000000000001E-2</v>
      </c>
      <c r="H134" s="94">
        <f t="shared" si="15"/>
        <v>163280.48014320002</v>
      </c>
      <c r="I134" s="92">
        <f>SUMIFS('Assumption-Base'!$E$3:$E$32,'Assumption-Base'!$A$3:$A$32,$B134,'Assumption-Base'!$B$3:$B$32,$C134)</f>
        <v>0.28000000000000003</v>
      </c>
      <c r="J134" s="14">
        <f t="shared" si="16"/>
        <v>45718.534440096009</v>
      </c>
      <c r="K134" s="95">
        <f>SUMIFS('Assumption-Base'!$F$3:$F$32,'Assumption-Base'!$A$3:$A$32,$B134,'Assumption-Base'!$B$3:$B$32,$C134)</f>
        <v>1.8000000000000001E-4</v>
      </c>
      <c r="L134" s="14">
        <f t="shared" si="17"/>
        <v>2799.0939453120009</v>
      </c>
      <c r="M134" s="94">
        <f t="shared" si="18"/>
        <v>114762.85175779203</v>
      </c>
      <c r="N134" s="92">
        <f>SUMIFS('Assumption-Base'!$G$3:$G$32,'Assumption-Base'!$A$3:$A$32,$B134,'Assumption-Base'!$B$3:$B$32,$C134)</f>
        <v>0.4</v>
      </c>
      <c r="O134" s="14">
        <f t="shared" si="19"/>
        <v>65312.192057280015</v>
      </c>
      <c r="P134" s="94">
        <f t="shared" si="20"/>
        <v>49450.659700512013</v>
      </c>
    </row>
    <row r="135" spans="1:16" x14ac:dyDescent="0.35">
      <c r="A135" s="91" t="str">
        <f>LEFT('2025 actual v budget'!A135,4)&amp;"26"</f>
        <v>May-26</v>
      </c>
      <c r="B135" s="12" t="str">
        <f>'2025 actual v budget'!B135</f>
        <v>India</v>
      </c>
      <c r="C135" s="12" t="str">
        <f>'2025 actual v budget'!C135</f>
        <v>Stablecoin Settlement</v>
      </c>
      <c r="D135" s="14">
        <f>'2025 actual v budget'!D135</f>
        <v>21577332.530000001</v>
      </c>
      <c r="E135" s="92">
        <f>SUMIFS('Assumption-Base'!$C$3:$C$32,'Assumption-Base'!$A$3:$A$32,$B135,'Assumption-Base'!$B$3:$B$32,$C135)</f>
        <v>0.24</v>
      </c>
      <c r="F135" s="14">
        <f t="shared" si="14"/>
        <v>26755892.337200001</v>
      </c>
      <c r="G135" s="93">
        <f>SUMIFS('Assumption-Base'!$D$3:$D$32,'Assumption-Base'!$A$3:$A$32,$B135,'Assumption-Base'!$B$3:$B$32,$C135)</f>
        <v>6.4999999999999997E-3</v>
      </c>
      <c r="H135" s="94">
        <f t="shared" si="15"/>
        <v>173913.30019179999</v>
      </c>
      <c r="I135" s="92">
        <f>SUMIFS('Assumption-Base'!$E$3:$E$32,'Assumption-Base'!$A$3:$A$32,$B135,'Assumption-Base'!$B$3:$B$32,$C135)</f>
        <v>0.32</v>
      </c>
      <c r="J135" s="14">
        <f t="shared" si="16"/>
        <v>55652.256061376</v>
      </c>
      <c r="K135" s="95">
        <f>SUMIFS('Assumption-Base'!$F$3:$F$32,'Assumption-Base'!$A$3:$A$32,$B135,'Assumption-Base'!$B$3:$B$32,$C135)</f>
        <v>1.8000000000000001E-4</v>
      </c>
      <c r="L135" s="14">
        <f t="shared" si="17"/>
        <v>4816.0606206960001</v>
      </c>
      <c r="M135" s="94">
        <f t="shared" si="18"/>
        <v>113444.98350972799</v>
      </c>
      <c r="N135" s="92">
        <f>SUMIFS('Assumption-Base'!$G$3:$G$32,'Assumption-Base'!$A$3:$A$32,$B135,'Assumption-Base'!$B$3:$B$32,$C135)</f>
        <v>0.4</v>
      </c>
      <c r="O135" s="14">
        <f t="shared" si="19"/>
        <v>69565.320076720003</v>
      </c>
      <c r="P135" s="94">
        <f t="shared" si="20"/>
        <v>43879.663433007983</v>
      </c>
    </row>
    <row r="136" spans="1:16" x14ac:dyDescent="0.35">
      <c r="A136" s="91" t="str">
        <f>LEFT('2025 actual v budget'!A136,4)&amp;"26"</f>
        <v>May-26</v>
      </c>
      <c r="B136" s="12" t="str">
        <f>'2025 actual v budget'!B136</f>
        <v>India</v>
      </c>
      <c r="C136" s="12" t="str">
        <f>'2025 actual v budget'!C136</f>
        <v>Treasury Yield</v>
      </c>
      <c r="D136" s="14">
        <f>'2025 actual v budget'!D136</f>
        <v>5809986.8499999996</v>
      </c>
      <c r="E136" s="92">
        <f>SUMIFS('Assumption-Base'!$C$3:$C$32,'Assumption-Base'!$A$3:$A$32,$B136,'Assumption-Base'!$B$3:$B$32,$C136)</f>
        <v>0.12</v>
      </c>
      <c r="F136" s="14">
        <f t="shared" si="14"/>
        <v>6507185.2719999999</v>
      </c>
      <c r="G136" s="93">
        <f>SUMIFS('Assumption-Base'!$D$3:$D$32,'Assumption-Base'!$A$3:$A$32,$B136,'Assumption-Base'!$B$3:$B$32,$C136)</f>
        <v>3.0000000000000001E-3</v>
      </c>
      <c r="H136" s="94">
        <f t="shared" si="15"/>
        <v>19521.555816</v>
      </c>
      <c r="I136" s="92">
        <f>SUMIFS('Assumption-Base'!$E$3:$E$32,'Assumption-Base'!$A$3:$A$32,$B136,'Assumption-Base'!$B$3:$B$32,$C136)</f>
        <v>0.18</v>
      </c>
      <c r="J136" s="14">
        <f t="shared" si="16"/>
        <v>3513.88004688</v>
      </c>
      <c r="K136" s="95">
        <f>SUMIFS('Assumption-Base'!$F$3:$F$32,'Assumption-Base'!$A$3:$A$32,$B136,'Assumption-Base'!$B$3:$B$32,$C136)</f>
        <v>1.8000000000000001E-4</v>
      </c>
      <c r="L136" s="14">
        <f t="shared" si="17"/>
        <v>1171.29334896</v>
      </c>
      <c r="M136" s="94">
        <f t="shared" si="18"/>
        <v>14836.38242016</v>
      </c>
      <c r="N136" s="92">
        <f>SUMIFS('Assumption-Base'!$G$3:$G$32,'Assumption-Base'!$A$3:$A$32,$B136,'Assumption-Base'!$B$3:$B$32,$C136)</f>
        <v>0.4</v>
      </c>
      <c r="O136" s="14">
        <f t="shared" si="19"/>
        <v>7808.6223264</v>
      </c>
      <c r="P136" s="94">
        <f t="shared" si="20"/>
        <v>7027.76009376</v>
      </c>
    </row>
    <row r="137" spans="1:16" x14ac:dyDescent="0.35">
      <c r="A137" s="91" t="str">
        <f>LEFT('2025 actual v budget'!A137,4)&amp;"26"</f>
        <v>May-26</v>
      </c>
      <c r="B137" s="12" t="str">
        <f>'2025 actual v budget'!B137</f>
        <v>India</v>
      </c>
      <c r="C137" s="12" t="str">
        <f>'2025 actual v budget'!C137</f>
        <v>Virtual Accounts</v>
      </c>
      <c r="D137" s="14">
        <f>'2025 actual v budget'!D137</f>
        <v>9009425.5399999991</v>
      </c>
      <c r="E137" s="92">
        <f>SUMIFS('Assumption-Base'!$C$3:$C$32,'Assumption-Base'!$A$3:$A$32,$B137,'Assumption-Base'!$B$3:$B$32,$C137)</f>
        <v>0.12</v>
      </c>
      <c r="F137" s="14">
        <f t="shared" si="14"/>
        <v>10090556.604800001</v>
      </c>
      <c r="G137" s="93">
        <f>SUMIFS('Assumption-Base'!$D$3:$D$32,'Assumption-Base'!$A$3:$A$32,$B137,'Assumption-Base'!$B$3:$B$32,$C137)</f>
        <v>4.4999999999999997E-3</v>
      </c>
      <c r="H137" s="94">
        <f t="shared" si="15"/>
        <v>45407.504721600002</v>
      </c>
      <c r="I137" s="92">
        <f>SUMIFS('Assumption-Base'!$E$3:$E$32,'Assumption-Base'!$A$3:$A$32,$B137,'Assumption-Base'!$B$3:$B$32,$C137)</f>
        <v>0.22</v>
      </c>
      <c r="J137" s="14">
        <f t="shared" si="16"/>
        <v>9989.6510387520011</v>
      </c>
      <c r="K137" s="95">
        <f>SUMIFS('Assumption-Base'!$F$3:$F$32,'Assumption-Base'!$A$3:$A$32,$B137,'Assumption-Base'!$B$3:$B$32,$C137)</f>
        <v>1.8000000000000001E-4</v>
      </c>
      <c r="L137" s="14">
        <f t="shared" si="17"/>
        <v>1816.3001888640003</v>
      </c>
      <c r="M137" s="94">
        <f t="shared" si="18"/>
        <v>33601.553493984</v>
      </c>
      <c r="N137" s="92">
        <f>SUMIFS('Assumption-Base'!$G$3:$G$32,'Assumption-Base'!$A$3:$A$32,$B137,'Assumption-Base'!$B$3:$B$32,$C137)</f>
        <v>0.4</v>
      </c>
      <c r="O137" s="14">
        <f t="shared" si="19"/>
        <v>18163.001888640003</v>
      </c>
      <c r="P137" s="94">
        <f t="shared" si="20"/>
        <v>15438.551605343997</v>
      </c>
    </row>
    <row r="138" spans="1:16" x14ac:dyDescent="0.35">
      <c r="A138" s="91" t="str">
        <f>LEFT('2025 actual v budget'!A138,4)&amp;"26"</f>
        <v>May-26</v>
      </c>
      <c r="B138" s="12" t="str">
        <f>'2025 actual v budget'!B138</f>
        <v>Mexico</v>
      </c>
      <c r="C138" s="12" t="str">
        <f>'2025 actual v budget'!C138</f>
        <v>Cross-border Payouts</v>
      </c>
      <c r="D138" s="14">
        <f>'2025 actual v budget'!D138</f>
        <v>10618207.380000001</v>
      </c>
      <c r="E138" s="92">
        <f>SUMIFS('Assumption-Base'!$C$3:$C$32,'Assumption-Base'!$A$3:$A$32,$B138,'Assumption-Base'!$B$3:$B$32,$C138)</f>
        <v>0.15</v>
      </c>
      <c r="F138" s="14">
        <f t="shared" si="14"/>
        <v>12210938.487</v>
      </c>
      <c r="G138" s="93">
        <f>SUMIFS('Assumption-Base'!$D$3:$D$32,'Assumption-Base'!$A$3:$A$32,$B138,'Assumption-Base'!$B$3:$B$32,$C138)</f>
        <v>7.4999999999999997E-3</v>
      </c>
      <c r="H138" s="94">
        <f t="shared" si="15"/>
        <v>91582.038652499992</v>
      </c>
      <c r="I138" s="92">
        <f>SUMIFS('Assumption-Base'!$E$3:$E$32,'Assumption-Base'!$A$3:$A$32,$B138,'Assumption-Base'!$B$3:$B$32,$C138)</f>
        <v>0.35</v>
      </c>
      <c r="J138" s="14">
        <f t="shared" si="16"/>
        <v>32053.713528374996</v>
      </c>
      <c r="K138" s="95">
        <f>SUMIFS('Assumption-Base'!$F$3:$F$32,'Assumption-Base'!$A$3:$A$32,$B138,'Assumption-Base'!$B$3:$B$32,$C138)</f>
        <v>8.0000000000000007E-5</v>
      </c>
      <c r="L138" s="14">
        <f t="shared" si="17"/>
        <v>976.87507896000011</v>
      </c>
      <c r="M138" s="94">
        <f t="shared" si="18"/>
        <v>58551.450045164995</v>
      </c>
      <c r="N138" s="92">
        <f>SUMIFS('Assumption-Base'!$G$3:$G$32,'Assumption-Base'!$A$3:$A$32,$B138,'Assumption-Base'!$B$3:$B$32,$C138)</f>
        <v>0.4</v>
      </c>
      <c r="O138" s="14">
        <f t="shared" si="19"/>
        <v>36632.815460999998</v>
      </c>
      <c r="P138" s="94">
        <f t="shared" si="20"/>
        <v>21918.634584164996</v>
      </c>
    </row>
    <row r="139" spans="1:16" x14ac:dyDescent="0.35">
      <c r="A139" s="91" t="str">
        <f>LEFT('2025 actual v budget'!A139,4)&amp;"26"</f>
        <v>May-26</v>
      </c>
      <c r="B139" s="12" t="str">
        <f>'2025 actual v budget'!B139</f>
        <v>Mexico</v>
      </c>
      <c r="C139" s="12" t="str">
        <f>'2025 actual v budget'!C139</f>
        <v>FX Conversion</v>
      </c>
      <c r="D139" s="14">
        <f>'2025 actual v budget'!D139</f>
        <v>16654839.17</v>
      </c>
      <c r="E139" s="92">
        <f>SUMIFS('Assumption-Base'!$C$3:$C$32,'Assumption-Base'!$A$3:$A$32,$B139,'Assumption-Base'!$B$3:$B$32,$C139)</f>
        <v>0.15</v>
      </c>
      <c r="F139" s="14">
        <f t="shared" si="14"/>
        <v>19153065.045499999</v>
      </c>
      <c r="G139" s="93">
        <f>SUMIFS('Assumption-Base'!$D$3:$D$32,'Assumption-Base'!$A$3:$A$32,$B139,'Assumption-Base'!$B$3:$B$32,$C139)</f>
        <v>1.0500000000000001E-2</v>
      </c>
      <c r="H139" s="94">
        <f t="shared" si="15"/>
        <v>201107.18297775</v>
      </c>
      <c r="I139" s="92">
        <f>SUMIFS('Assumption-Base'!$E$3:$E$32,'Assumption-Base'!$A$3:$A$32,$B139,'Assumption-Base'!$B$3:$B$32,$C139)</f>
        <v>0.28000000000000003</v>
      </c>
      <c r="J139" s="14">
        <f t="shared" si="16"/>
        <v>56310.011233770005</v>
      </c>
      <c r="K139" s="95">
        <f>SUMIFS('Assumption-Base'!$F$3:$F$32,'Assumption-Base'!$A$3:$A$32,$B139,'Assumption-Base'!$B$3:$B$32,$C139)</f>
        <v>8.0000000000000007E-5</v>
      </c>
      <c r="L139" s="14">
        <f t="shared" si="17"/>
        <v>1532.24520364</v>
      </c>
      <c r="M139" s="94">
        <f t="shared" si="18"/>
        <v>143264.92654034001</v>
      </c>
      <c r="N139" s="92">
        <f>SUMIFS('Assumption-Base'!$G$3:$G$32,'Assumption-Base'!$A$3:$A$32,$B139,'Assumption-Base'!$B$3:$B$32,$C139)</f>
        <v>0.4</v>
      </c>
      <c r="O139" s="14">
        <f t="shared" si="19"/>
        <v>80442.873191100007</v>
      </c>
      <c r="P139" s="94">
        <f t="shared" si="20"/>
        <v>62822.053349239999</v>
      </c>
    </row>
    <row r="140" spans="1:16" x14ac:dyDescent="0.35">
      <c r="A140" s="91" t="str">
        <f>LEFT('2025 actual v budget'!A140,4)&amp;"26"</f>
        <v>May-26</v>
      </c>
      <c r="B140" s="12" t="str">
        <f>'2025 actual v budget'!B140</f>
        <v>Mexico</v>
      </c>
      <c r="C140" s="12" t="str">
        <f>'2025 actual v budget'!C140</f>
        <v>Stablecoin Settlement</v>
      </c>
      <c r="D140" s="14">
        <f>'2025 actual v budget'!D140</f>
        <v>25885060.48</v>
      </c>
      <c r="E140" s="92">
        <f>SUMIFS('Assumption-Base'!$C$3:$C$32,'Assumption-Base'!$A$3:$A$32,$B140,'Assumption-Base'!$B$3:$B$32,$C140)</f>
        <v>0.3</v>
      </c>
      <c r="F140" s="14">
        <f t="shared" si="14"/>
        <v>33650578.624000005</v>
      </c>
      <c r="G140" s="93">
        <f>SUMIFS('Assumption-Base'!$D$3:$D$32,'Assumption-Base'!$A$3:$A$32,$B140,'Assumption-Base'!$B$3:$B$32,$C140)</f>
        <v>6.4999999999999997E-3</v>
      </c>
      <c r="H140" s="94">
        <f t="shared" si="15"/>
        <v>218728.76105600002</v>
      </c>
      <c r="I140" s="92">
        <f>SUMIFS('Assumption-Base'!$E$3:$E$32,'Assumption-Base'!$A$3:$A$32,$B140,'Assumption-Base'!$B$3:$B$32,$C140)</f>
        <v>0.32</v>
      </c>
      <c r="J140" s="14">
        <f t="shared" si="16"/>
        <v>69993.20353792001</v>
      </c>
      <c r="K140" s="95">
        <f>SUMIFS('Assumption-Base'!$F$3:$F$32,'Assumption-Base'!$A$3:$A$32,$B140,'Assumption-Base'!$B$3:$B$32,$C140)</f>
        <v>8.0000000000000007E-5</v>
      </c>
      <c r="L140" s="14">
        <f t="shared" si="17"/>
        <v>2692.0462899200006</v>
      </c>
      <c r="M140" s="94">
        <f t="shared" si="18"/>
        <v>146043.51122816</v>
      </c>
      <c r="N140" s="92">
        <f>SUMIFS('Assumption-Base'!$G$3:$G$32,'Assumption-Base'!$A$3:$A$32,$B140,'Assumption-Base'!$B$3:$B$32,$C140)</f>
        <v>0.4</v>
      </c>
      <c r="O140" s="14">
        <f t="shared" si="19"/>
        <v>87491.504422400016</v>
      </c>
      <c r="P140" s="94">
        <f t="shared" si="20"/>
        <v>58552.006805759986</v>
      </c>
    </row>
    <row r="141" spans="1:16" x14ac:dyDescent="0.35">
      <c r="A141" s="91" t="str">
        <f>LEFT('2025 actual v budget'!A141,4)&amp;"26"</f>
        <v>May-26</v>
      </c>
      <c r="B141" s="12" t="str">
        <f>'2025 actual v budget'!B141</f>
        <v>Mexico</v>
      </c>
      <c r="C141" s="12" t="str">
        <f>'2025 actual v budget'!C141</f>
        <v>Treasury Yield</v>
      </c>
      <c r="D141" s="14">
        <f>'2025 actual v budget'!D141</f>
        <v>6969291.75</v>
      </c>
      <c r="E141" s="92">
        <f>SUMIFS('Assumption-Base'!$C$3:$C$32,'Assumption-Base'!$A$3:$A$32,$B141,'Assumption-Base'!$B$3:$B$32,$C141)</f>
        <v>0.15</v>
      </c>
      <c r="F141" s="14">
        <f t="shared" si="14"/>
        <v>8014685.5124999993</v>
      </c>
      <c r="G141" s="93">
        <f>SUMIFS('Assumption-Base'!$D$3:$D$32,'Assumption-Base'!$A$3:$A$32,$B141,'Assumption-Base'!$B$3:$B$32,$C141)</f>
        <v>3.0000000000000001E-3</v>
      </c>
      <c r="H141" s="94">
        <f t="shared" si="15"/>
        <v>24044.056537499997</v>
      </c>
      <c r="I141" s="92">
        <f>SUMIFS('Assumption-Base'!$E$3:$E$32,'Assumption-Base'!$A$3:$A$32,$B141,'Assumption-Base'!$B$3:$B$32,$C141)</f>
        <v>0.18</v>
      </c>
      <c r="J141" s="14">
        <f t="shared" si="16"/>
        <v>4327.9301767499992</v>
      </c>
      <c r="K141" s="95">
        <f>SUMIFS('Assumption-Base'!$F$3:$F$32,'Assumption-Base'!$A$3:$A$32,$B141,'Assumption-Base'!$B$3:$B$32,$C141)</f>
        <v>8.0000000000000007E-5</v>
      </c>
      <c r="L141" s="14">
        <f t="shared" si="17"/>
        <v>641.17484100000001</v>
      </c>
      <c r="M141" s="94">
        <f t="shared" si="18"/>
        <v>19074.951519749997</v>
      </c>
      <c r="N141" s="92">
        <f>SUMIFS('Assumption-Base'!$G$3:$G$32,'Assumption-Base'!$A$3:$A$32,$B141,'Assumption-Base'!$B$3:$B$32,$C141)</f>
        <v>0.4</v>
      </c>
      <c r="O141" s="14">
        <f t="shared" si="19"/>
        <v>9617.6226149999984</v>
      </c>
      <c r="P141" s="94">
        <f t="shared" si="20"/>
        <v>9457.3289047499984</v>
      </c>
    </row>
    <row r="142" spans="1:16" x14ac:dyDescent="0.35">
      <c r="A142" s="91" t="str">
        <f>LEFT('2025 actual v budget'!A142,4)&amp;"26"</f>
        <v>May-26</v>
      </c>
      <c r="B142" s="12" t="str">
        <f>'2025 actual v budget'!B142</f>
        <v>Mexico</v>
      </c>
      <c r="C142" s="12" t="str">
        <f>'2025 actual v budget'!C142</f>
        <v>Virtual Accounts</v>
      </c>
      <c r="D142" s="14">
        <f>'2025 actual v budget'!D142</f>
        <v>10807135.49</v>
      </c>
      <c r="E142" s="92">
        <f>SUMIFS('Assumption-Base'!$C$3:$C$32,'Assumption-Base'!$A$3:$A$32,$B142,'Assumption-Base'!$B$3:$B$32,$C142)</f>
        <v>0.15</v>
      </c>
      <c r="F142" s="14">
        <f t="shared" si="14"/>
        <v>12428205.8135</v>
      </c>
      <c r="G142" s="93">
        <f>SUMIFS('Assumption-Base'!$D$3:$D$32,'Assumption-Base'!$A$3:$A$32,$B142,'Assumption-Base'!$B$3:$B$32,$C142)</f>
        <v>4.4999999999999997E-3</v>
      </c>
      <c r="H142" s="94">
        <f t="shared" si="15"/>
        <v>55926.926160749994</v>
      </c>
      <c r="I142" s="92">
        <f>SUMIFS('Assumption-Base'!$E$3:$E$32,'Assumption-Base'!$A$3:$A$32,$B142,'Assumption-Base'!$B$3:$B$32,$C142)</f>
        <v>0.22</v>
      </c>
      <c r="J142" s="14">
        <f t="shared" si="16"/>
        <v>12303.923755364998</v>
      </c>
      <c r="K142" s="95">
        <f>SUMIFS('Assumption-Base'!$F$3:$F$32,'Assumption-Base'!$A$3:$A$32,$B142,'Assumption-Base'!$B$3:$B$32,$C142)</f>
        <v>8.0000000000000007E-5</v>
      </c>
      <c r="L142" s="14">
        <f t="shared" si="17"/>
        <v>994.25646508000011</v>
      </c>
      <c r="M142" s="94">
        <f t="shared" si="18"/>
        <v>42628.745940304994</v>
      </c>
      <c r="N142" s="92">
        <f>SUMIFS('Assumption-Base'!$G$3:$G$32,'Assumption-Base'!$A$3:$A$32,$B142,'Assumption-Base'!$B$3:$B$32,$C142)</f>
        <v>0.4</v>
      </c>
      <c r="O142" s="14">
        <f t="shared" si="19"/>
        <v>22370.7704643</v>
      </c>
      <c r="P142" s="94">
        <f t="shared" si="20"/>
        <v>20257.975476004995</v>
      </c>
    </row>
    <row r="143" spans="1:16" x14ac:dyDescent="0.35">
      <c r="A143" s="91" t="str">
        <f>LEFT('2025 actual v budget'!A143,4)&amp;"26"</f>
        <v>May-26</v>
      </c>
      <c r="B143" s="12" t="str">
        <f>'2025 actual v budget'!B143</f>
        <v>Singapore</v>
      </c>
      <c r="C143" s="12" t="str">
        <f>'2025 actual v budget'!C143</f>
        <v>Cross-border Payouts</v>
      </c>
      <c r="D143" s="14">
        <f>'2025 actual v budget'!D143</f>
        <v>8757990.6799999997</v>
      </c>
      <c r="E143" s="92">
        <f>SUMIFS('Assumption-Base'!$C$3:$C$32,'Assumption-Base'!$A$3:$A$32,$B143,'Assumption-Base'!$B$3:$B$32,$C143)</f>
        <v>0.05</v>
      </c>
      <c r="F143" s="14">
        <f t="shared" si="14"/>
        <v>9195890.2139999997</v>
      </c>
      <c r="G143" s="93">
        <f>SUMIFS('Assumption-Base'!$D$3:$D$32,'Assumption-Base'!$A$3:$A$32,$B143,'Assumption-Base'!$B$3:$B$32,$C143)</f>
        <v>7.4999999999999997E-3</v>
      </c>
      <c r="H143" s="94">
        <f t="shared" si="15"/>
        <v>68969.176605000001</v>
      </c>
      <c r="I143" s="92">
        <f>SUMIFS('Assumption-Base'!$E$3:$E$32,'Assumption-Base'!$A$3:$A$32,$B143,'Assumption-Base'!$B$3:$B$32,$C143)</f>
        <v>0.35</v>
      </c>
      <c r="J143" s="14">
        <f t="shared" si="16"/>
        <v>24139.211811749999</v>
      </c>
      <c r="K143" s="95">
        <f>SUMIFS('Assumption-Base'!$F$3:$F$32,'Assumption-Base'!$A$3:$A$32,$B143,'Assumption-Base'!$B$3:$B$32,$C143)</f>
        <v>9.0000000000000006E-5</v>
      </c>
      <c r="L143" s="14">
        <f t="shared" si="17"/>
        <v>827.63011926000001</v>
      </c>
      <c r="M143" s="94">
        <f t="shared" si="18"/>
        <v>44002.334673990001</v>
      </c>
      <c r="N143" s="92">
        <f>SUMIFS('Assumption-Base'!$G$3:$G$32,'Assumption-Base'!$A$3:$A$32,$B143,'Assumption-Base'!$B$3:$B$32,$C143)</f>
        <v>0.4</v>
      </c>
      <c r="O143" s="14">
        <f t="shared" si="19"/>
        <v>27587.670642000001</v>
      </c>
      <c r="P143" s="94">
        <f t="shared" si="20"/>
        <v>16414.66403199</v>
      </c>
    </row>
    <row r="144" spans="1:16" x14ac:dyDescent="0.35">
      <c r="A144" s="91" t="str">
        <f>LEFT('2025 actual v budget'!A144,4)&amp;"26"</f>
        <v>May-26</v>
      </c>
      <c r="B144" s="12" t="str">
        <f>'2025 actual v budget'!B144</f>
        <v>Singapore</v>
      </c>
      <c r="C144" s="12" t="str">
        <f>'2025 actual v budget'!C144</f>
        <v>FX Conversion</v>
      </c>
      <c r="D144" s="14">
        <f>'2025 actual v budget'!D144</f>
        <v>13733390.09</v>
      </c>
      <c r="E144" s="92">
        <f>SUMIFS('Assumption-Base'!$C$3:$C$32,'Assumption-Base'!$A$3:$A$32,$B144,'Assumption-Base'!$B$3:$B$32,$C144)</f>
        <v>0.05</v>
      </c>
      <c r="F144" s="14">
        <f t="shared" si="14"/>
        <v>14420059.5945</v>
      </c>
      <c r="G144" s="93">
        <f>SUMIFS('Assumption-Base'!$D$3:$D$32,'Assumption-Base'!$A$3:$A$32,$B144,'Assumption-Base'!$B$3:$B$32,$C144)</f>
        <v>1.0500000000000001E-2</v>
      </c>
      <c r="H144" s="94">
        <f t="shared" si="15"/>
        <v>151410.62574225001</v>
      </c>
      <c r="I144" s="92">
        <f>SUMIFS('Assumption-Base'!$E$3:$E$32,'Assumption-Base'!$A$3:$A$32,$B144,'Assumption-Base'!$B$3:$B$32,$C144)</f>
        <v>0.28000000000000003</v>
      </c>
      <c r="J144" s="14">
        <f t="shared" si="16"/>
        <v>42394.975207830008</v>
      </c>
      <c r="K144" s="95">
        <f>SUMIFS('Assumption-Base'!$F$3:$F$32,'Assumption-Base'!$A$3:$A$32,$B144,'Assumption-Base'!$B$3:$B$32,$C144)</f>
        <v>9.0000000000000006E-5</v>
      </c>
      <c r="L144" s="14">
        <f t="shared" si="17"/>
        <v>1297.8053635050001</v>
      </c>
      <c r="M144" s="94">
        <f t="shared" si="18"/>
        <v>107717.845170915</v>
      </c>
      <c r="N144" s="92">
        <f>SUMIFS('Assumption-Base'!$G$3:$G$32,'Assumption-Base'!$A$3:$A$32,$B144,'Assumption-Base'!$B$3:$B$32,$C144)</f>
        <v>0.4</v>
      </c>
      <c r="O144" s="14">
        <f t="shared" si="19"/>
        <v>60564.250296900005</v>
      </c>
      <c r="P144" s="94">
        <f t="shared" si="20"/>
        <v>47153.594874014991</v>
      </c>
    </row>
    <row r="145" spans="1:16" x14ac:dyDescent="0.35">
      <c r="A145" s="91" t="str">
        <f>LEFT('2025 actual v budget'!A145,4)&amp;"26"</f>
        <v>May-26</v>
      </c>
      <c r="B145" s="12" t="str">
        <f>'2025 actual v budget'!B145</f>
        <v>Singapore</v>
      </c>
      <c r="C145" s="12" t="str">
        <f>'2025 actual v budget'!C145</f>
        <v>Stablecoin Settlement</v>
      </c>
      <c r="D145" s="14">
        <f>'2025 actual v budget'!D145</f>
        <v>21350225.18</v>
      </c>
      <c r="E145" s="92">
        <f>SUMIFS('Assumption-Base'!$C$3:$C$32,'Assumption-Base'!$A$3:$A$32,$B145,'Assumption-Base'!$B$3:$B$32,$C145)</f>
        <v>0.1</v>
      </c>
      <c r="F145" s="14">
        <f t="shared" si="14"/>
        <v>23485247.698000003</v>
      </c>
      <c r="G145" s="93">
        <f>SUMIFS('Assumption-Base'!$D$3:$D$32,'Assumption-Base'!$A$3:$A$32,$B145,'Assumption-Base'!$B$3:$B$32,$C145)</f>
        <v>6.4999999999999997E-3</v>
      </c>
      <c r="H145" s="94">
        <f t="shared" si="15"/>
        <v>152654.11003700001</v>
      </c>
      <c r="I145" s="92">
        <f>SUMIFS('Assumption-Base'!$E$3:$E$32,'Assumption-Base'!$A$3:$A$32,$B145,'Assumption-Base'!$B$3:$B$32,$C145)</f>
        <v>0.32</v>
      </c>
      <c r="J145" s="14">
        <f t="shared" si="16"/>
        <v>48849.315211840003</v>
      </c>
      <c r="K145" s="95">
        <f>SUMIFS('Assumption-Base'!$F$3:$F$32,'Assumption-Base'!$A$3:$A$32,$B145,'Assumption-Base'!$B$3:$B$32,$C145)</f>
        <v>9.0000000000000006E-5</v>
      </c>
      <c r="L145" s="14">
        <f t="shared" si="17"/>
        <v>2113.6722928200002</v>
      </c>
      <c r="M145" s="94">
        <f t="shared" si="18"/>
        <v>101691.12253234</v>
      </c>
      <c r="N145" s="92">
        <f>SUMIFS('Assumption-Base'!$G$3:$G$32,'Assumption-Base'!$A$3:$A$32,$B145,'Assumption-Base'!$B$3:$B$32,$C145)</f>
        <v>0.4</v>
      </c>
      <c r="O145" s="14">
        <f t="shared" si="19"/>
        <v>61061.644014800004</v>
      </c>
      <c r="P145" s="94">
        <f t="shared" si="20"/>
        <v>40629.478517539996</v>
      </c>
    </row>
    <row r="146" spans="1:16" x14ac:dyDescent="0.35">
      <c r="A146" s="91" t="str">
        <f>LEFT('2025 actual v budget'!A146,4)&amp;"26"</f>
        <v>May-26</v>
      </c>
      <c r="B146" s="12" t="str">
        <f>'2025 actual v budget'!B146</f>
        <v>Singapore</v>
      </c>
      <c r="C146" s="12" t="str">
        <f>'2025 actual v budget'!C146</f>
        <v>Treasury Yield</v>
      </c>
      <c r="D146" s="14">
        <f>'2025 actual v budget'!D146</f>
        <v>5746798.3499999996</v>
      </c>
      <c r="E146" s="92">
        <f>SUMIFS('Assumption-Base'!$C$3:$C$32,'Assumption-Base'!$A$3:$A$32,$B146,'Assumption-Base'!$B$3:$B$32,$C146)</f>
        <v>0.05</v>
      </c>
      <c r="F146" s="14">
        <f t="shared" si="14"/>
        <v>6034138.2675000001</v>
      </c>
      <c r="G146" s="93">
        <f>SUMIFS('Assumption-Base'!$D$3:$D$32,'Assumption-Base'!$A$3:$A$32,$B146,'Assumption-Base'!$B$3:$B$32,$C146)</f>
        <v>3.0000000000000001E-3</v>
      </c>
      <c r="H146" s="94">
        <f t="shared" si="15"/>
        <v>18102.414802499999</v>
      </c>
      <c r="I146" s="92">
        <f>SUMIFS('Assumption-Base'!$E$3:$E$32,'Assumption-Base'!$A$3:$A$32,$B146,'Assumption-Base'!$B$3:$B$32,$C146)</f>
        <v>0.18</v>
      </c>
      <c r="J146" s="14">
        <f t="shared" si="16"/>
        <v>3258.4346644499997</v>
      </c>
      <c r="K146" s="95">
        <f>SUMIFS('Assumption-Base'!$F$3:$F$32,'Assumption-Base'!$A$3:$A$32,$B146,'Assumption-Base'!$B$3:$B$32,$C146)</f>
        <v>9.0000000000000006E-5</v>
      </c>
      <c r="L146" s="14">
        <f t="shared" si="17"/>
        <v>543.07244407500002</v>
      </c>
      <c r="M146" s="94">
        <f t="shared" si="18"/>
        <v>14300.907693974999</v>
      </c>
      <c r="N146" s="92">
        <f>SUMIFS('Assumption-Base'!$G$3:$G$32,'Assumption-Base'!$A$3:$A$32,$B146,'Assumption-Base'!$B$3:$B$32,$C146)</f>
        <v>0.4</v>
      </c>
      <c r="O146" s="14">
        <f t="shared" si="19"/>
        <v>7240.965921</v>
      </c>
      <c r="P146" s="94">
        <f t="shared" si="20"/>
        <v>7059.9417729749994</v>
      </c>
    </row>
    <row r="147" spans="1:16" x14ac:dyDescent="0.35">
      <c r="A147" s="91" t="str">
        <f>LEFT('2025 actual v budget'!A147,4)&amp;"26"</f>
        <v>May-26</v>
      </c>
      <c r="B147" s="12" t="str">
        <f>'2025 actual v budget'!B147</f>
        <v>Singapore</v>
      </c>
      <c r="C147" s="12" t="str">
        <f>'2025 actual v budget'!C147</f>
        <v>Virtual Accounts</v>
      </c>
      <c r="D147" s="14">
        <f>'2025 actual v budget'!D147</f>
        <v>8911440.4499999993</v>
      </c>
      <c r="E147" s="92">
        <f>SUMIFS('Assumption-Base'!$C$3:$C$32,'Assumption-Base'!$A$3:$A$32,$B147,'Assumption-Base'!$B$3:$B$32,$C147)</f>
        <v>0.05</v>
      </c>
      <c r="F147" s="14">
        <f t="shared" si="14"/>
        <v>9357012.4725000001</v>
      </c>
      <c r="G147" s="93">
        <f>SUMIFS('Assumption-Base'!$D$3:$D$32,'Assumption-Base'!$A$3:$A$32,$B147,'Assumption-Base'!$B$3:$B$32,$C147)</f>
        <v>4.4999999999999997E-3</v>
      </c>
      <c r="H147" s="94">
        <f t="shared" si="15"/>
        <v>42106.556126249998</v>
      </c>
      <c r="I147" s="92">
        <f>SUMIFS('Assumption-Base'!$E$3:$E$32,'Assumption-Base'!$A$3:$A$32,$B147,'Assumption-Base'!$B$3:$B$32,$C147)</f>
        <v>0.22</v>
      </c>
      <c r="J147" s="14">
        <f t="shared" si="16"/>
        <v>9263.4423477749988</v>
      </c>
      <c r="K147" s="95">
        <f>SUMIFS('Assumption-Base'!$F$3:$F$32,'Assumption-Base'!$A$3:$A$32,$B147,'Assumption-Base'!$B$3:$B$32,$C147)</f>
        <v>9.0000000000000006E-5</v>
      </c>
      <c r="L147" s="14">
        <f t="shared" si="17"/>
        <v>842.13112252500002</v>
      </c>
      <c r="M147" s="94">
        <f t="shared" si="18"/>
        <v>32000.982655950003</v>
      </c>
      <c r="N147" s="92">
        <f>SUMIFS('Assumption-Base'!$G$3:$G$32,'Assumption-Base'!$A$3:$A$32,$B147,'Assumption-Base'!$B$3:$B$32,$C147)</f>
        <v>0.4</v>
      </c>
      <c r="O147" s="14">
        <f t="shared" si="19"/>
        <v>16842.622450499999</v>
      </c>
      <c r="P147" s="94">
        <f t="shared" si="20"/>
        <v>15158.360205450004</v>
      </c>
    </row>
    <row r="148" spans="1:16" x14ac:dyDescent="0.35">
      <c r="A148" s="91" t="str">
        <f>LEFT('2025 actual v budget'!A148,4)&amp;"26"</f>
        <v>May-26</v>
      </c>
      <c r="B148" s="12" t="str">
        <f>'2025 actual v budget'!B148</f>
        <v>USA</v>
      </c>
      <c r="C148" s="12" t="str">
        <f>'2025 actual v budget'!C148</f>
        <v>Cross-border Payouts</v>
      </c>
      <c r="D148" s="14">
        <f>'2025 actual v budget'!D148</f>
        <v>21482847.48</v>
      </c>
      <c r="E148" s="92">
        <f>SUMIFS('Assumption-Base'!$C$3:$C$32,'Assumption-Base'!$A$3:$A$32,$B148,'Assumption-Base'!$B$3:$B$32,$C148)</f>
        <v>0.1</v>
      </c>
      <c r="F148" s="14">
        <f t="shared" si="14"/>
        <v>23631132.228000004</v>
      </c>
      <c r="G148" s="93">
        <f>SUMIFS('Assumption-Base'!$D$3:$D$32,'Assumption-Base'!$A$3:$A$32,$B148,'Assumption-Base'!$B$3:$B$32,$C148)</f>
        <v>7.4999999999999997E-3</v>
      </c>
      <c r="H148" s="94">
        <f t="shared" si="15"/>
        <v>177233.49171000003</v>
      </c>
      <c r="I148" s="92">
        <f>SUMIFS('Assumption-Base'!$E$3:$E$32,'Assumption-Base'!$A$3:$A$32,$B148,'Assumption-Base'!$B$3:$B$32,$C148)</f>
        <v>0.35</v>
      </c>
      <c r="J148" s="14">
        <f t="shared" si="16"/>
        <v>62031.722098500009</v>
      </c>
      <c r="K148" s="95">
        <f>SUMIFS('Assumption-Base'!$F$3:$F$32,'Assumption-Base'!$A$3:$A$32,$B148,'Assumption-Base'!$B$3:$B$32,$C148)</f>
        <v>2.0000000000000001E-4</v>
      </c>
      <c r="L148" s="14">
        <f t="shared" si="17"/>
        <v>4726.2264456000012</v>
      </c>
      <c r="M148" s="94">
        <f t="shared" si="18"/>
        <v>110475.54316590003</v>
      </c>
      <c r="N148" s="92">
        <f>SUMIFS('Assumption-Base'!$G$3:$G$32,'Assumption-Base'!$A$3:$A$32,$B148,'Assumption-Base'!$B$3:$B$32,$C148)</f>
        <v>0.4</v>
      </c>
      <c r="O148" s="14">
        <f t="shared" si="19"/>
        <v>70893.396684000021</v>
      </c>
      <c r="P148" s="94">
        <f t="shared" si="20"/>
        <v>39582.14648190001</v>
      </c>
    </row>
    <row r="149" spans="1:16" x14ac:dyDescent="0.35">
      <c r="A149" s="91" t="str">
        <f>LEFT('2025 actual v budget'!A149,4)&amp;"26"</f>
        <v>May-26</v>
      </c>
      <c r="B149" s="12" t="str">
        <f>'2025 actual v budget'!B149</f>
        <v>USA</v>
      </c>
      <c r="C149" s="12" t="str">
        <f>'2025 actual v budget'!C149</f>
        <v>FX Conversion</v>
      </c>
      <c r="D149" s="14">
        <f>'2025 actual v budget'!D149</f>
        <v>33684160.689999998</v>
      </c>
      <c r="E149" s="92">
        <f>SUMIFS('Assumption-Base'!$C$3:$C$32,'Assumption-Base'!$A$3:$A$32,$B149,'Assumption-Base'!$B$3:$B$32,$C149)</f>
        <v>0.1</v>
      </c>
      <c r="F149" s="14">
        <f t="shared" si="14"/>
        <v>37052576.759000003</v>
      </c>
      <c r="G149" s="93">
        <f>SUMIFS('Assumption-Base'!$D$3:$D$32,'Assumption-Base'!$A$3:$A$32,$B149,'Assumption-Base'!$B$3:$B$32,$C149)</f>
        <v>1.0500000000000001E-2</v>
      </c>
      <c r="H149" s="94">
        <f t="shared" si="15"/>
        <v>389052.05596950004</v>
      </c>
      <c r="I149" s="92">
        <f>SUMIFS('Assumption-Base'!$E$3:$E$32,'Assumption-Base'!$A$3:$A$32,$B149,'Assumption-Base'!$B$3:$B$32,$C149)</f>
        <v>0.28000000000000003</v>
      </c>
      <c r="J149" s="14">
        <f t="shared" si="16"/>
        <v>108934.57567146003</v>
      </c>
      <c r="K149" s="95">
        <f>SUMIFS('Assumption-Base'!$F$3:$F$32,'Assumption-Base'!$A$3:$A$32,$B149,'Assumption-Base'!$B$3:$B$32,$C149)</f>
        <v>2.0000000000000001E-4</v>
      </c>
      <c r="L149" s="14">
        <f t="shared" si="17"/>
        <v>7410.5153518000006</v>
      </c>
      <c r="M149" s="94">
        <f t="shared" si="18"/>
        <v>272706.96494624001</v>
      </c>
      <c r="N149" s="92">
        <f>SUMIFS('Assumption-Base'!$G$3:$G$32,'Assumption-Base'!$A$3:$A$32,$B149,'Assumption-Base'!$B$3:$B$32,$C149)</f>
        <v>0.4</v>
      </c>
      <c r="O149" s="14">
        <f t="shared" si="19"/>
        <v>155620.82238780003</v>
      </c>
      <c r="P149" s="94">
        <f t="shared" si="20"/>
        <v>117086.14255843998</v>
      </c>
    </row>
    <row r="150" spans="1:16" x14ac:dyDescent="0.35">
      <c r="A150" s="91" t="str">
        <f>LEFT('2025 actual v budget'!A150,4)&amp;"26"</f>
        <v>May-26</v>
      </c>
      <c r="B150" s="12" t="str">
        <f>'2025 actual v budget'!B150</f>
        <v>USA</v>
      </c>
      <c r="C150" s="12" t="str">
        <f>'2025 actual v budget'!C150</f>
        <v>Stablecoin Settlement</v>
      </c>
      <c r="D150" s="14">
        <f>'2025 actual v budget'!D150</f>
        <v>52370874.539999999</v>
      </c>
      <c r="E150" s="92">
        <f>SUMIFS('Assumption-Base'!$C$3:$C$32,'Assumption-Base'!$A$3:$A$32,$B150,'Assumption-Base'!$B$3:$B$32,$C150)</f>
        <v>0.2</v>
      </c>
      <c r="F150" s="14">
        <f t="shared" si="14"/>
        <v>62845049.447999999</v>
      </c>
      <c r="G150" s="93">
        <f>SUMIFS('Assumption-Base'!$D$3:$D$32,'Assumption-Base'!$A$3:$A$32,$B150,'Assumption-Base'!$B$3:$B$32,$C150)</f>
        <v>6.4999999999999997E-3</v>
      </c>
      <c r="H150" s="94">
        <f t="shared" si="15"/>
        <v>408492.82141199999</v>
      </c>
      <c r="I150" s="92">
        <f>SUMIFS('Assumption-Base'!$E$3:$E$32,'Assumption-Base'!$A$3:$A$32,$B150,'Assumption-Base'!$B$3:$B$32,$C150)</f>
        <v>0.32</v>
      </c>
      <c r="J150" s="14">
        <f t="shared" si="16"/>
        <v>130717.70285184</v>
      </c>
      <c r="K150" s="95">
        <f>SUMIFS('Assumption-Base'!$F$3:$F$32,'Assumption-Base'!$A$3:$A$32,$B150,'Assumption-Base'!$B$3:$B$32,$C150)</f>
        <v>2.0000000000000001E-4</v>
      </c>
      <c r="L150" s="14">
        <f t="shared" si="17"/>
        <v>12569.0098896</v>
      </c>
      <c r="M150" s="94">
        <f t="shared" si="18"/>
        <v>265206.10867056</v>
      </c>
      <c r="N150" s="92">
        <f>SUMIFS('Assumption-Base'!$G$3:$G$32,'Assumption-Base'!$A$3:$A$32,$B150,'Assumption-Base'!$B$3:$B$32,$C150)</f>
        <v>0.4</v>
      </c>
      <c r="O150" s="14">
        <f t="shared" si="19"/>
        <v>163397.12856480002</v>
      </c>
      <c r="P150" s="94">
        <f t="shared" si="20"/>
        <v>101808.98010575998</v>
      </c>
    </row>
    <row r="151" spans="1:16" x14ac:dyDescent="0.35">
      <c r="A151" s="91" t="str">
        <f>LEFT('2025 actual v budget'!A151,4)&amp;"26"</f>
        <v>May-26</v>
      </c>
      <c r="B151" s="12" t="str">
        <f>'2025 actual v budget'!B151</f>
        <v>USA</v>
      </c>
      <c r="C151" s="12" t="str">
        <f>'2025 actual v budget'!C151</f>
        <v>Treasury Yield</v>
      </c>
      <c r="D151" s="14">
        <f>'2025 actual v budget'!D151</f>
        <v>14095287.300000001</v>
      </c>
      <c r="E151" s="92">
        <f>SUMIFS('Assumption-Base'!$C$3:$C$32,'Assumption-Base'!$A$3:$A$32,$B151,'Assumption-Base'!$B$3:$B$32,$C151)</f>
        <v>0.1</v>
      </c>
      <c r="F151" s="14">
        <f t="shared" si="14"/>
        <v>15504816.030000001</v>
      </c>
      <c r="G151" s="93">
        <f>SUMIFS('Assumption-Base'!$D$3:$D$32,'Assumption-Base'!$A$3:$A$32,$B151,'Assumption-Base'!$B$3:$B$32,$C151)</f>
        <v>3.0000000000000001E-3</v>
      </c>
      <c r="H151" s="94">
        <f t="shared" si="15"/>
        <v>46514.448090000005</v>
      </c>
      <c r="I151" s="92">
        <f>SUMIFS('Assumption-Base'!$E$3:$E$32,'Assumption-Base'!$A$3:$A$32,$B151,'Assumption-Base'!$B$3:$B$32,$C151)</f>
        <v>0.18</v>
      </c>
      <c r="J151" s="14">
        <f t="shared" si="16"/>
        <v>8372.6006562000002</v>
      </c>
      <c r="K151" s="95">
        <f>SUMIFS('Assumption-Base'!$F$3:$F$32,'Assumption-Base'!$A$3:$A$32,$B151,'Assumption-Base'!$B$3:$B$32,$C151)</f>
        <v>2.0000000000000001E-4</v>
      </c>
      <c r="L151" s="14">
        <f t="shared" si="17"/>
        <v>3100.9632060000004</v>
      </c>
      <c r="M151" s="94">
        <f t="shared" si="18"/>
        <v>35040.884227800008</v>
      </c>
      <c r="N151" s="92">
        <f>SUMIFS('Assumption-Base'!$G$3:$G$32,'Assumption-Base'!$A$3:$A$32,$B151,'Assumption-Base'!$B$3:$B$32,$C151)</f>
        <v>0.4</v>
      </c>
      <c r="O151" s="14">
        <f t="shared" si="19"/>
        <v>18605.779236000002</v>
      </c>
      <c r="P151" s="94">
        <f t="shared" si="20"/>
        <v>16435.104991800006</v>
      </c>
    </row>
    <row r="152" spans="1:16" x14ac:dyDescent="0.35">
      <c r="A152" s="91" t="str">
        <f>LEFT('2025 actual v budget'!A152,4)&amp;"26"</f>
        <v>May-26</v>
      </c>
      <c r="B152" s="12" t="str">
        <f>'2025 actual v budget'!B152</f>
        <v>USA</v>
      </c>
      <c r="C152" s="12" t="str">
        <f>'2025 actual v budget'!C152</f>
        <v>Virtual Accounts</v>
      </c>
      <c r="D152" s="14">
        <f>'2025 actual v budget'!D152</f>
        <v>21857268.32</v>
      </c>
      <c r="E152" s="92">
        <f>SUMIFS('Assumption-Base'!$C$3:$C$32,'Assumption-Base'!$A$3:$A$32,$B152,'Assumption-Base'!$B$3:$B$32,$C152)</f>
        <v>0.1</v>
      </c>
      <c r="F152" s="14">
        <f t="shared" si="14"/>
        <v>24042995.152000003</v>
      </c>
      <c r="G152" s="93">
        <f>SUMIFS('Assumption-Base'!$D$3:$D$32,'Assumption-Base'!$A$3:$A$32,$B152,'Assumption-Base'!$B$3:$B$32,$C152)</f>
        <v>4.4999999999999997E-3</v>
      </c>
      <c r="H152" s="94">
        <f t="shared" si="15"/>
        <v>108193.47818400001</v>
      </c>
      <c r="I152" s="92">
        <f>SUMIFS('Assumption-Base'!$E$3:$E$32,'Assumption-Base'!$A$3:$A$32,$B152,'Assumption-Base'!$B$3:$B$32,$C152)</f>
        <v>0.22</v>
      </c>
      <c r="J152" s="14">
        <f t="shared" si="16"/>
        <v>23802.565200480003</v>
      </c>
      <c r="K152" s="95">
        <f>SUMIFS('Assumption-Base'!$F$3:$F$32,'Assumption-Base'!$A$3:$A$32,$B152,'Assumption-Base'!$B$3:$B$32,$C152)</f>
        <v>2.0000000000000001E-4</v>
      </c>
      <c r="L152" s="14">
        <f t="shared" si="17"/>
        <v>4808.5990304000006</v>
      </c>
      <c r="M152" s="94">
        <f t="shared" si="18"/>
        <v>79582.313953119999</v>
      </c>
      <c r="N152" s="92">
        <f>SUMIFS('Assumption-Base'!$G$3:$G$32,'Assumption-Base'!$A$3:$A$32,$B152,'Assumption-Base'!$B$3:$B$32,$C152)</f>
        <v>0.4</v>
      </c>
      <c r="O152" s="14">
        <f t="shared" si="19"/>
        <v>43277.391273600006</v>
      </c>
      <c r="P152" s="94">
        <f t="shared" si="20"/>
        <v>36304.922679519994</v>
      </c>
    </row>
    <row r="153" spans="1:16" x14ac:dyDescent="0.35">
      <c r="A153" s="96" t="str">
        <f>LEFT('2025 actual v budget'!A153,4)&amp;"26"</f>
        <v>Jun-26</v>
      </c>
      <c r="B153" s="17" t="str">
        <f>'2025 actual v budget'!B153</f>
        <v>Brazil</v>
      </c>
      <c r="C153" s="17" t="str">
        <f>'2025 actual v budget'!C153</f>
        <v>Cross-border Payouts</v>
      </c>
      <c r="D153" s="19">
        <f>'2025 actual v budget'!D153</f>
        <v>14347829.960000001</v>
      </c>
      <c r="E153" s="97">
        <f>SUMIFS('Assumption-Base'!$C$3:$C$32,'Assumption-Base'!$A$3:$A$32,$B153,'Assumption-Base'!$B$3:$B$32,$C153)</f>
        <v>0.2</v>
      </c>
      <c r="F153" s="19">
        <f t="shared" si="14"/>
        <v>17217395.952</v>
      </c>
      <c r="G153" s="98">
        <f>SUMIFS('Assumption-Base'!$D$3:$D$32,'Assumption-Base'!$A$3:$A$32,$B153,'Assumption-Base'!$B$3:$B$32,$C153)</f>
        <v>7.4999999999999997E-3</v>
      </c>
      <c r="H153" s="99">
        <f t="shared" si="15"/>
        <v>129130.46964</v>
      </c>
      <c r="I153" s="97">
        <f>SUMIFS('Assumption-Base'!$E$3:$E$32,'Assumption-Base'!$A$3:$A$32,$B153,'Assumption-Base'!$B$3:$B$32,$C153)</f>
        <v>0.35</v>
      </c>
      <c r="J153" s="19">
        <f t="shared" si="16"/>
        <v>45195.664373999993</v>
      </c>
      <c r="K153" s="100">
        <f>SUMIFS('Assumption-Base'!$F$3:$F$32,'Assumption-Base'!$A$3:$A$32,$B153,'Assumption-Base'!$B$3:$B$32,$C153)</f>
        <v>6.9999999999999994E-5</v>
      </c>
      <c r="L153" s="19">
        <f t="shared" si="17"/>
        <v>1205.2177166399999</v>
      </c>
      <c r="M153" s="99">
        <f t="shared" si="18"/>
        <v>82729.587549360003</v>
      </c>
      <c r="N153" s="97">
        <f>SUMIFS('Assumption-Base'!$G$3:$G$32,'Assumption-Base'!$A$3:$A$32,$B153,'Assumption-Base'!$B$3:$B$32,$C153)</f>
        <v>0.4</v>
      </c>
      <c r="O153" s="19">
        <f t="shared" si="19"/>
        <v>51652.187856000004</v>
      </c>
      <c r="P153" s="99">
        <f t="shared" si="20"/>
        <v>31077.399693359999</v>
      </c>
    </row>
    <row r="154" spans="1:16" x14ac:dyDescent="0.35">
      <c r="A154" s="96" t="str">
        <f>LEFT('2025 actual v budget'!A154,4)&amp;"26"</f>
        <v>Jun-26</v>
      </c>
      <c r="B154" s="17" t="str">
        <f>'2025 actual v budget'!B154</f>
        <v>Brazil</v>
      </c>
      <c r="C154" s="17" t="str">
        <f>'2025 actual v budget'!C154</f>
        <v>FX Conversion</v>
      </c>
      <c r="D154" s="19">
        <f>'2025 actual v budget'!D154</f>
        <v>22144512.949999999</v>
      </c>
      <c r="E154" s="97">
        <f>SUMIFS('Assumption-Base'!$C$3:$C$32,'Assumption-Base'!$A$3:$A$32,$B154,'Assumption-Base'!$B$3:$B$32,$C154)</f>
        <v>0.2</v>
      </c>
      <c r="F154" s="19">
        <f t="shared" si="14"/>
        <v>26573415.539999999</v>
      </c>
      <c r="G154" s="98">
        <f>SUMIFS('Assumption-Base'!$D$3:$D$32,'Assumption-Base'!$A$3:$A$32,$B154,'Assumption-Base'!$B$3:$B$32,$C154)</f>
        <v>1.0500000000000001E-2</v>
      </c>
      <c r="H154" s="99">
        <f t="shared" si="15"/>
        <v>279020.86317000003</v>
      </c>
      <c r="I154" s="97">
        <f>SUMIFS('Assumption-Base'!$E$3:$E$32,'Assumption-Base'!$A$3:$A$32,$B154,'Assumption-Base'!$B$3:$B$32,$C154)</f>
        <v>0.28000000000000003</v>
      </c>
      <c r="J154" s="19">
        <f t="shared" si="16"/>
        <v>78125.841687600012</v>
      </c>
      <c r="K154" s="100">
        <f>SUMIFS('Assumption-Base'!$F$3:$F$32,'Assumption-Base'!$A$3:$A$32,$B154,'Assumption-Base'!$B$3:$B$32,$C154)</f>
        <v>6.9999999999999994E-5</v>
      </c>
      <c r="L154" s="19">
        <f t="shared" si="17"/>
        <v>1860.1390877999997</v>
      </c>
      <c r="M154" s="99">
        <f t="shared" si="18"/>
        <v>199034.88239460002</v>
      </c>
      <c r="N154" s="97">
        <f>SUMIFS('Assumption-Base'!$G$3:$G$32,'Assumption-Base'!$A$3:$A$32,$B154,'Assumption-Base'!$B$3:$B$32,$C154)</f>
        <v>0.4</v>
      </c>
      <c r="O154" s="19">
        <f t="shared" si="19"/>
        <v>111608.34526800002</v>
      </c>
      <c r="P154" s="99">
        <f t="shared" si="20"/>
        <v>87426.5371266</v>
      </c>
    </row>
    <row r="155" spans="1:16" x14ac:dyDescent="0.35">
      <c r="A155" s="96" t="str">
        <f>LEFT('2025 actual v budget'!A155,4)&amp;"26"</f>
        <v>Jun-26</v>
      </c>
      <c r="B155" s="17" t="str">
        <f>'2025 actual v budget'!B155</f>
        <v>Brazil</v>
      </c>
      <c r="C155" s="17" t="str">
        <f>'2025 actual v budget'!C155</f>
        <v>Stablecoin Settlement</v>
      </c>
      <c r="D155" s="19">
        <f>'2025 actual v budget'!D155</f>
        <v>35052748.579999998</v>
      </c>
      <c r="E155" s="97">
        <f>SUMIFS('Assumption-Base'!$C$3:$C$32,'Assumption-Base'!$A$3:$A$32,$B155,'Assumption-Base'!$B$3:$B$32,$C155)</f>
        <v>0.4</v>
      </c>
      <c r="F155" s="19">
        <f t="shared" si="14"/>
        <v>49073848.011999995</v>
      </c>
      <c r="G155" s="98">
        <f>SUMIFS('Assumption-Base'!$D$3:$D$32,'Assumption-Base'!$A$3:$A$32,$B155,'Assumption-Base'!$B$3:$B$32,$C155)</f>
        <v>6.4999999999999997E-3</v>
      </c>
      <c r="H155" s="99">
        <f t="shared" si="15"/>
        <v>318980.01207799994</v>
      </c>
      <c r="I155" s="97">
        <f>SUMIFS('Assumption-Base'!$E$3:$E$32,'Assumption-Base'!$A$3:$A$32,$B155,'Assumption-Base'!$B$3:$B$32,$C155)</f>
        <v>0.32</v>
      </c>
      <c r="J155" s="19">
        <f t="shared" si="16"/>
        <v>102073.60386495998</v>
      </c>
      <c r="K155" s="100">
        <f>SUMIFS('Assumption-Base'!$F$3:$F$32,'Assumption-Base'!$A$3:$A$32,$B155,'Assumption-Base'!$B$3:$B$32,$C155)</f>
        <v>6.9999999999999994E-5</v>
      </c>
      <c r="L155" s="19">
        <f t="shared" si="17"/>
        <v>3435.1693608399992</v>
      </c>
      <c r="M155" s="99">
        <f t="shared" si="18"/>
        <v>213471.23885219998</v>
      </c>
      <c r="N155" s="97">
        <f>SUMIFS('Assumption-Base'!$G$3:$G$32,'Assumption-Base'!$A$3:$A$32,$B155,'Assumption-Base'!$B$3:$B$32,$C155)</f>
        <v>0.4</v>
      </c>
      <c r="O155" s="19">
        <f t="shared" si="19"/>
        <v>127592.00483119999</v>
      </c>
      <c r="P155" s="99">
        <f t="shared" si="20"/>
        <v>85879.234020999997</v>
      </c>
    </row>
    <row r="156" spans="1:16" x14ac:dyDescent="0.35">
      <c r="A156" s="96" t="str">
        <f>LEFT('2025 actual v budget'!A156,4)&amp;"26"</f>
        <v>Jun-26</v>
      </c>
      <c r="B156" s="17" t="str">
        <f>'2025 actual v budget'!B156</f>
        <v>Brazil</v>
      </c>
      <c r="C156" s="17" t="str">
        <f>'2025 actual v budget'!C156</f>
        <v>Treasury Yield</v>
      </c>
      <c r="D156" s="19">
        <f>'2025 actual v budget'!D156</f>
        <v>9395658.7799999993</v>
      </c>
      <c r="E156" s="97">
        <f>SUMIFS('Assumption-Base'!$C$3:$C$32,'Assumption-Base'!$A$3:$A$32,$B156,'Assumption-Base'!$B$3:$B$32,$C156)</f>
        <v>0.2</v>
      </c>
      <c r="F156" s="19">
        <f t="shared" si="14"/>
        <v>11274790.535999998</v>
      </c>
      <c r="G156" s="98">
        <f>SUMIFS('Assumption-Base'!$D$3:$D$32,'Assumption-Base'!$A$3:$A$32,$B156,'Assumption-Base'!$B$3:$B$32,$C156)</f>
        <v>3.0000000000000001E-3</v>
      </c>
      <c r="H156" s="99">
        <f t="shared" si="15"/>
        <v>33824.371607999994</v>
      </c>
      <c r="I156" s="97">
        <f>SUMIFS('Assumption-Base'!$E$3:$E$32,'Assumption-Base'!$A$3:$A$32,$B156,'Assumption-Base'!$B$3:$B$32,$C156)</f>
        <v>0.18</v>
      </c>
      <c r="J156" s="19">
        <f t="shared" si="16"/>
        <v>6088.3868894399984</v>
      </c>
      <c r="K156" s="100">
        <f>SUMIFS('Assumption-Base'!$F$3:$F$32,'Assumption-Base'!$A$3:$A$32,$B156,'Assumption-Base'!$B$3:$B$32,$C156)</f>
        <v>6.9999999999999994E-5</v>
      </c>
      <c r="L156" s="19">
        <f t="shared" si="17"/>
        <v>789.2353375199998</v>
      </c>
      <c r="M156" s="99">
        <f t="shared" si="18"/>
        <v>26946.749381039994</v>
      </c>
      <c r="N156" s="97">
        <f>SUMIFS('Assumption-Base'!$G$3:$G$32,'Assumption-Base'!$A$3:$A$32,$B156,'Assumption-Base'!$B$3:$B$32,$C156)</f>
        <v>0.4</v>
      </c>
      <c r="O156" s="19">
        <f t="shared" si="19"/>
        <v>13529.748643199999</v>
      </c>
      <c r="P156" s="99">
        <f t="shared" si="20"/>
        <v>13417.000737839995</v>
      </c>
    </row>
    <row r="157" spans="1:16" x14ac:dyDescent="0.35">
      <c r="A157" s="96" t="str">
        <f>LEFT('2025 actual v budget'!A157,4)&amp;"26"</f>
        <v>Jun-26</v>
      </c>
      <c r="B157" s="17" t="str">
        <f>'2025 actual v budget'!B157</f>
        <v>Brazil</v>
      </c>
      <c r="C157" s="17" t="str">
        <f>'2025 actual v budget'!C157</f>
        <v>Virtual Accounts</v>
      </c>
      <c r="D157" s="19">
        <f>'2025 actual v budget'!D157</f>
        <v>14286491.699999999</v>
      </c>
      <c r="E157" s="97">
        <f>SUMIFS('Assumption-Base'!$C$3:$C$32,'Assumption-Base'!$A$3:$A$32,$B157,'Assumption-Base'!$B$3:$B$32,$C157)</f>
        <v>0.2</v>
      </c>
      <c r="F157" s="19">
        <f t="shared" si="14"/>
        <v>17143790.039999999</v>
      </c>
      <c r="G157" s="98">
        <f>SUMIFS('Assumption-Base'!$D$3:$D$32,'Assumption-Base'!$A$3:$A$32,$B157,'Assumption-Base'!$B$3:$B$32,$C157)</f>
        <v>4.4999999999999997E-3</v>
      </c>
      <c r="H157" s="99">
        <f t="shared" si="15"/>
        <v>77147.055179999996</v>
      </c>
      <c r="I157" s="97">
        <f>SUMIFS('Assumption-Base'!$E$3:$E$32,'Assumption-Base'!$A$3:$A$32,$B157,'Assumption-Base'!$B$3:$B$32,$C157)</f>
        <v>0.22</v>
      </c>
      <c r="J157" s="19">
        <f t="shared" si="16"/>
        <v>16972.3521396</v>
      </c>
      <c r="K157" s="100">
        <f>SUMIFS('Assumption-Base'!$F$3:$F$32,'Assumption-Base'!$A$3:$A$32,$B157,'Assumption-Base'!$B$3:$B$32,$C157)</f>
        <v>6.9999999999999994E-5</v>
      </c>
      <c r="L157" s="19">
        <f t="shared" si="17"/>
        <v>1200.0653027999999</v>
      </c>
      <c r="M157" s="99">
        <f t="shared" si="18"/>
        <v>58974.637737599995</v>
      </c>
      <c r="N157" s="97">
        <f>SUMIFS('Assumption-Base'!$G$3:$G$32,'Assumption-Base'!$A$3:$A$32,$B157,'Assumption-Base'!$B$3:$B$32,$C157)</f>
        <v>0.4</v>
      </c>
      <c r="O157" s="19">
        <f t="shared" si="19"/>
        <v>30858.822071999999</v>
      </c>
      <c r="P157" s="99">
        <f t="shared" si="20"/>
        <v>28115.815665599996</v>
      </c>
    </row>
    <row r="158" spans="1:16" x14ac:dyDescent="0.35">
      <c r="A158" s="96" t="str">
        <f>LEFT('2025 actual v budget'!A158,4)&amp;"26"</f>
        <v>Jun-26</v>
      </c>
      <c r="B158" s="17" t="str">
        <f>'2025 actual v budget'!B158</f>
        <v>Germany</v>
      </c>
      <c r="C158" s="17" t="str">
        <f>'2025 actual v budget'!C158</f>
        <v>Cross-border Payouts</v>
      </c>
      <c r="D158" s="19">
        <f>'2025 actual v budget'!D158</f>
        <v>7084434.5300000003</v>
      </c>
      <c r="E158" s="97">
        <f>SUMIFS('Assumption-Base'!$C$3:$C$32,'Assumption-Base'!$A$3:$A$32,$B158,'Assumption-Base'!$B$3:$B$32,$C158)</f>
        <v>0.06</v>
      </c>
      <c r="F158" s="19">
        <f t="shared" si="14"/>
        <v>7509500.6018000003</v>
      </c>
      <c r="G158" s="98">
        <f>SUMIFS('Assumption-Base'!$D$3:$D$32,'Assumption-Base'!$A$3:$A$32,$B158,'Assumption-Base'!$B$3:$B$32,$C158)</f>
        <v>7.4999999999999997E-3</v>
      </c>
      <c r="H158" s="99">
        <f t="shared" si="15"/>
        <v>56321.254513500004</v>
      </c>
      <c r="I158" s="97">
        <f>SUMIFS('Assumption-Base'!$E$3:$E$32,'Assumption-Base'!$A$3:$A$32,$B158,'Assumption-Base'!$B$3:$B$32,$C158)</f>
        <v>0.35</v>
      </c>
      <c r="J158" s="19">
        <f t="shared" si="16"/>
        <v>19712.439079725002</v>
      </c>
      <c r="K158" s="100">
        <f>SUMIFS('Assumption-Base'!$F$3:$F$32,'Assumption-Base'!$A$3:$A$32,$B158,'Assumption-Base'!$B$3:$B$32,$C158)</f>
        <v>1.4999999999999999E-4</v>
      </c>
      <c r="L158" s="19">
        <f t="shared" si="17"/>
        <v>1126.4250902700001</v>
      </c>
      <c r="M158" s="99">
        <f t="shared" si="18"/>
        <v>35482.390343505002</v>
      </c>
      <c r="N158" s="97">
        <f>SUMIFS('Assumption-Base'!$G$3:$G$32,'Assumption-Base'!$A$3:$A$32,$B158,'Assumption-Base'!$B$3:$B$32,$C158)</f>
        <v>0.4</v>
      </c>
      <c r="O158" s="19">
        <f t="shared" si="19"/>
        <v>22528.501805400003</v>
      </c>
      <c r="P158" s="99">
        <f t="shared" si="20"/>
        <v>12953.888538104999</v>
      </c>
    </row>
    <row r="159" spans="1:16" x14ac:dyDescent="0.35">
      <c r="A159" s="96" t="str">
        <f>LEFT('2025 actual v budget'!A159,4)&amp;"26"</f>
        <v>Jun-26</v>
      </c>
      <c r="B159" s="17" t="str">
        <f>'2025 actual v budget'!B159</f>
        <v>Germany</v>
      </c>
      <c r="C159" s="17" t="str">
        <f>'2025 actual v budget'!C159</f>
        <v>FX Conversion</v>
      </c>
      <c r="D159" s="19">
        <f>'2025 actual v budget'!D159</f>
        <v>10929217.27</v>
      </c>
      <c r="E159" s="97">
        <f>SUMIFS('Assumption-Base'!$C$3:$C$32,'Assumption-Base'!$A$3:$A$32,$B159,'Assumption-Base'!$B$3:$B$32,$C159)</f>
        <v>0.06</v>
      </c>
      <c r="F159" s="19">
        <f t="shared" si="14"/>
        <v>11584970.3062</v>
      </c>
      <c r="G159" s="98">
        <f>SUMIFS('Assumption-Base'!$D$3:$D$32,'Assumption-Base'!$A$3:$A$32,$B159,'Assumption-Base'!$B$3:$B$32,$C159)</f>
        <v>1.0500000000000001E-2</v>
      </c>
      <c r="H159" s="99">
        <f t="shared" si="15"/>
        <v>121642.1882151</v>
      </c>
      <c r="I159" s="97">
        <f>SUMIFS('Assumption-Base'!$E$3:$E$32,'Assumption-Base'!$A$3:$A$32,$B159,'Assumption-Base'!$B$3:$B$32,$C159)</f>
        <v>0.28000000000000003</v>
      </c>
      <c r="J159" s="19">
        <f t="shared" si="16"/>
        <v>34059.812700228002</v>
      </c>
      <c r="K159" s="100">
        <f>SUMIFS('Assumption-Base'!$F$3:$F$32,'Assumption-Base'!$A$3:$A$32,$B159,'Assumption-Base'!$B$3:$B$32,$C159)</f>
        <v>1.4999999999999999E-4</v>
      </c>
      <c r="L159" s="19">
        <f t="shared" si="17"/>
        <v>1737.7455459299997</v>
      </c>
      <c r="M159" s="99">
        <f t="shared" si="18"/>
        <v>85844.629968941998</v>
      </c>
      <c r="N159" s="97">
        <f>SUMIFS('Assumption-Base'!$G$3:$G$32,'Assumption-Base'!$A$3:$A$32,$B159,'Assumption-Base'!$B$3:$B$32,$C159)</f>
        <v>0.4</v>
      </c>
      <c r="O159" s="19">
        <f t="shared" si="19"/>
        <v>48656.875286040005</v>
      </c>
      <c r="P159" s="99">
        <f t="shared" si="20"/>
        <v>37187.754682901992</v>
      </c>
    </row>
    <row r="160" spans="1:16" x14ac:dyDescent="0.35">
      <c r="A160" s="96" t="str">
        <f>LEFT('2025 actual v budget'!A160,4)&amp;"26"</f>
        <v>Jun-26</v>
      </c>
      <c r="B160" s="17" t="str">
        <f>'2025 actual v budget'!B160</f>
        <v>Germany</v>
      </c>
      <c r="C160" s="17" t="str">
        <f>'2025 actual v budget'!C160</f>
        <v>Stablecoin Settlement</v>
      </c>
      <c r="D160" s="19">
        <f>'2025 actual v budget'!D160</f>
        <v>17307767.309999999</v>
      </c>
      <c r="E160" s="97">
        <f>SUMIFS('Assumption-Base'!$C$3:$C$32,'Assumption-Base'!$A$3:$A$32,$B160,'Assumption-Base'!$B$3:$B$32,$C160)</f>
        <v>0.12</v>
      </c>
      <c r="F160" s="19">
        <f t="shared" si="14"/>
        <v>19384699.387200002</v>
      </c>
      <c r="G160" s="98">
        <f>SUMIFS('Assumption-Base'!$D$3:$D$32,'Assumption-Base'!$A$3:$A$32,$B160,'Assumption-Base'!$B$3:$B$32,$C160)</f>
        <v>6.4999999999999997E-3</v>
      </c>
      <c r="H160" s="99">
        <f t="shared" si="15"/>
        <v>126000.5460168</v>
      </c>
      <c r="I160" s="97">
        <f>SUMIFS('Assumption-Base'!$E$3:$E$32,'Assumption-Base'!$A$3:$A$32,$B160,'Assumption-Base'!$B$3:$B$32,$C160)</f>
        <v>0.32</v>
      </c>
      <c r="J160" s="19">
        <f t="shared" si="16"/>
        <v>40320.174725376004</v>
      </c>
      <c r="K160" s="100">
        <f>SUMIFS('Assumption-Base'!$F$3:$F$32,'Assumption-Base'!$A$3:$A$32,$B160,'Assumption-Base'!$B$3:$B$32,$C160)</f>
        <v>1.4999999999999999E-4</v>
      </c>
      <c r="L160" s="19">
        <f t="shared" si="17"/>
        <v>2907.7049080799998</v>
      </c>
      <c r="M160" s="99">
        <f t="shared" si="18"/>
        <v>82772.666383343996</v>
      </c>
      <c r="N160" s="97">
        <f>SUMIFS('Assumption-Base'!$G$3:$G$32,'Assumption-Base'!$A$3:$A$32,$B160,'Assumption-Base'!$B$3:$B$32,$C160)</f>
        <v>0.4</v>
      </c>
      <c r="O160" s="19">
        <f t="shared" si="19"/>
        <v>50400.21840672</v>
      </c>
      <c r="P160" s="99">
        <f t="shared" si="20"/>
        <v>32372.447976623997</v>
      </c>
    </row>
    <row r="161" spans="1:16" x14ac:dyDescent="0.35">
      <c r="A161" s="96" t="str">
        <f>LEFT('2025 actual v budget'!A161,4)&amp;"26"</f>
        <v>Jun-26</v>
      </c>
      <c r="B161" s="17" t="str">
        <f>'2025 actual v budget'!B161</f>
        <v>Germany</v>
      </c>
      <c r="C161" s="17" t="str">
        <f>'2025 actual v budget'!C161</f>
        <v>Treasury Yield</v>
      </c>
      <c r="D161" s="19">
        <f>'2025 actual v budget'!D161</f>
        <v>4637139.5199999996</v>
      </c>
      <c r="E161" s="97">
        <f>SUMIFS('Assumption-Base'!$C$3:$C$32,'Assumption-Base'!$A$3:$A$32,$B161,'Assumption-Base'!$B$3:$B$32,$C161)</f>
        <v>0.06</v>
      </c>
      <c r="F161" s="19">
        <f t="shared" si="14"/>
        <v>4915367.8911999995</v>
      </c>
      <c r="G161" s="98">
        <f>SUMIFS('Assumption-Base'!$D$3:$D$32,'Assumption-Base'!$A$3:$A$32,$B161,'Assumption-Base'!$B$3:$B$32,$C161)</f>
        <v>3.0000000000000001E-3</v>
      </c>
      <c r="H161" s="99">
        <f t="shared" si="15"/>
        <v>14746.103673599999</v>
      </c>
      <c r="I161" s="97">
        <f>SUMIFS('Assumption-Base'!$E$3:$E$32,'Assumption-Base'!$A$3:$A$32,$B161,'Assumption-Base'!$B$3:$B$32,$C161)</f>
        <v>0.18</v>
      </c>
      <c r="J161" s="19">
        <f t="shared" si="16"/>
        <v>2654.2986612479995</v>
      </c>
      <c r="K161" s="100">
        <f>SUMIFS('Assumption-Base'!$F$3:$F$32,'Assumption-Base'!$A$3:$A$32,$B161,'Assumption-Base'!$B$3:$B$32,$C161)</f>
        <v>1.4999999999999999E-4</v>
      </c>
      <c r="L161" s="19">
        <f t="shared" si="17"/>
        <v>737.30518367999991</v>
      </c>
      <c r="M161" s="99">
        <f t="shared" si="18"/>
        <v>11354.499828671998</v>
      </c>
      <c r="N161" s="97">
        <f>SUMIFS('Assumption-Base'!$G$3:$G$32,'Assumption-Base'!$A$3:$A$32,$B161,'Assumption-Base'!$B$3:$B$32,$C161)</f>
        <v>0.4</v>
      </c>
      <c r="O161" s="19">
        <f t="shared" si="19"/>
        <v>5898.4414694400002</v>
      </c>
      <c r="P161" s="99">
        <f t="shared" si="20"/>
        <v>5456.0583592319981</v>
      </c>
    </row>
    <row r="162" spans="1:16" x14ac:dyDescent="0.35">
      <c r="A162" s="96" t="str">
        <f>LEFT('2025 actual v budget'!A162,4)&amp;"26"</f>
        <v>Jun-26</v>
      </c>
      <c r="B162" s="17" t="str">
        <f>'2025 actual v budget'!B162</f>
        <v>Germany</v>
      </c>
      <c r="C162" s="17" t="str">
        <f>'2025 actual v budget'!C162</f>
        <v>Virtual Accounts</v>
      </c>
      <c r="D162" s="19">
        <f>'2025 actual v budget'!D162</f>
        <v>7050964.3700000001</v>
      </c>
      <c r="E162" s="97">
        <f>SUMIFS('Assumption-Base'!$C$3:$C$32,'Assumption-Base'!$A$3:$A$32,$B162,'Assumption-Base'!$B$3:$B$32,$C162)</f>
        <v>0.06</v>
      </c>
      <c r="F162" s="19">
        <f t="shared" si="14"/>
        <v>7474022.2322000004</v>
      </c>
      <c r="G162" s="98">
        <f>SUMIFS('Assumption-Base'!$D$3:$D$32,'Assumption-Base'!$A$3:$A$32,$B162,'Assumption-Base'!$B$3:$B$32,$C162)</f>
        <v>4.4999999999999997E-3</v>
      </c>
      <c r="H162" s="99">
        <f t="shared" si="15"/>
        <v>33633.100044899998</v>
      </c>
      <c r="I162" s="97">
        <f>SUMIFS('Assumption-Base'!$E$3:$E$32,'Assumption-Base'!$A$3:$A$32,$B162,'Assumption-Base'!$B$3:$B$32,$C162)</f>
        <v>0.22</v>
      </c>
      <c r="J162" s="19">
        <f t="shared" si="16"/>
        <v>7399.2820098779994</v>
      </c>
      <c r="K162" s="100">
        <f>SUMIFS('Assumption-Base'!$F$3:$F$32,'Assumption-Base'!$A$3:$A$32,$B162,'Assumption-Base'!$B$3:$B$32,$C162)</f>
        <v>1.4999999999999999E-4</v>
      </c>
      <c r="L162" s="19">
        <f t="shared" si="17"/>
        <v>1121.10333483</v>
      </c>
      <c r="M162" s="99">
        <f t="shared" si="18"/>
        <v>25112.714700191998</v>
      </c>
      <c r="N162" s="97">
        <f>SUMIFS('Assumption-Base'!$G$3:$G$32,'Assumption-Base'!$A$3:$A$32,$B162,'Assumption-Base'!$B$3:$B$32,$C162)</f>
        <v>0.4</v>
      </c>
      <c r="O162" s="19">
        <f t="shared" si="19"/>
        <v>13453.240017960001</v>
      </c>
      <c r="P162" s="99">
        <f t="shared" si="20"/>
        <v>11659.474682231998</v>
      </c>
    </row>
    <row r="163" spans="1:16" x14ac:dyDescent="0.35">
      <c r="A163" s="96" t="str">
        <f>LEFT('2025 actual v budget'!A163,4)&amp;"26"</f>
        <v>Jun-26</v>
      </c>
      <c r="B163" s="17" t="str">
        <f>'2025 actual v budget'!B163</f>
        <v>India</v>
      </c>
      <c r="C163" s="17" t="str">
        <f>'2025 actual v budget'!C163</f>
        <v>Cross-border Payouts</v>
      </c>
      <c r="D163" s="19">
        <f>'2025 actual v budget'!D163</f>
        <v>9664846.8599999994</v>
      </c>
      <c r="E163" s="97">
        <f>SUMIFS('Assumption-Base'!$C$3:$C$32,'Assumption-Base'!$A$3:$A$32,$B163,'Assumption-Base'!$B$3:$B$32,$C163)</f>
        <v>0.12</v>
      </c>
      <c r="F163" s="19">
        <f t="shared" si="14"/>
        <v>10824628.483200001</v>
      </c>
      <c r="G163" s="98">
        <f>SUMIFS('Assumption-Base'!$D$3:$D$32,'Assumption-Base'!$A$3:$A$32,$B163,'Assumption-Base'!$B$3:$B$32,$C163)</f>
        <v>7.4999999999999997E-3</v>
      </c>
      <c r="H163" s="99">
        <f t="shared" si="15"/>
        <v>81184.713623999996</v>
      </c>
      <c r="I163" s="97">
        <f>SUMIFS('Assumption-Base'!$E$3:$E$32,'Assumption-Base'!$A$3:$A$32,$B163,'Assumption-Base'!$B$3:$B$32,$C163)</f>
        <v>0.35</v>
      </c>
      <c r="J163" s="19">
        <f t="shared" si="16"/>
        <v>28414.649768399999</v>
      </c>
      <c r="K163" s="100">
        <f>SUMIFS('Assumption-Base'!$F$3:$F$32,'Assumption-Base'!$A$3:$A$32,$B163,'Assumption-Base'!$B$3:$B$32,$C163)</f>
        <v>1.8000000000000001E-4</v>
      </c>
      <c r="L163" s="19">
        <f t="shared" si="17"/>
        <v>1948.4331269760003</v>
      </c>
      <c r="M163" s="99">
        <f t="shared" si="18"/>
        <v>50821.630728623997</v>
      </c>
      <c r="N163" s="97">
        <f>SUMIFS('Assumption-Base'!$G$3:$G$32,'Assumption-Base'!$A$3:$A$32,$B163,'Assumption-Base'!$B$3:$B$32,$C163)</f>
        <v>0.4</v>
      </c>
      <c r="O163" s="19">
        <f t="shared" si="19"/>
        <v>32473.885449599999</v>
      </c>
      <c r="P163" s="99">
        <f t="shared" si="20"/>
        <v>18347.745279023999</v>
      </c>
    </row>
    <row r="164" spans="1:16" x14ac:dyDescent="0.35">
      <c r="A164" s="96" t="str">
        <f>LEFT('2025 actual v budget'!A164,4)&amp;"26"</f>
        <v>Jun-26</v>
      </c>
      <c r="B164" s="17" t="str">
        <f>'2025 actual v budget'!B164</f>
        <v>India</v>
      </c>
      <c r="C164" s="17" t="str">
        <f>'2025 actual v budget'!C164</f>
        <v>FX Conversion</v>
      </c>
      <c r="D164" s="19">
        <f>'2025 actual v budget'!D164</f>
        <v>14920046.220000001</v>
      </c>
      <c r="E164" s="97">
        <f>SUMIFS('Assumption-Base'!$C$3:$C$32,'Assumption-Base'!$A$3:$A$32,$B164,'Assumption-Base'!$B$3:$B$32,$C164)</f>
        <v>0.12</v>
      </c>
      <c r="F164" s="19">
        <f t="shared" si="14"/>
        <v>16710451.766400002</v>
      </c>
      <c r="G164" s="98">
        <f>SUMIFS('Assumption-Base'!$D$3:$D$32,'Assumption-Base'!$A$3:$A$32,$B164,'Assumption-Base'!$B$3:$B$32,$C164)</f>
        <v>1.0500000000000001E-2</v>
      </c>
      <c r="H164" s="99">
        <f t="shared" si="15"/>
        <v>175459.74354720002</v>
      </c>
      <c r="I164" s="97">
        <f>SUMIFS('Assumption-Base'!$E$3:$E$32,'Assumption-Base'!$A$3:$A$32,$B164,'Assumption-Base'!$B$3:$B$32,$C164)</f>
        <v>0.28000000000000003</v>
      </c>
      <c r="J164" s="19">
        <f t="shared" si="16"/>
        <v>49128.728193216011</v>
      </c>
      <c r="K164" s="100">
        <f>SUMIFS('Assumption-Base'!$F$3:$F$32,'Assumption-Base'!$A$3:$A$32,$B164,'Assumption-Base'!$B$3:$B$32,$C164)</f>
        <v>1.8000000000000001E-4</v>
      </c>
      <c r="L164" s="19">
        <f t="shared" si="17"/>
        <v>3007.8813179520007</v>
      </c>
      <c r="M164" s="99">
        <f t="shared" si="18"/>
        <v>123323.134036032</v>
      </c>
      <c r="N164" s="97">
        <f>SUMIFS('Assumption-Base'!$G$3:$G$32,'Assumption-Base'!$A$3:$A$32,$B164,'Assumption-Base'!$B$3:$B$32,$C164)</f>
        <v>0.4</v>
      </c>
      <c r="O164" s="19">
        <f t="shared" si="19"/>
        <v>70183.897418880006</v>
      </c>
      <c r="P164" s="99">
        <f t="shared" si="20"/>
        <v>53139.236617151997</v>
      </c>
    </row>
    <row r="165" spans="1:16" x14ac:dyDescent="0.35">
      <c r="A165" s="96" t="str">
        <f>LEFT('2025 actual v budget'!A165,4)&amp;"26"</f>
        <v>Jun-26</v>
      </c>
      <c r="B165" s="17" t="str">
        <f>'2025 actual v budget'!B165</f>
        <v>India</v>
      </c>
      <c r="C165" s="17" t="str">
        <f>'2025 actual v budget'!C165</f>
        <v>Stablecoin Settlement</v>
      </c>
      <c r="D165" s="19">
        <f>'2025 actual v budget'!D165</f>
        <v>23611894.5</v>
      </c>
      <c r="E165" s="97">
        <f>SUMIFS('Assumption-Base'!$C$3:$C$32,'Assumption-Base'!$A$3:$A$32,$B165,'Assumption-Base'!$B$3:$B$32,$C165)</f>
        <v>0.24</v>
      </c>
      <c r="F165" s="19">
        <f t="shared" si="14"/>
        <v>29278749.18</v>
      </c>
      <c r="G165" s="98">
        <f>SUMIFS('Assumption-Base'!$D$3:$D$32,'Assumption-Base'!$A$3:$A$32,$B165,'Assumption-Base'!$B$3:$B$32,$C165)</f>
        <v>6.4999999999999997E-3</v>
      </c>
      <c r="H165" s="99">
        <f t="shared" si="15"/>
        <v>190311.86966999999</v>
      </c>
      <c r="I165" s="97">
        <f>SUMIFS('Assumption-Base'!$E$3:$E$32,'Assumption-Base'!$A$3:$A$32,$B165,'Assumption-Base'!$B$3:$B$32,$C165)</f>
        <v>0.32</v>
      </c>
      <c r="J165" s="19">
        <f t="shared" si="16"/>
        <v>60899.798294399996</v>
      </c>
      <c r="K165" s="100">
        <f>SUMIFS('Assumption-Base'!$F$3:$F$32,'Assumption-Base'!$A$3:$A$32,$B165,'Assumption-Base'!$B$3:$B$32,$C165)</f>
        <v>1.8000000000000001E-4</v>
      </c>
      <c r="L165" s="19">
        <f t="shared" si="17"/>
        <v>5270.1748524000004</v>
      </c>
      <c r="M165" s="99">
        <f t="shared" si="18"/>
        <v>124141.89652319999</v>
      </c>
      <c r="N165" s="97">
        <f>SUMIFS('Assumption-Base'!$G$3:$G$32,'Assumption-Base'!$A$3:$A$32,$B165,'Assumption-Base'!$B$3:$B$32,$C165)</f>
        <v>0.4</v>
      </c>
      <c r="O165" s="19">
        <f t="shared" si="19"/>
        <v>76124.747867999991</v>
      </c>
      <c r="P165" s="99">
        <f t="shared" si="20"/>
        <v>48017.148655199999</v>
      </c>
    </row>
    <row r="166" spans="1:16" x14ac:dyDescent="0.35">
      <c r="A166" s="96" t="str">
        <f>LEFT('2025 actual v budget'!A166,4)&amp;"26"</f>
        <v>Jun-26</v>
      </c>
      <c r="B166" s="17" t="str">
        <f>'2025 actual v budget'!B166</f>
        <v>India</v>
      </c>
      <c r="C166" s="17" t="str">
        <f>'2025 actual v budget'!C166</f>
        <v>Treasury Yield</v>
      </c>
      <c r="D166" s="19">
        <f>'2025 actual v budget'!D166</f>
        <v>6330401.7400000002</v>
      </c>
      <c r="E166" s="97">
        <f>SUMIFS('Assumption-Base'!$C$3:$C$32,'Assumption-Base'!$A$3:$A$32,$B166,'Assumption-Base'!$B$3:$B$32,$C166)</f>
        <v>0.12</v>
      </c>
      <c r="F166" s="19">
        <f t="shared" si="14"/>
        <v>7090049.9488000013</v>
      </c>
      <c r="G166" s="98">
        <f>SUMIFS('Assumption-Base'!$D$3:$D$32,'Assumption-Base'!$A$3:$A$32,$B166,'Assumption-Base'!$B$3:$B$32,$C166)</f>
        <v>3.0000000000000001E-3</v>
      </c>
      <c r="H166" s="99">
        <f t="shared" si="15"/>
        <v>21270.149846400003</v>
      </c>
      <c r="I166" s="97">
        <f>SUMIFS('Assumption-Base'!$E$3:$E$32,'Assumption-Base'!$A$3:$A$32,$B166,'Assumption-Base'!$B$3:$B$32,$C166)</f>
        <v>0.18</v>
      </c>
      <c r="J166" s="19">
        <f t="shared" si="16"/>
        <v>3828.6269723520004</v>
      </c>
      <c r="K166" s="100">
        <f>SUMIFS('Assumption-Base'!$F$3:$F$32,'Assumption-Base'!$A$3:$A$32,$B166,'Assumption-Base'!$B$3:$B$32,$C166)</f>
        <v>1.8000000000000001E-4</v>
      </c>
      <c r="L166" s="19">
        <f t="shared" si="17"/>
        <v>1276.2089907840002</v>
      </c>
      <c r="M166" s="99">
        <f t="shared" si="18"/>
        <v>16165.313883264002</v>
      </c>
      <c r="N166" s="97">
        <f>SUMIFS('Assumption-Base'!$G$3:$G$32,'Assumption-Base'!$A$3:$A$32,$B166,'Assumption-Base'!$B$3:$B$32,$C166)</f>
        <v>0.4</v>
      </c>
      <c r="O166" s="19">
        <f t="shared" si="19"/>
        <v>8508.0599385600017</v>
      </c>
      <c r="P166" s="99">
        <f t="shared" si="20"/>
        <v>7657.2539447039999</v>
      </c>
    </row>
    <row r="167" spans="1:16" x14ac:dyDescent="0.35">
      <c r="A167" s="96" t="str">
        <f>LEFT('2025 actual v budget'!A167,4)&amp;"26"</f>
        <v>Jun-26</v>
      </c>
      <c r="B167" s="17" t="str">
        <f>'2025 actual v budget'!B167</f>
        <v>India</v>
      </c>
      <c r="C167" s="17" t="str">
        <f>'2025 actual v budget'!C167</f>
        <v>Virtual Accounts</v>
      </c>
      <c r="D167" s="19">
        <f>'2025 actual v budget'!D167</f>
        <v>9625640.3100000005</v>
      </c>
      <c r="E167" s="97">
        <f>SUMIFS('Assumption-Base'!$C$3:$C$32,'Assumption-Base'!$A$3:$A$32,$B167,'Assumption-Base'!$B$3:$B$32,$C167)</f>
        <v>0.12</v>
      </c>
      <c r="F167" s="19">
        <f t="shared" si="14"/>
        <v>10780717.147200001</v>
      </c>
      <c r="G167" s="98">
        <f>SUMIFS('Assumption-Base'!$D$3:$D$32,'Assumption-Base'!$A$3:$A$32,$B167,'Assumption-Base'!$B$3:$B$32,$C167)</f>
        <v>4.4999999999999997E-3</v>
      </c>
      <c r="H167" s="99">
        <f t="shared" si="15"/>
        <v>48513.227162400006</v>
      </c>
      <c r="I167" s="97">
        <f>SUMIFS('Assumption-Base'!$E$3:$E$32,'Assumption-Base'!$A$3:$A$32,$B167,'Assumption-Base'!$B$3:$B$32,$C167)</f>
        <v>0.22</v>
      </c>
      <c r="J167" s="19">
        <f t="shared" si="16"/>
        <v>10672.909975728002</v>
      </c>
      <c r="K167" s="100">
        <f>SUMIFS('Assumption-Base'!$F$3:$F$32,'Assumption-Base'!$A$3:$A$32,$B167,'Assumption-Base'!$B$3:$B$32,$C167)</f>
        <v>1.8000000000000001E-4</v>
      </c>
      <c r="L167" s="19">
        <f t="shared" si="17"/>
        <v>1940.5290864960004</v>
      </c>
      <c r="M167" s="99">
        <f t="shared" si="18"/>
        <v>35899.788100176011</v>
      </c>
      <c r="N167" s="97">
        <f>SUMIFS('Assumption-Base'!$G$3:$G$32,'Assumption-Base'!$A$3:$A$32,$B167,'Assumption-Base'!$B$3:$B$32,$C167)</f>
        <v>0.4</v>
      </c>
      <c r="O167" s="19">
        <f t="shared" si="19"/>
        <v>19405.290864960003</v>
      </c>
      <c r="P167" s="99">
        <f t="shared" si="20"/>
        <v>16494.497235216008</v>
      </c>
    </row>
    <row r="168" spans="1:16" x14ac:dyDescent="0.35">
      <c r="A168" s="96" t="str">
        <f>LEFT('2025 actual v budget'!A168,4)&amp;"26"</f>
        <v>Jun-26</v>
      </c>
      <c r="B168" s="17" t="str">
        <f>'2025 actual v budget'!B168</f>
        <v>Mexico</v>
      </c>
      <c r="C168" s="17" t="str">
        <f>'2025 actual v budget'!C168</f>
        <v>Cross-border Payouts</v>
      </c>
      <c r="D168" s="19">
        <f>'2025 actual v budget'!D168</f>
        <v>11540422.800000001</v>
      </c>
      <c r="E168" s="97">
        <f>SUMIFS('Assumption-Base'!$C$3:$C$32,'Assumption-Base'!$A$3:$A$32,$B168,'Assumption-Base'!$B$3:$B$32,$C168)</f>
        <v>0.15</v>
      </c>
      <c r="F168" s="19">
        <f t="shared" si="14"/>
        <v>13271486.220000001</v>
      </c>
      <c r="G168" s="98">
        <f>SUMIFS('Assumption-Base'!$D$3:$D$32,'Assumption-Base'!$A$3:$A$32,$B168,'Assumption-Base'!$B$3:$B$32,$C168)</f>
        <v>7.4999999999999997E-3</v>
      </c>
      <c r="H168" s="99">
        <f t="shared" si="15"/>
        <v>99536.146649999995</v>
      </c>
      <c r="I168" s="97">
        <f>SUMIFS('Assumption-Base'!$E$3:$E$32,'Assumption-Base'!$A$3:$A$32,$B168,'Assumption-Base'!$B$3:$B$32,$C168)</f>
        <v>0.35</v>
      </c>
      <c r="J168" s="19">
        <f t="shared" si="16"/>
        <v>34837.651327499996</v>
      </c>
      <c r="K168" s="100">
        <f>SUMIFS('Assumption-Base'!$F$3:$F$32,'Assumption-Base'!$A$3:$A$32,$B168,'Assumption-Base'!$B$3:$B$32,$C168)</f>
        <v>8.0000000000000007E-5</v>
      </c>
      <c r="L168" s="19">
        <f t="shared" si="17"/>
        <v>1061.7188976000002</v>
      </c>
      <c r="M168" s="99">
        <f t="shared" si="18"/>
        <v>63636.776424899996</v>
      </c>
      <c r="N168" s="97">
        <f>SUMIFS('Assumption-Base'!$G$3:$G$32,'Assumption-Base'!$A$3:$A$32,$B168,'Assumption-Base'!$B$3:$B$32,$C168)</f>
        <v>0.4</v>
      </c>
      <c r="O168" s="19">
        <f t="shared" si="19"/>
        <v>39814.458660000004</v>
      </c>
      <c r="P168" s="99">
        <f t="shared" si="20"/>
        <v>23822.317764899992</v>
      </c>
    </row>
    <row r="169" spans="1:16" x14ac:dyDescent="0.35">
      <c r="A169" s="96" t="str">
        <f>LEFT('2025 actual v budget'!A169,4)&amp;"26"</f>
        <v>Jun-26</v>
      </c>
      <c r="B169" s="17" t="str">
        <f>'2025 actual v budget'!B169</f>
        <v>Mexico</v>
      </c>
      <c r="C169" s="17" t="str">
        <f>'2025 actual v budget'!C169</f>
        <v>FX Conversion</v>
      </c>
      <c r="D169" s="19">
        <f>'2025 actual v budget'!D169</f>
        <v>17813509.710000001</v>
      </c>
      <c r="E169" s="97">
        <f>SUMIFS('Assumption-Base'!$C$3:$C$32,'Assumption-Base'!$A$3:$A$32,$B169,'Assumption-Base'!$B$3:$B$32,$C169)</f>
        <v>0.15</v>
      </c>
      <c r="F169" s="19">
        <f t="shared" si="14"/>
        <v>20485536.166499998</v>
      </c>
      <c r="G169" s="98">
        <f>SUMIFS('Assumption-Base'!$D$3:$D$32,'Assumption-Base'!$A$3:$A$32,$B169,'Assumption-Base'!$B$3:$B$32,$C169)</f>
        <v>1.0500000000000001E-2</v>
      </c>
      <c r="H169" s="99">
        <f t="shared" si="15"/>
        <v>215098.12974825001</v>
      </c>
      <c r="I169" s="97">
        <f>SUMIFS('Assumption-Base'!$E$3:$E$32,'Assumption-Base'!$A$3:$A$32,$B169,'Assumption-Base'!$B$3:$B$32,$C169)</f>
        <v>0.28000000000000003</v>
      </c>
      <c r="J169" s="19">
        <f t="shared" si="16"/>
        <v>60227.476329510006</v>
      </c>
      <c r="K169" s="100">
        <f>SUMIFS('Assumption-Base'!$F$3:$F$32,'Assumption-Base'!$A$3:$A$32,$B169,'Assumption-Base'!$B$3:$B$32,$C169)</f>
        <v>8.0000000000000007E-5</v>
      </c>
      <c r="L169" s="19">
        <f t="shared" si="17"/>
        <v>1638.84289332</v>
      </c>
      <c r="M169" s="99">
        <f t="shared" si="18"/>
        <v>153231.81052542001</v>
      </c>
      <c r="N169" s="97">
        <f>SUMIFS('Assumption-Base'!$G$3:$G$32,'Assumption-Base'!$A$3:$A$32,$B169,'Assumption-Base'!$B$3:$B$32,$C169)</f>
        <v>0.4</v>
      </c>
      <c r="O169" s="19">
        <f t="shared" si="19"/>
        <v>86039.251899300012</v>
      </c>
      <c r="P169" s="99">
        <f t="shared" si="20"/>
        <v>67192.558626119993</v>
      </c>
    </row>
    <row r="170" spans="1:16" x14ac:dyDescent="0.35">
      <c r="A170" s="96" t="str">
        <f>LEFT('2025 actual v budget'!A170,4)&amp;"26"</f>
        <v>Jun-26</v>
      </c>
      <c r="B170" s="17" t="str">
        <f>'2025 actual v budget'!B170</f>
        <v>Mexico</v>
      </c>
      <c r="C170" s="17" t="str">
        <f>'2025 actual v budget'!C170</f>
        <v>Stablecoin Settlement</v>
      </c>
      <c r="D170" s="19">
        <f>'2025 actual v budget'!D170</f>
        <v>28194057.23</v>
      </c>
      <c r="E170" s="97">
        <f>SUMIFS('Assumption-Base'!$C$3:$C$32,'Assumption-Base'!$A$3:$A$32,$B170,'Assumption-Base'!$B$3:$B$32,$C170)</f>
        <v>0.3</v>
      </c>
      <c r="F170" s="19">
        <f t="shared" si="14"/>
        <v>36652274.399000004</v>
      </c>
      <c r="G170" s="98">
        <f>SUMIFS('Assumption-Base'!$D$3:$D$32,'Assumption-Base'!$A$3:$A$32,$B170,'Assumption-Base'!$B$3:$B$32,$C170)</f>
        <v>6.4999999999999997E-3</v>
      </c>
      <c r="H170" s="99">
        <f t="shared" si="15"/>
        <v>238239.7835935</v>
      </c>
      <c r="I170" s="97">
        <f>SUMIFS('Assumption-Base'!$E$3:$E$32,'Assumption-Base'!$A$3:$A$32,$B170,'Assumption-Base'!$B$3:$B$32,$C170)</f>
        <v>0.32</v>
      </c>
      <c r="J170" s="19">
        <f t="shared" si="16"/>
        <v>76236.730749919996</v>
      </c>
      <c r="K170" s="100">
        <f>SUMIFS('Assumption-Base'!$F$3:$F$32,'Assumption-Base'!$A$3:$A$32,$B170,'Assumption-Base'!$B$3:$B$32,$C170)</f>
        <v>8.0000000000000007E-5</v>
      </c>
      <c r="L170" s="19">
        <f t="shared" si="17"/>
        <v>2932.1819519200008</v>
      </c>
      <c r="M170" s="99">
        <f t="shared" si="18"/>
        <v>159070.87089166002</v>
      </c>
      <c r="N170" s="97">
        <f>SUMIFS('Assumption-Base'!$G$3:$G$32,'Assumption-Base'!$A$3:$A$32,$B170,'Assumption-Base'!$B$3:$B$32,$C170)</f>
        <v>0.4</v>
      </c>
      <c r="O170" s="19">
        <f t="shared" si="19"/>
        <v>95295.913437400013</v>
      </c>
      <c r="P170" s="99">
        <f t="shared" si="20"/>
        <v>63774.957454260002</v>
      </c>
    </row>
    <row r="171" spans="1:16" x14ac:dyDescent="0.35">
      <c r="A171" s="96" t="str">
        <f>LEFT('2025 actual v budget'!A171,4)&amp;"26"</f>
        <v>Jun-26</v>
      </c>
      <c r="B171" s="17" t="str">
        <f>'2025 actual v budget'!B171</f>
        <v>Mexico</v>
      </c>
      <c r="C171" s="17" t="str">
        <f>'2025 actual v budget'!C171</f>
        <v>Treasury Yield</v>
      </c>
      <c r="D171" s="19">
        <f>'2025 actual v budget'!D171</f>
        <v>7558064.5700000003</v>
      </c>
      <c r="E171" s="97">
        <f>SUMIFS('Assumption-Base'!$C$3:$C$32,'Assumption-Base'!$A$3:$A$32,$B171,'Assumption-Base'!$B$3:$B$32,$C171)</f>
        <v>0.15</v>
      </c>
      <c r="F171" s="19">
        <f t="shared" si="14"/>
        <v>8691774.2555</v>
      </c>
      <c r="G171" s="98">
        <f>SUMIFS('Assumption-Base'!$D$3:$D$32,'Assumption-Base'!$A$3:$A$32,$B171,'Assumption-Base'!$B$3:$B$32,$C171)</f>
        <v>3.0000000000000001E-3</v>
      </c>
      <c r="H171" s="99">
        <f t="shared" si="15"/>
        <v>26075.322766500001</v>
      </c>
      <c r="I171" s="97">
        <f>SUMIFS('Assumption-Base'!$E$3:$E$32,'Assumption-Base'!$A$3:$A$32,$B171,'Assumption-Base'!$B$3:$B$32,$C171)</f>
        <v>0.18</v>
      </c>
      <c r="J171" s="19">
        <f t="shared" si="16"/>
        <v>4693.5580979699998</v>
      </c>
      <c r="K171" s="100">
        <f>SUMIFS('Assumption-Base'!$F$3:$F$32,'Assumption-Base'!$A$3:$A$32,$B171,'Assumption-Base'!$B$3:$B$32,$C171)</f>
        <v>8.0000000000000007E-5</v>
      </c>
      <c r="L171" s="19">
        <f t="shared" si="17"/>
        <v>695.34194044000003</v>
      </c>
      <c r="M171" s="99">
        <f t="shared" si="18"/>
        <v>20686.422728090001</v>
      </c>
      <c r="N171" s="97">
        <f>SUMIFS('Assumption-Base'!$G$3:$G$32,'Assumption-Base'!$A$3:$A$32,$B171,'Assumption-Base'!$B$3:$B$32,$C171)</f>
        <v>0.4</v>
      </c>
      <c r="O171" s="19">
        <f t="shared" si="19"/>
        <v>10430.129106600001</v>
      </c>
      <c r="P171" s="99">
        <f t="shared" si="20"/>
        <v>10256.29362149</v>
      </c>
    </row>
    <row r="172" spans="1:16" x14ac:dyDescent="0.35">
      <c r="A172" s="96" t="str">
        <f>LEFT('2025 actual v budget'!A172,4)&amp;"26"</f>
        <v>Jun-26</v>
      </c>
      <c r="B172" s="17" t="str">
        <f>'2025 actual v budget'!B172</f>
        <v>Mexico</v>
      </c>
      <c r="C172" s="17" t="str">
        <f>'2025 actual v budget'!C172</f>
        <v>Virtual Accounts</v>
      </c>
      <c r="D172" s="19">
        <f>'2025 actual v budget'!D172</f>
        <v>11492352.939999999</v>
      </c>
      <c r="E172" s="97">
        <f>SUMIFS('Assumption-Base'!$C$3:$C$32,'Assumption-Base'!$A$3:$A$32,$B172,'Assumption-Base'!$B$3:$B$32,$C172)</f>
        <v>0.15</v>
      </c>
      <c r="F172" s="19">
        <f t="shared" si="14"/>
        <v>13216205.880999999</v>
      </c>
      <c r="G172" s="98">
        <f>SUMIFS('Assumption-Base'!$D$3:$D$32,'Assumption-Base'!$A$3:$A$32,$B172,'Assumption-Base'!$B$3:$B$32,$C172)</f>
        <v>4.4999999999999997E-3</v>
      </c>
      <c r="H172" s="99">
        <f t="shared" si="15"/>
        <v>59472.926464499993</v>
      </c>
      <c r="I172" s="97">
        <f>SUMIFS('Assumption-Base'!$E$3:$E$32,'Assumption-Base'!$A$3:$A$32,$B172,'Assumption-Base'!$B$3:$B$32,$C172)</f>
        <v>0.22</v>
      </c>
      <c r="J172" s="19">
        <f t="shared" si="16"/>
        <v>13084.043822189999</v>
      </c>
      <c r="K172" s="100">
        <f>SUMIFS('Assumption-Base'!$F$3:$F$32,'Assumption-Base'!$A$3:$A$32,$B172,'Assumption-Base'!$B$3:$B$32,$C172)</f>
        <v>8.0000000000000007E-5</v>
      </c>
      <c r="L172" s="19">
        <f t="shared" si="17"/>
        <v>1057.2964704799999</v>
      </c>
      <c r="M172" s="99">
        <f t="shared" si="18"/>
        <v>45331.586171829993</v>
      </c>
      <c r="N172" s="97">
        <f>SUMIFS('Assumption-Base'!$G$3:$G$32,'Assumption-Base'!$A$3:$A$32,$B172,'Assumption-Base'!$B$3:$B$32,$C172)</f>
        <v>0.4</v>
      </c>
      <c r="O172" s="19">
        <f t="shared" si="19"/>
        <v>23789.170585799999</v>
      </c>
      <c r="P172" s="99">
        <f t="shared" si="20"/>
        <v>21542.415586029994</v>
      </c>
    </row>
    <row r="173" spans="1:16" x14ac:dyDescent="0.35">
      <c r="A173" s="96" t="str">
        <f>LEFT('2025 actual v budget'!A173,4)&amp;"26"</f>
        <v>Jun-26</v>
      </c>
      <c r="B173" s="17" t="str">
        <f>'2025 actual v budget'!B173</f>
        <v>Singapore</v>
      </c>
      <c r="C173" s="17" t="str">
        <f>'2025 actual v budget'!C173</f>
        <v>Cross-border Payouts</v>
      </c>
      <c r="D173" s="19">
        <f>'2025 actual v budget'!D173</f>
        <v>9385203.1500000004</v>
      </c>
      <c r="E173" s="97">
        <f>SUMIFS('Assumption-Base'!$C$3:$C$32,'Assumption-Base'!$A$3:$A$32,$B173,'Assumption-Base'!$B$3:$B$32,$C173)</f>
        <v>0.05</v>
      </c>
      <c r="F173" s="19">
        <f t="shared" si="14"/>
        <v>9854463.307500001</v>
      </c>
      <c r="G173" s="98">
        <f>SUMIFS('Assumption-Base'!$D$3:$D$32,'Assumption-Base'!$A$3:$A$32,$B173,'Assumption-Base'!$B$3:$B$32,$C173)</f>
        <v>7.4999999999999997E-3</v>
      </c>
      <c r="H173" s="99">
        <f t="shared" si="15"/>
        <v>73908.47480625</v>
      </c>
      <c r="I173" s="97">
        <f>SUMIFS('Assumption-Base'!$E$3:$E$32,'Assumption-Base'!$A$3:$A$32,$B173,'Assumption-Base'!$B$3:$B$32,$C173)</f>
        <v>0.35</v>
      </c>
      <c r="J173" s="19">
        <f t="shared" si="16"/>
        <v>25867.966182187498</v>
      </c>
      <c r="K173" s="100">
        <f>SUMIFS('Assumption-Base'!$F$3:$F$32,'Assumption-Base'!$A$3:$A$32,$B173,'Assumption-Base'!$B$3:$B$32,$C173)</f>
        <v>9.0000000000000006E-5</v>
      </c>
      <c r="L173" s="19">
        <f t="shared" si="17"/>
        <v>886.90169767500015</v>
      </c>
      <c r="M173" s="99">
        <f t="shared" si="18"/>
        <v>47153.606926387503</v>
      </c>
      <c r="N173" s="97">
        <f>SUMIFS('Assumption-Base'!$G$3:$G$32,'Assumption-Base'!$A$3:$A$32,$B173,'Assumption-Base'!$B$3:$B$32,$C173)</f>
        <v>0.4</v>
      </c>
      <c r="O173" s="19">
        <f t="shared" si="19"/>
        <v>29563.389922500002</v>
      </c>
      <c r="P173" s="99">
        <f t="shared" si="20"/>
        <v>17590.217003887501</v>
      </c>
    </row>
    <row r="174" spans="1:16" x14ac:dyDescent="0.35">
      <c r="A174" s="96" t="str">
        <f>LEFT('2025 actual v budget'!A174,4)&amp;"26"</f>
        <v>Jun-26</v>
      </c>
      <c r="B174" s="17" t="str">
        <f>'2025 actual v budget'!B174</f>
        <v>Singapore</v>
      </c>
      <c r="C174" s="17" t="str">
        <f>'2025 actual v budget'!C174</f>
        <v>FX Conversion</v>
      </c>
      <c r="D174" s="19">
        <f>'2025 actual v budget'!D174</f>
        <v>14481931.84</v>
      </c>
      <c r="E174" s="97">
        <f>SUMIFS('Assumption-Base'!$C$3:$C$32,'Assumption-Base'!$A$3:$A$32,$B174,'Assumption-Base'!$B$3:$B$32,$C174)</f>
        <v>0.05</v>
      </c>
      <c r="F174" s="19">
        <f t="shared" si="14"/>
        <v>15206028.432</v>
      </c>
      <c r="G174" s="98">
        <f>SUMIFS('Assumption-Base'!$D$3:$D$32,'Assumption-Base'!$A$3:$A$32,$B174,'Assumption-Base'!$B$3:$B$32,$C174)</f>
        <v>1.0500000000000001E-2</v>
      </c>
      <c r="H174" s="99">
        <f t="shared" si="15"/>
        <v>159663.29853600002</v>
      </c>
      <c r="I174" s="97">
        <f>SUMIFS('Assumption-Base'!$E$3:$E$32,'Assumption-Base'!$A$3:$A$32,$B174,'Assumption-Base'!$B$3:$B$32,$C174)</f>
        <v>0.28000000000000003</v>
      </c>
      <c r="J174" s="19">
        <f t="shared" si="16"/>
        <v>44705.723590080008</v>
      </c>
      <c r="K174" s="100">
        <f>SUMIFS('Assumption-Base'!$F$3:$F$32,'Assumption-Base'!$A$3:$A$32,$B174,'Assumption-Base'!$B$3:$B$32,$C174)</f>
        <v>9.0000000000000006E-5</v>
      </c>
      <c r="L174" s="19">
        <f t="shared" si="17"/>
        <v>1368.5425588800001</v>
      </c>
      <c r="M174" s="99">
        <f t="shared" si="18"/>
        <v>113589.03238704</v>
      </c>
      <c r="N174" s="97">
        <f>SUMIFS('Assumption-Base'!$G$3:$G$32,'Assumption-Base'!$A$3:$A$32,$B174,'Assumption-Base'!$B$3:$B$32,$C174)</f>
        <v>0.4</v>
      </c>
      <c r="O174" s="19">
        <f t="shared" si="19"/>
        <v>63865.319414400008</v>
      </c>
      <c r="P174" s="99">
        <f t="shared" si="20"/>
        <v>49723.712972639994</v>
      </c>
    </row>
    <row r="175" spans="1:16" x14ac:dyDescent="0.35">
      <c r="A175" s="96" t="str">
        <f>LEFT('2025 actual v budget'!A175,4)&amp;"26"</f>
        <v>Jun-26</v>
      </c>
      <c r="B175" s="17" t="str">
        <f>'2025 actual v budget'!B175</f>
        <v>Singapore</v>
      </c>
      <c r="C175" s="17" t="str">
        <f>'2025 actual v budget'!C175</f>
        <v>Stablecoin Settlement</v>
      </c>
      <c r="D175" s="19">
        <f>'2025 actual v budget'!D175</f>
        <v>22928705.41</v>
      </c>
      <c r="E175" s="97">
        <f>SUMIFS('Assumption-Base'!$C$3:$C$32,'Assumption-Base'!$A$3:$A$32,$B175,'Assumption-Base'!$B$3:$B$32,$C175)</f>
        <v>0.1</v>
      </c>
      <c r="F175" s="19">
        <f t="shared" si="14"/>
        <v>25221575.951000001</v>
      </c>
      <c r="G175" s="98">
        <f>SUMIFS('Assumption-Base'!$D$3:$D$32,'Assumption-Base'!$A$3:$A$32,$B175,'Assumption-Base'!$B$3:$B$32,$C175)</f>
        <v>6.4999999999999997E-3</v>
      </c>
      <c r="H175" s="99">
        <f t="shared" si="15"/>
        <v>163940.2436815</v>
      </c>
      <c r="I175" s="97">
        <f>SUMIFS('Assumption-Base'!$E$3:$E$32,'Assumption-Base'!$A$3:$A$32,$B175,'Assumption-Base'!$B$3:$B$32,$C175)</f>
        <v>0.32</v>
      </c>
      <c r="J175" s="19">
        <f t="shared" si="16"/>
        <v>52460.877978080003</v>
      </c>
      <c r="K175" s="100">
        <f>SUMIFS('Assumption-Base'!$F$3:$F$32,'Assumption-Base'!$A$3:$A$32,$B175,'Assumption-Base'!$B$3:$B$32,$C175)</f>
        <v>9.0000000000000006E-5</v>
      </c>
      <c r="L175" s="19">
        <f t="shared" si="17"/>
        <v>2269.9418355900002</v>
      </c>
      <c r="M175" s="99">
        <f t="shared" si="18"/>
        <v>109209.42386782999</v>
      </c>
      <c r="N175" s="97">
        <f>SUMIFS('Assumption-Base'!$G$3:$G$32,'Assumption-Base'!$A$3:$A$32,$B175,'Assumption-Base'!$B$3:$B$32,$C175)</f>
        <v>0.4</v>
      </c>
      <c r="O175" s="19">
        <f t="shared" si="19"/>
        <v>65576.097472599999</v>
      </c>
      <c r="P175" s="99">
        <f t="shared" si="20"/>
        <v>43633.326395229989</v>
      </c>
    </row>
    <row r="176" spans="1:16" x14ac:dyDescent="0.35">
      <c r="A176" s="96" t="str">
        <f>LEFT('2025 actual v budget'!A176,4)&amp;"26"</f>
        <v>Jun-26</v>
      </c>
      <c r="B176" s="17" t="str">
        <f>'2025 actual v budget'!B176</f>
        <v>Singapore</v>
      </c>
      <c r="C176" s="17" t="str">
        <f>'2025 actual v budget'!C176</f>
        <v>Treasury Yield</v>
      </c>
      <c r="D176" s="19">
        <f>'2025 actual v budget'!D176</f>
        <v>6144514.9100000001</v>
      </c>
      <c r="E176" s="97">
        <f>SUMIFS('Assumption-Base'!$C$3:$C$32,'Assumption-Base'!$A$3:$A$32,$B176,'Assumption-Base'!$B$3:$B$32,$C176)</f>
        <v>0.05</v>
      </c>
      <c r="F176" s="19">
        <f t="shared" si="14"/>
        <v>6451740.6555000003</v>
      </c>
      <c r="G176" s="98">
        <f>SUMIFS('Assumption-Base'!$D$3:$D$32,'Assumption-Base'!$A$3:$A$32,$B176,'Assumption-Base'!$B$3:$B$32,$C176)</f>
        <v>3.0000000000000001E-3</v>
      </c>
      <c r="H176" s="99">
        <f t="shared" si="15"/>
        <v>19355.221966500001</v>
      </c>
      <c r="I176" s="97">
        <f>SUMIFS('Assumption-Base'!$E$3:$E$32,'Assumption-Base'!$A$3:$A$32,$B176,'Assumption-Base'!$B$3:$B$32,$C176)</f>
        <v>0.18</v>
      </c>
      <c r="J176" s="19">
        <f t="shared" si="16"/>
        <v>3483.9399539700003</v>
      </c>
      <c r="K176" s="100">
        <f>SUMIFS('Assumption-Base'!$F$3:$F$32,'Assumption-Base'!$A$3:$A$32,$B176,'Assumption-Base'!$B$3:$B$32,$C176)</f>
        <v>9.0000000000000006E-5</v>
      </c>
      <c r="L176" s="19">
        <f t="shared" si="17"/>
        <v>580.65665899500004</v>
      </c>
      <c r="M176" s="99">
        <f t="shared" si="18"/>
        <v>15290.625353535001</v>
      </c>
      <c r="N176" s="97">
        <f>SUMIFS('Assumption-Base'!$G$3:$G$32,'Assumption-Base'!$A$3:$A$32,$B176,'Assumption-Base'!$B$3:$B$32,$C176)</f>
        <v>0.4</v>
      </c>
      <c r="O176" s="19">
        <f t="shared" si="19"/>
        <v>7742.0887866000012</v>
      </c>
      <c r="P176" s="99">
        <f t="shared" si="20"/>
        <v>7548.5365669349994</v>
      </c>
    </row>
    <row r="177" spans="1:16" x14ac:dyDescent="0.35">
      <c r="A177" s="96" t="str">
        <f>LEFT('2025 actual v budget'!A177,4)&amp;"26"</f>
        <v>Jun-26</v>
      </c>
      <c r="B177" s="17" t="str">
        <f>'2025 actual v budget'!B177</f>
        <v>Singapore</v>
      </c>
      <c r="C177" s="17" t="str">
        <f>'2025 actual v budget'!C177</f>
        <v>Virtual Accounts</v>
      </c>
      <c r="D177" s="19">
        <f>'2025 actual v budget'!D177</f>
        <v>9342991.6300000008</v>
      </c>
      <c r="E177" s="97">
        <f>SUMIFS('Assumption-Base'!$C$3:$C$32,'Assumption-Base'!$A$3:$A$32,$B177,'Assumption-Base'!$B$3:$B$32,$C177)</f>
        <v>0.05</v>
      </c>
      <c r="F177" s="19">
        <f t="shared" si="14"/>
        <v>9810141.2115000021</v>
      </c>
      <c r="G177" s="98">
        <f>SUMIFS('Assumption-Base'!$D$3:$D$32,'Assumption-Base'!$A$3:$A$32,$B177,'Assumption-Base'!$B$3:$B$32,$C177)</f>
        <v>4.4999999999999997E-3</v>
      </c>
      <c r="H177" s="99">
        <f t="shared" si="15"/>
        <v>44145.635451750008</v>
      </c>
      <c r="I177" s="97">
        <f>SUMIFS('Assumption-Base'!$E$3:$E$32,'Assumption-Base'!$A$3:$A$32,$B177,'Assumption-Base'!$B$3:$B$32,$C177)</f>
        <v>0.22</v>
      </c>
      <c r="J177" s="19">
        <f t="shared" si="16"/>
        <v>9712.039799385002</v>
      </c>
      <c r="K177" s="100">
        <f>SUMIFS('Assumption-Base'!$F$3:$F$32,'Assumption-Base'!$A$3:$A$32,$B177,'Assumption-Base'!$B$3:$B$32,$C177)</f>
        <v>9.0000000000000006E-5</v>
      </c>
      <c r="L177" s="19">
        <f t="shared" si="17"/>
        <v>882.91270903500026</v>
      </c>
      <c r="M177" s="99">
        <f t="shared" si="18"/>
        <v>33550.682943330008</v>
      </c>
      <c r="N177" s="97">
        <f>SUMIFS('Assumption-Base'!$G$3:$G$32,'Assumption-Base'!$A$3:$A$32,$B177,'Assumption-Base'!$B$3:$B$32,$C177)</f>
        <v>0.4</v>
      </c>
      <c r="O177" s="19">
        <f t="shared" si="19"/>
        <v>17658.254180700005</v>
      </c>
      <c r="P177" s="99">
        <f t="shared" si="20"/>
        <v>15892.428762630003</v>
      </c>
    </row>
    <row r="178" spans="1:16" x14ac:dyDescent="0.35">
      <c r="A178" s="96" t="str">
        <f>LEFT('2025 actual v budget'!A178,4)&amp;"26"</f>
        <v>Jun-26</v>
      </c>
      <c r="B178" s="17" t="str">
        <f>'2025 actual v budget'!B178</f>
        <v>USA</v>
      </c>
      <c r="C178" s="17" t="str">
        <f>'2025 actual v budget'!C178</f>
        <v>Cross-border Payouts</v>
      </c>
      <c r="D178" s="19">
        <f>'2025 actual v budget'!D178</f>
        <v>22912257.609999999</v>
      </c>
      <c r="E178" s="97">
        <f>SUMIFS('Assumption-Base'!$C$3:$C$32,'Assumption-Base'!$A$3:$A$32,$B178,'Assumption-Base'!$B$3:$B$32,$C178)</f>
        <v>0.1</v>
      </c>
      <c r="F178" s="19">
        <f t="shared" si="14"/>
        <v>25203483.371000003</v>
      </c>
      <c r="G178" s="98">
        <f>SUMIFS('Assumption-Base'!$D$3:$D$32,'Assumption-Base'!$A$3:$A$32,$B178,'Assumption-Base'!$B$3:$B$32,$C178)</f>
        <v>7.4999999999999997E-3</v>
      </c>
      <c r="H178" s="99">
        <f t="shared" si="15"/>
        <v>189026.12528250003</v>
      </c>
      <c r="I178" s="97">
        <f>SUMIFS('Assumption-Base'!$E$3:$E$32,'Assumption-Base'!$A$3:$A$32,$B178,'Assumption-Base'!$B$3:$B$32,$C178)</f>
        <v>0.35</v>
      </c>
      <c r="J178" s="19">
        <f t="shared" si="16"/>
        <v>66159.143848874999</v>
      </c>
      <c r="K178" s="100">
        <f>SUMIFS('Assumption-Base'!$F$3:$F$32,'Assumption-Base'!$A$3:$A$32,$B178,'Assumption-Base'!$B$3:$B$32,$C178)</f>
        <v>2.0000000000000001E-4</v>
      </c>
      <c r="L178" s="19">
        <f t="shared" si="17"/>
        <v>5040.6966742000004</v>
      </c>
      <c r="M178" s="99">
        <f t="shared" si="18"/>
        <v>117826.28475942503</v>
      </c>
      <c r="N178" s="97">
        <f>SUMIFS('Assumption-Base'!$G$3:$G$32,'Assumption-Base'!$A$3:$A$32,$B178,'Assumption-Base'!$B$3:$B$32,$C178)</f>
        <v>0.4</v>
      </c>
      <c r="O178" s="19">
        <f t="shared" si="19"/>
        <v>75610.450113000014</v>
      </c>
      <c r="P178" s="99">
        <f t="shared" si="20"/>
        <v>42215.834646425021</v>
      </c>
    </row>
    <row r="179" spans="1:16" x14ac:dyDescent="0.35">
      <c r="A179" s="96" t="str">
        <f>LEFT('2025 actual v budget'!A179,4)&amp;"26"</f>
        <v>Jun-26</v>
      </c>
      <c r="B179" s="17" t="str">
        <f>'2025 actual v budget'!B179</f>
        <v>USA</v>
      </c>
      <c r="C179" s="17" t="str">
        <f>'2025 actual v budget'!C179</f>
        <v>FX Conversion</v>
      </c>
      <c r="D179" s="19">
        <f>'2025 actual v budget'!D179</f>
        <v>35350980.560000002</v>
      </c>
      <c r="E179" s="97">
        <f>SUMIFS('Assumption-Base'!$C$3:$C$32,'Assumption-Base'!$A$3:$A$32,$B179,'Assumption-Base'!$B$3:$B$32,$C179)</f>
        <v>0.1</v>
      </c>
      <c r="F179" s="19">
        <f t="shared" si="14"/>
        <v>38886078.616000004</v>
      </c>
      <c r="G179" s="98">
        <f>SUMIFS('Assumption-Base'!$D$3:$D$32,'Assumption-Base'!$A$3:$A$32,$B179,'Assumption-Base'!$B$3:$B$32,$C179)</f>
        <v>1.0500000000000001E-2</v>
      </c>
      <c r="H179" s="99">
        <f t="shared" si="15"/>
        <v>408303.82546800008</v>
      </c>
      <c r="I179" s="97">
        <f>SUMIFS('Assumption-Base'!$E$3:$E$32,'Assumption-Base'!$A$3:$A$32,$B179,'Assumption-Base'!$B$3:$B$32,$C179)</f>
        <v>0.28000000000000003</v>
      </c>
      <c r="J179" s="19">
        <f t="shared" si="16"/>
        <v>114325.07113104004</v>
      </c>
      <c r="K179" s="100">
        <f>SUMIFS('Assumption-Base'!$F$3:$F$32,'Assumption-Base'!$A$3:$A$32,$B179,'Assumption-Base'!$B$3:$B$32,$C179)</f>
        <v>2.0000000000000001E-4</v>
      </c>
      <c r="L179" s="19">
        <f t="shared" si="17"/>
        <v>7777.2157232000009</v>
      </c>
      <c r="M179" s="99">
        <f t="shared" si="18"/>
        <v>286201.53861376003</v>
      </c>
      <c r="N179" s="97">
        <f>SUMIFS('Assumption-Base'!$G$3:$G$32,'Assumption-Base'!$A$3:$A$32,$B179,'Assumption-Base'!$B$3:$B$32,$C179)</f>
        <v>0.4</v>
      </c>
      <c r="O179" s="19">
        <f t="shared" si="19"/>
        <v>163321.53018720006</v>
      </c>
      <c r="P179" s="99">
        <f t="shared" si="20"/>
        <v>122880.00842655997</v>
      </c>
    </row>
    <row r="180" spans="1:16" x14ac:dyDescent="0.35">
      <c r="A180" s="96" t="str">
        <f>LEFT('2025 actual v budget'!A180,4)&amp;"26"</f>
        <v>Jun-26</v>
      </c>
      <c r="B180" s="17" t="str">
        <f>'2025 actual v budget'!B180</f>
        <v>USA</v>
      </c>
      <c r="C180" s="17" t="str">
        <f>'2025 actual v budget'!C180</f>
        <v>Stablecoin Settlement</v>
      </c>
      <c r="D180" s="19">
        <f>'2025 actual v budget'!D180</f>
        <v>55976242.25</v>
      </c>
      <c r="E180" s="97">
        <f>SUMIFS('Assumption-Base'!$C$3:$C$32,'Assumption-Base'!$A$3:$A$32,$B180,'Assumption-Base'!$B$3:$B$32,$C180)</f>
        <v>0.2</v>
      </c>
      <c r="F180" s="19">
        <f t="shared" si="14"/>
        <v>67171490.700000003</v>
      </c>
      <c r="G180" s="98">
        <f>SUMIFS('Assumption-Base'!$D$3:$D$32,'Assumption-Base'!$A$3:$A$32,$B180,'Assumption-Base'!$B$3:$B$32,$C180)</f>
        <v>6.4999999999999997E-3</v>
      </c>
      <c r="H180" s="99">
        <f t="shared" si="15"/>
        <v>436614.68955000001</v>
      </c>
      <c r="I180" s="97">
        <f>SUMIFS('Assumption-Base'!$E$3:$E$32,'Assumption-Base'!$A$3:$A$32,$B180,'Assumption-Base'!$B$3:$B$32,$C180)</f>
        <v>0.32</v>
      </c>
      <c r="J180" s="19">
        <f t="shared" si="16"/>
        <v>139716.700656</v>
      </c>
      <c r="K180" s="100">
        <f>SUMIFS('Assumption-Base'!$F$3:$F$32,'Assumption-Base'!$A$3:$A$32,$B180,'Assumption-Base'!$B$3:$B$32,$C180)</f>
        <v>2.0000000000000001E-4</v>
      </c>
      <c r="L180" s="19">
        <f t="shared" si="17"/>
        <v>13434.298140000001</v>
      </c>
      <c r="M180" s="99">
        <f t="shared" si="18"/>
        <v>283463.69075399998</v>
      </c>
      <c r="N180" s="97">
        <f>SUMIFS('Assumption-Base'!$G$3:$G$32,'Assumption-Base'!$A$3:$A$32,$B180,'Assumption-Base'!$B$3:$B$32,$C180)</f>
        <v>0.4</v>
      </c>
      <c r="O180" s="19">
        <f t="shared" si="19"/>
        <v>174645.87582000002</v>
      </c>
      <c r="P180" s="99">
        <f t="shared" si="20"/>
        <v>108817.81493399997</v>
      </c>
    </row>
    <row r="181" spans="1:16" x14ac:dyDescent="0.35">
      <c r="A181" s="96" t="str">
        <f>LEFT('2025 actual v budget'!A181,4)&amp;"26"</f>
        <v>Jun-26</v>
      </c>
      <c r="B181" s="17" t="str">
        <f>'2025 actual v budget'!B181</f>
        <v>USA</v>
      </c>
      <c r="C181" s="17" t="str">
        <f>'2025 actual v budget'!C181</f>
        <v>Treasury Yield</v>
      </c>
      <c r="D181" s="19">
        <f>'2025 actual v budget'!D181</f>
        <v>14999009.08</v>
      </c>
      <c r="E181" s="97">
        <f>SUMIFS('Assumption-Base'!$C$3:$C$32,'Assumption-Base'!$A$3:$A$32,$B181,'Assumption-Base'!$B$3:$B$32,$C181)</f>
        <v>0.1</v>
      </c>
      <c r="F181" s="19">
        <f t="shared" si="14"/>
        <v>16498909.988000002</v>
      </c>
      <c r="G181" s="98">
        <f>SUMIFS('Assumption-Base'!$D$3:$D$32,'Assumption-Base'!$A$3:$A$32,$B181,'Assumption-Base'!$B$3:$B$32,$C181)</f>
        <v>3.0000000000000001E-3</v>
      </c>
      <c r="H181" s="99">
        <f t="shared" si="15"/>
        <v>49496.729964000006</v>
      </c>
      <c r="I181" s="97">
        <f>SUMIFS('Assumption-Base'!$E$3:$E$32,'Assumption-Base'!$A$3:$A$32,$B181,'Assumption-Base'!$B$3:$B$32,$C181)</f>
        <v>0.18</v>
      </c>
      <c r="J181" s="19">
        <f t="shared" si="16"/>
        <v>8909.4113935200003</v>
      </c>
      <c r="K181" s="100">
        <f>SUMIFS('Assumption-Base'!$F$3:$F$32,'Assumption-Base'!$A$3:$A$32,$B181,'Assumption-Base'!$B$3:$B$32,$C181)</f>
        <v>2.0000000000000001E-4</v>
      </c>
      <c r="L181" s="19">
        <f t="shared" si="17"/>
        <v>3299.7819976000005</v>
      </c>
      <c r="M181" s="99">
        <f t="shared" si="18"/>
        <v>37287.536572880002</v>
      </c>
      <c r="N181" s="97">
        <f>SUMIFS('Assumption-Base'!$G$3:$G$32,'Assumption-Base'!$A$3:$A$32,$B181,'Assumption-Base'!$B$3:$B$32,$C181)</f>
        <v>0.4</v>
      </c>
      <c r="O181" s="19">
        <f t="shared" si="19"/>
        <v>19798.691985600002</v>
      </c>
      <c r="P181" s="99">
        <f t="shared" si="20"/>
        <v>17488.84458728</v>
      </c>
    </row>
    <row r="182" spans="1:16" x14ac:dyDescent="0.35">
      <c r="A182" s="96" t="str">
        <f>LEFT('2025 actual v budget'!A182,4)&amp;"26"</f>
        <v>Jun-26</v>
      </c>
      <c r="B182" s="17" t="str">
        <f>'2025 actual v budget'!B182</f>
        <v>USA</v>
      </c>
      <c r="C182" s="17" t="str">
        <f>'2025 actual v budget'!C182</f>
        <v>Virtual Accounts</v>
      </c>
      <c r="D182" s="19">
        <f>'2025 actual v budget'!D182</f>
        <v>22806619.93</v>
      </c>
      <c r="E182" s="97">
        <f>SUMIFS('Assumption-Base'!$C$3:$C$32,'Assumption-Base'!$A$3:$A$32,$B182,'Assumption-Base'!$B$3:$B$32,$C182)</f>
        <v>0.1</v>
      </c>
      <c r="F182" s="19">
        <f t="shared" si="14"/>
        <v>25087281.923</v>
      </c>
      <c r="G182" s="98">
        <f>SUMIFS('Assumption-Base'!$D$3:$D$32,'Assumption-Base'!$A$3:$A$32,$B182,'Assumption-Base'!$B$3:$B$32,$C182)</f>
        <v>4.4999999999999997E-3</v>
      </c>
      <c r="H182" s="99">
        <f t="shared" si="15"/>
        <v>112892.7686535</v>
      </c>
      <c r="I182" s="97">
        <f>SUMIFS('Assumption-Base'!$E$3:$E$32,'Assumption-Base'!$A$3:$A$32,$B182,'Assumption-Base'!$B$3:$B$32,$C182)</f>
        <v>0.22</v>
      </c>
      <c r="J182" s="19">
        <f t="shared" si="16"/>
        <v>24836.409103769998</v>
      </c>
      <c r="K182" s="100">
        <f>SUMIFS('Assumption-Base'!$F$3:$F$32,'Assumption-Base'!$A$3:$A$32,$B182,'Assumption-Base'!$B$3:$B$32,$C182)</f>
        <v>2.0000000000000001E-4</v>
      </c>
      <c r="L182" s="19">
        <f t="shared" si="17"/>
        <v>5017.4563846000001</v>
      </c>
      <c r="M182" s="99">
        <f t="shared" si="18"/>
        <v>83038.903165130003</v>
      </c>
      <c r="N182" s="97">
        <f>SUMIFS('Assumption-Base'!$G$3:$G$32,'Assumption-Base'!$A$3:$A$32,$B182,'Assumption-Base'!$B$3:$B$32,$C182)</f>
        <v>0.4</v>
      </c>
      <c r="O182" s="19">
        <f t="shared" si="19"/>
        <v>45157.107461400003</v>
      </c>
      <c r="P182" s="99">
        <f t="shared" si="20"/>
        <v>37881.79570373</v>
      </c>
    </row>
    <row r="183" spans="1:16" x14ac:dyDescent="0.35">
      <c r="A183" s="91" t="str">
        <f>LEFT('2025 actual v budget'!A183,4)&amp;"26"</f>
        <v>Jul-26</v>
      </c>
      <c r="B183" s="12" t="str">
        <f>'2025 actual v budget'!B183</f>
        <v>Brazil</v>
      </c>
      <c r="C183" s="12" t="str">
        <f>'2025 actual v budget'!C183</f>
        <v>Cross-border Payouts</v>
      </c>
      <c r="D183" s="14">
        <f>'2025 actual v budget'!D183</f>
        <v>15554657.18</v>
      </c>
      <c r="E183" s="92">
        <f>SUMIFS('Assumption-Base'!$C$3:$C$32,'Assumption-Base'!$A$3:$A$32,$B183,'Assumption-Base'!$B$3:$B$32,$C183)</f>
        <v>0.2</v>
      </c>
      <c r="F183" s="14">
        <f t="shared" si="14"/>
        <v>18665588.616</v>
      </c>
      <c r="G183" s="93">
        <f>SUMIFS('Assumption-Base'!$D$3:$D$32,'Assumption-Base'!$A$3:$A$32,$B183,'Assumption-Base'!$B$3:$B$32,$C183)</f>
        <v>7.4999999999999997E-3</v>
      </c>
      <c r="H183" s="94">
        <f t="shared" si="15"/>
        <v>139991.91462</v>
      </c>
      <c r="I183" s="92">
        <f>SUMIFS('Assumption-Base'!$E$3:$E$32,'Assumption-Base'!$A$3:$A$32,$B183,'Assumption-Base'!$B$3:$B$32,$C183)</f>
        <v>0.35</v>
      </c>
      <c r="J183" s="14">
        <f t="shared" si="16"/>
        <v>48997.170116999994</v>
      </c>
      <c r="K183" s="95">
        <f>SUMIFS('Assumption-Base'!$F$3:$F$32,'Assumption-Base'!$A$3:$A$32,$B183,'Assumption-Base'!$B$3:$B$32,$C183)</f>
        <v>6.9999999999999994E-5</v>
      </c>
      <c r="L183" s="14">
        <f t="shared" si="17"/>
        <v>1306.5912031199998</v>
      </c>
      <c r="M183" s="94">
        <f t="shared" si="18"/>
        <v>89688.153299879996</v>
      </c>
      <c r="N183" s="92">
        <f>SUMIFS('Assumption-Base'!$G$3:$G$32,'Assumption-Base'!$A$3:$A$32,$B183,'Assumption-Base'!$B$3:$B$32,$C183)</f>
        <v>0.4</v>
      </c>
      <c r="O183" s="14">
        <f t="shared" si="19"/>
        <v>55996.765848000003</v>
      </c>
      <c r="P183" s="94">
        <f t="shared" si="20"/>
        <v>33691.387451879993</v>
      </c>
    </row>
    <row r="184" spans="1:16" x14ac:dyDescent="0.35">
      <c r="A184" s="91" t="str">
        <f>LEFT('2025 actual v budget'!A184,4)&amp;"26"</f>
        <v>Jul-26</v>
      </c>
      <c r="B184" s="12" t="str">
        <f>'2025 actual v budget'!B184</f>
        <v>Brazil</v>
      </c>
      <c r="C184" s="12" t="str">
        <f>'2025 actual v budget'!C184</f>
        <v>FX Conversion</v>
      </c>
      <c r="D184" s="14">
        <f>'2025 actual v budget'!D184</f>
        <v>23902555.920000002</v>
      </c>
      <c r="E184" s="92">
        <f>SUMIFS('Assumption-Base'!$C$3:$C$32,'Assumption-Base'!$A$3:$A$32,$B184,'Assumption-Base'!$B$3:$B$32,$C184)</f>
        <v>0.2</v>
      </c>
      <c r="F184" s="14">
        <f t="shared" si="14"/>
        <v>28683067.104000002</v>
      </c>
      <c r="G184" s="93">
        <f>SUMIFS('Assumption-Base'!$D$3:$D$32,'Assumption-Base'!$A$3:$A$32,$B184,'Assumption-Base'!$B$3:$B$32,$C184)</f>
        <v>1.0500000000000001E-2</v>
      </c>
      <c r="H184" s="94">
        <f t="shared" si="15"/>
        <v>301172.20459200005</v>
      </c>
      <c r="I184" s="92">
        <f>SUMIFS('Assumption-Base'!$E$3:$E$32,'Assumption-Base'!$A$3:$A$32,$B184,'Assumption-Base'!$B$3:$B$32,$C184)</f>
        <v>0.28000000000000003</v>
      </c>
      <c r="J184" s="14">
        <f t="shared" si="16"/>
        <v>84328.217285760024</v>
      </c>
      <c r="K184" s="95">
        <f>SUMIFS('Assumption-Base'!$F$3:$F$32,'Assumption-Base'!$A$3:$A$32,$B184,'Assumption-Base'!$B$3:$B$32,$C184)</f>
        <v>6.9999999999999994E-5</v>
      </c>
      <c r="L184" s="14">
        <f t="shared" si="17"/>
        <v>2007.81469728</v>
      </c>
      <c r="M184" s="94">
        <f t="shared" si="18"/>
        <v>214836.17260896001</v>
      </c>
      <c r="N184" s="92">
        <f>SUMIFS('Assumption-Base'!$G$3:$G$32,'Assumption-Base'!$A$3:$A$32,$B184,'Assumption-Base'!$B$3:$B$32,$C184)</f>
        <v>0.4</v>
      </c>
      <c r="O184" s="14">
        <f t="shared" si="19"/>
        <v>120468.88183680002</v>
      </c>
      <c r="P184" s="94">
        <f t="shared" si="20"/>
        <v>94367.290772159991</v>
      </c>
    </row>
    <row r="185" spans="1:16" x14ac:dyDescent="0.35">
      <c r="A185" s="91" t="str">
        <f>LEFT('2025 actual v budget'!A185,4)&amp;"26"</f>
        <v>Jul-26</v>
      </c>
      <c r="B185" s="12" t="str">
        <f>'2025 actual v budget'!B185</f>
        <v>Brazil</v>
      </c>
      <c r="C185" s="12" t="str">
        <f>'2025 actual v budget'!C185</f>
        <v>Stablecoin Settlement</v>
      </c>
      <c r="D185" s="14">
        <f>'2025 actual v budget'!D185</f>
        <v>37473712.109999999</v>
      </c>
      <c r="E185" s="92">
        <f>SUMIFS('Assumption-Base'!$C$3:$C$32,'Assumption-Base'!$A$3:$A$32,$B185,'Assumption-Base'!$B$3:$B$32,$C185)</f>
        <v>0.4</v>
      </c>
      <c r="F185" s="14">
        <f t="shared" si="14"/>
        <v>52463196.953999996</v>
      </c>
      <c r="G185" s="93">
        <f>SUMIFS('Assumption-Base'!$D$3:$D$32,'Assumption-Base'!$A$3:$A$32,$B185,'Assumption-Base'!$B$3:$B$32,$C185)</f>
        <v>6.4999999999999997E-3</v>
      </c>
      <c r="H185" s="94">
        <f t="shared" si="15"/>
        <v>341010.78020099999</v>
      </c>
      <c r="I185" s="92">
        <f>SUMIFS('Assumption-Base'!$E$3:$E$32,'Assumption-Base'!$A$3:$A$32,$B185,'Assumption-Base'!$B$3:$B$32,$C185)</f>
        <v>0.32</v>
      </c>
      <c r="J185" s="14">
        <f t="shared" si="16"/>
        <v>109123.44966432</v>
      </c>
      <c r="K185" s="95">
        <f>SUMIFS('Assumption-Base'!$F$3:$F$32,'Assumption-Base'!$A$3:$A$32,$B185,'Assumption-Base'!$B$3:$B$32,$C185)</f>
        <v>6.9999999999999994E-5</v>
      </c>
      <c r="L185" s="14">
        <f t="shared" si="17"/>
        <v>3672.4237867799993</v>
      </c>
      <c r="M185" s="94">
        <f t="shared" si="18"/>
        <v>228214.90674989999</v>
      </c>
      <c r="N185" s="92">
        <f>SUMIFS('Assumption-Base'!$G$3:$G$32,'Assumption-Base'!$A$3:$A$32,$B185,'Assumption-Base'!$B$3:$B$32,$C185)</f>
        <v>0.4</v>
      </c>
      <c r="O185" s="14">
        <f t="shared" si="19"/>
        <v>136404.31208040001</v>
      </c>
      <c r="P185" s="94">
        <f t="shared" si="20"/>
        <v>91810.594669499988</v>
      </c>
    </row>
    <row r="186" spans="1:16" x14ac:dyDescent="0.35">
      <c r="A186" s="91" t="str">
        <f>LEFT('2025 actual v budget'!A186,4)&amp;"26"</f>
        <v>Jul-26</v>
      </c>
      <c r="B186" s="12" t="str">
        <f>'2025 actual v budget'!B186</f>
        <v>Brazil</v>
      </c>
      <c r="C186" s="12" t="str">
        <f>'2025 actual v budget'!C186</f>
        <v>Treasury Yield</v>
      </c>
      <c r="D186" s="14">
        <f>'2025 actual v budget'!D186</f>
        <v>10110938.029999999</v>
      </c>
      <c r="E186" s="92">
        <f>SUMIFS('Assumption-Base'!$C$3:$C$32,'Assumption-Base'!$A$3:$A$32,$B186,'Assumption-Base'!$B$3:$B$32,$C186)</f>
        <v>0.2</v>
      </c>
      <c r="F186" s="14">
        <f t="shared" si="14"/>
        <v>12133125.635999998</v>
      </c>
      <c r="G186" s="93">
        <f>SUMIFS('Assumption-Base'!$D$3:$D$32,'Assumption-Base'!$A$3:$A$32,$B186,'Assumption-Base'!$B$3:$B$32,$C186)</f>
        <v>3.0000000000000001E-3</v>
      </c>
      <c r="H186" s="94">
        <f t="shared" si="15"/>
        <v>36399.376907999998</v>
      </c>
      <c r="I186" s="92">
        <f>SUMIFS('Assumption-Base'!$E$3:$E$32,'Assumption-Base'!$A$3:$A$32,$B186,'Assumption-Base'!$B$3:$B$32,$C186)</f>
        <v>0.18</v>
      </c>
      <c r="J186" s="14">
        <f t="shared" si="16"/>
        <v>6551.8878434399994</v>
      </c>
      <c r="K186" s="95">
        <f>SUMIFS('Assumption-Base'!$F$3:$F$32,'Assumption-Base'!$A$3:$A$32,$B186,'Assumption-Base'!$B$3:$B$32,$C186)</f>
        <v>6.9999999999999994E-5</v>
      </c>
      <c r="L186" s="14">
        <f t="shared" si="17"/>
        <v>849.31879451999976</v>
      </c>
      <c r="M186" s="94">
        <f t="shared" si="18"/>
        <v>28998.170270039998</v>
      </c>
      <c r="N186" s="92">
        <f>SUMIFS('Assumption-Base'!$G$3:$G$32,'Assumption-Base'!$A$3:$A$32,$B186,'Assumption-Base'!$B$3:$B$32,$C186)</f>
        <v>0.4</v>
      </c>
      <c r="O186" s="14">
        <f t="shared" si="19"/>
        <v>14559.7507632</v>
      </c>
      <c r="P186" s="94">
        <f t="shared" si="20"/>
        <v>14438.419506839999</v>
      </c>
    </row>
    <row r="187" spans="1:16" x14ac:dyDescent="0.35">
      <c r="A187" s="91" t="str">
        <f>LEFT('2025 actual v budget'!A187,4)&amp;"26"</f>
        <v>Jul-26</v>
      </c>
      <c r="B187" s="12" t="str">
        <f>'2025 actual v budget'!B187</f>
        <v>Brazil</v>
      </c>
      <c r="C187" s="12" t="str">
        <f>'2025 actual v budget'!C187</f>
        <v>Virtual Accounts</v>
      </c>
      <c r="D187" s="14">
        <f>'2025 actual v budget'!D187</f>
        <v>14891813.970000001</v>
      </c>
      <c r="E187" s="92">
        <f>SUMIFS('Assumption-Base'!$C$3:$C$32,'Assumption-Base'!$A$3:$A$32,$B187,'Assumption-Base'!$B$3:$B$32,$C187)</f>
        <v>0.2</v>
      </c>
      <c r="F187" s="14">
        <f t="shared" si="14"/>
        <v>17870176.763999999</v>
      </c>
      <c r="G187" s="93">
        <f>SUMIFS('Assumption-Base'!$D$3:$D$32,'Assumption-Base'!$A$3:$A$32,$B187,'Assumption-Base'!$B$3:$B$32,$C187)</f>
        <v>4.4999999999999997E-3</v>
      </c>
      <c r="H187" s="94">
        <f t="shared" si="15"/>
        <v>80415.795437999986</v>
      </c>
      <c r="I187" s="92">
        <f>SUMIFS('Assumption-Base'!$E$3:$E$32,'Assumption-Base'!$A$3:$A$32,$B187,'Assumption-Base'!$B$3:$B$32,$C187)</f>
        <v>0.22</v>
      </c>
      <c r="J187" s="14">
        <f t="shared" si="16"/>
        <v>17691.474996359997</v>
      </c>
      <c r="K187" s="95">
        <f>SUMIFS('Assumption-Base'!$F$3:$F$32,'Assumption-Base'!$A$3:$A$32,$B187,'Assumption-Base'!$B$3:$B$32,$C187)</f>
        <v>6.9999999999999994E-5</v>
      </c>
      <c r="L187" s="14">
        <f t="shared" si="17"/>
        <v>1250.9123734799998</v>
      </c>
      <c r="M187" s="94">
        <f t="shared" si="18"/>
        <v>61473.408068159988</v>
      </c>
      <c r="N187" s="92">
        <f>SUMIFS('Assumption-Base'!$G$3:$G$32,'Assumption-Base'!$A$3:$A$32,$B187,'Assumption-Base'!$B$3:$B$32,$C187)</f>
        <v>0.4</v>
      </c>
      <c r="O187" s="14">
        <f t="shared" si="19"/>
        <v>32166.318175199995</v>
      </c>
      <c r="P187" s="94">
        <f t="shared" si="20"/>
        <v>29307.089892959993</v>
      </c>
    </row>
    <row r="188" spans="1:16" x14ac:dyDescent="0.35">
      <c r="A188" s="91" t="str">
        <f>LEFT('2025 actual v budget'!A188,4)&amp;"26"</f>
        <v>Jul-26</v>
      </c>
      <c r="B188" s="12" t="str">
        <f>'2025 actual v budget'!B188</f>
        <v>Germany</v>
      </c>
      <c r="C188" s="12" t="str">
        <f>'2025 actual v budget'!C188</f>
        <v>Cross-border Payouts</v>
      </c>
      <c r="D188" s="14">
        <f>'2025 actual v budget'!D188</f>
        <v>7536090.3499999996</v>
      </c>
      <c r="E188" s="92">
        <f>SUMIFS('Assumption-Base'!$C$3:$C$32,'Assumption-Base'!$A$3:$A$32,$B188,'Assumption-Base'!$B$3:$B$32,$C188)</f>
        <v>0.06</v>
      </c>
      <c r="F188" s="14">
        <f t="shared" si="14"/>
        <v>7988255.7709999997</v>
      </c>
      <c r="G188" s="93">
        <f>SUMIFS('Assumption-Base'!$D$3:$D$32,'Assumption-Base'!$A$3:$A$32,$B188,'Assumption-Base'!$B$3:$B$32,$C188)</f>
        <v>7.4999999999999997E-3</v>
      </c>
      <c r="H188" s="94">
        <f t="shared" si="15"/>
        <v>59911.918282499995</v>
      </c>
      <c r="I188" s="92">
        <f>SUMIFS('Assumption-Base'!$E$3:$E$32,'Assumption-Base'!$A$3:$A$32,$B188,'Assumption-Base'!$B$3:$B$32,$C188)</f>
        <v>0.35</v>
      </c>
      <c r="J188" s="14">
        <f t="shared" si="16"/>
        <v>20969.171398874998</v>
      </c>
      <c r="K188" s="95">
        <f>SUMIFS('Assumption-Base'!$F$3:$F$32,'Assumption-Base'!$A$3:$A$32,$B188,'Assumption-Base'!$B$3:$B$32,$C188)</f>
        <v>1.4999999999999999E-4</v>
      </c>
      <c r="L188" s="14">
        <f t="shared" si="17"/>
        <v>1198.2383656499999</v>
      </c>
      <c r="M188" s="94">
        <f t="shared" si="18"/>
        <v>37744.508517974995</v>
      </c>
      <c r="N188" s="92">
        <f>SUMIFS('Assumption-Base'!$G$3:$G$32,'Assumption-Base'!$A$3:$A$32,$B188,'Assumption-Base'!$B$3:$B$32,$C188)</f>
        <v>0.4</v>
      </c>
      <c r="O188" s="14">
        <f t="shared" si="19"/>
        <v>23964.767313</v>
      </c>
      <c r="P188" s="94">
        <f t="shared" si="20"/>
        <v>13779.741204974995</v>
      </c>
    </row>
    <row r="189" spans="1:16" x14ac:dyDescent="0.35">
      <c r="A189" s="91" t="str">
        <f>LEFT('2025 actual v budget'!A189,4)&amp;"26"</f>
        <v>Jul-26</v>
      </c>
      <c r="B189" s="12" t="str">
        <f>'2025 actual v budget'!B189</f>
        <v>Germany</v>
      </c>
      <c r="C189" s="12" t="str">
        <f>'2025 actual v budget'!C189</f>
        <v>FX Conversion</v>
      </c>
      <c r="D189" s="14">
        <f>'2025 actual v budget'!D189</f>
        <v>11574300.24</v>
      </c>
      <c r="E189" s="92">
        <f>SUMIFS('Assumption-Base'!$C$3:$C$32,'Assumption-Base'!$A$3:$A$32,$B189,'Assumption-Base'!$B$3:$B$32,$C189)</f>
        <v>0.06</v>
      </c>
      <c r="F189" s="14">
        <f t="shared" si="14"/>
        <v>12268758.2544</v>
      </c>
      <c r="G189" s="93">
        <f>SUMIFS('Assumption-Base'!$D$3:$D$32,'Assumption-Base'!$A$3:$A$32,$B189,'Assumption-Base'!$B$3:$B$32,$C189)</f>
        <v>1.0500000000000001E-2</v>
      </c>
      <c r="H189" s="94">
        <f t="shared" si="15"/>
        <v>128821.96167120001</v>
      </c>
      <c r="I189" s="92">
        <f>SUMIFS('Assumption-Base'!$E$3:$E$32,'Assumption-Base'!$A$3:$A$32,$B189,'Assumption-Base'!$B$3:$B$32,$C189)</f>
        <v>0.28000000000000003</v>
      </c>
      <c r="J189" s="14">
        <f t="shared" si="16"/>
        <v>36070.149267936009</v>
      </c>
      <c r="K189" s="95">
        <f>SUMIFS('Assumption-Base'!$F$3:$F$32,'Assumption-Base'!$A$3:$A$32,$B189,'Assumption-Base'!$B$3:$B$32,$C189)</f>
        <v>1.4999999999999999E-4</v>
      </c>
      <c r="L189" s="14">
        <f t="shared" si="17"/>
        <v>1840.3137381599997</v>
      </c>
      <c r="M189" s="94">
        <f t="shared" si="18"/>
        <v>90911.498665104009</v>
      </c>
      <c r="N189" s="92">
        <f>SUMIFS('Assumption-Base'!$G$3:$G$32,'Assumption-Base'!$A$3:$A$32,$B189,'Assumption-Base'!$B$3:$B$32,$C189)</f>
        <v>0.4</v>
      </c>
      <c r="O189" s="14">
        <f t="shared" si="19"/>
        <v>51528.78466848001</v>
      </c>
      <c r="P189" s="94">
        <f t="shared" si="20"/>
        <v>39382.713996623999</v>
      </c>
    </row>
    <row r="190" spans="1:16" x14ac:dyDescent="0.35">
      <c r="A190" s="91" t="str">
        <f>LEFT('2025 actual v budget'!A190,4)&amp;"26"</f>
        <v>Jul-26</v>
      </c>
      <c r="B190" s="12" t="str">
        <f>'2025 actual v budget'!B190</f>
        <v>Germany</v>
      </c>
      <c r="C190" s="12" t="str">
        <f>'2025 actual v budget'!C190</f>
        <v>Stablecoin Settlement</v>
      </c>
      <c r="D190" s="14">
        <f>'2025 actual v budget'!D190</f>
        <v>18155673.690000001</v>
      </c>
      <c r="E190" s="92">
        <f>SUMIFS('Assumption-Base'!$C$3:$C$32,'Assumption-Base'!$A$3:$A$32,$B190,'Assumption-Base'!$B$3:$B$32,$C190)</f>
        <v>0.12</v>
      </c>
      <c r="F190" s="14">
        <f t="shared" si="14"/>
        <v>20334354.532800004</v>
      </c>
      <c r="G190" s="93">
        <f>SUMIFS('Assumption-Base'!$D$3:$D$32,'Assumption-Base'!$A$3:$A$32,$B190,'Assumption-Base'!$B$3:$B$32,$C190)</f>
        <v>6.4999999999999997E-3</v>
      </c>
      <c r="H190" s="94">
        <f t="shared" si="15"/>
        <v>132173.30446320001</v>
      </c>
      <c r="I190" s="92">
        <f>SUMIFS('Assumption-Base'!$E$3:$E$32,'Assumption-Base'!$A$3:$A$32,$B190,'Assumption-Base'!$B$3:$B$32,$C190)</f>
        <v>0.32</v>
      </c>
      <c r="J190" s="14">
        <f t="shared" si="16"/>
        <v>42295.457428224006</v>
      </c>
      <c r="K190" s="95">
        <f>SUMIFS('Assumption-Base'!$F$3:$F$32,'Assumption-Base'!$A$3:$A$32,$B190,'Assumption-Base'!$B$3:$B$32,$C190)</f>
        <v>1.4999999999999999E-4</v>
      </c>
      <c r="L190" s="14">
        <f t="shared" si="17"/>
        <v>3050.1531799200002</v>
      </c>
      <c r="M190" s="94">
        <f t="shared" si="18"/>
        <v>86827.693855056001</v>
      </c>
      <c r="N190" s="92">
        <f>SUMIFS('Assumption-Base'!$G$3:$G$32,'Assumption-Base'!$A$3:$A$32,$B190,'Assumption-Base'!$B$3:$B$32,$C190)</f>
        <v>0.4</v>
      </c>
      <c r="O190" s="14">
        <f t="shared" si="19"/>
        <v>52869.321785280008</v>
      </c>
      <c r="P190" s="94">
        <f t="shared" si="20"/>
        <v>33958.372069775993</v>
      </c>
    </row>
    <row r="191" spans="1:16" x14ac:dyDescent="0.35">
      <c r="A191" s="91" t="str">
        <f>LEFT('2025 actual v budget'!A191,4)&amp;"26"</f>
        <v>Jul-26</v>
      </c>
      <c r="B191" s="12" t="str">
        <f>'2025 actual v budget'!B191</f>
        <v>Germany</v>
      </c>
      <c r="C191" s="12" t="str">
        <f>'2025 actual v budget'!C191</f>
        <v>Treasury Yield</v>
      </c>
      <c r="D191" s="14">
        <f>'2025 actual v budget'!D191</f>
        <v>4896004.96</v>
      </c>
      <c r="E191" s="92">
        <f>SUMIFS('Assumption-Base'!$C$3:$C$32,'Assumption-Base'!$A$3:$A$32,$B191,'Assumption-Base'!$B$3:$B$32,$C191)</f>
        <v>0.06</v>
      </c>
      <c r="F191" s="14">
        <f t="shared" si="14"/>
        <v>5189765.2576000001</v>
      </c>
      <c r="G191" s="93">
        <f>SUMIFS('Assumption-Base'!$D$3:$D$32,'Assumption-Base'!$A$3:$A$32,$B191,'Assumption-Base'!$B$3:$B$32,$C191)</f>
        <v>3.0000000000000001E-3</v>
      </c>
      <c r="H191" s="94">
        <f t="shared" si="15"/>
        <v>15569.2957728</v>
      </c>
      <c r="I191" s="92">
        <f>SUMIFS('Assumption-Base'!$E$3:$E$32,'Assumption-Base'!$A$3:$A$32,$B191,'Assumption-Base'!$B$3:$B$32,$C191)</f>
        <v>0.18</v>
      </c>
      <c r="J191" s="14">
        <f t="shared" si="16"/>
        <v>2802.4732391039997</v>
      </c>
      <c r="K191" s="95">
        <f>SUMIFS('Assumption-Base'!$F$3:$F$32,'Assumption-Base'!$A$3:$A$32,$B191,'Assumption-Base'!$B$3:$B$32,$C191)</f>
        <v>1.4999999999999999E-4</v>
      </c>
      <c r="L191" s="14">
        <f t="shared" si="17"/>
        <v>778.46478863999994</v>
      </c>
      <c r="M191" s="94">
        <f t="shared" si="18"/>
        <v>11988.357745056001</v>
      </c>
      <c r="N191" s="92">
        <f>SUMIFS('Assumption-Base'!$G$3:$G$32,'Assumption-Base'!$A$3:$A$32,$B191,'Assumption-Base'!$B$3:$B$32,$C191)</f>
        <v>0.4</v>
      </c>
      <c r="O191" s="14">
        <f t="shared" si="19"/>
        <v>6227.7183091200004</v>
      </c>
      <c r="P191" s="94">
        <f t="shared" si="20"/>
        <v>5760.6394359360002</v>
      </c>
    </row>
    <row r="192" spans="1:16" x14ac:dyDescent="0.35">
      <c r="A192" s="91" t="str">
        <f>LEFT('2025 actual v budget'!A192,4)&amp;"26"</f>
        <v>Jul-26</v>
      </c>
      <c r="B192" s="12" t="str">
        <f>'2025 actual v budget'!B192</f>
        <v>Germany</v>
      </c>
      <c r="C192" s="12" t="str">
        <f>'2025 actual v budget'!C192</f>
        <v>Virtual Accounts</v>
      </c>
      <c r="D192" s="14">
        <f>'2025 actual v budget'!D192</f>
        <v>7211041.6399999997</v>
      </c>
      <c r="E192" s="92">
        <f>SUMIFS('Assumption-Base'!$C$3:$C$32,'Assumption-Base'!$A$3:$A$32,$B192,'Assumption-Base'!$B$3:$B$32,$C192)</f>
        <v>0.06</v>
      </c>
      <c r="F192" s="14">
        <f t="shared" si="14"/>
        <v>7643704.1383999996</v>
      </c>
      <c r="G192" s="93">
        <f>SUMIFS('Assumption-Base'!$D$3:$D$32,'Assumption-Base'!$A$3:$A$32,$B192,'Assumption-Base'!$B$3:$B$32,$C192)</f>
        <v>4.4999999999999997E-3</v>
      </c>
      <c r="H192" s="94">
        <f t="shared" si="15"/>
        <v>34396.668622799996</v>
      </c>
      <c r="I192" s="92">
        <f>SUMIFS('Assumption-Base'!$E$3:$E$32,'Assumption-Base'!$A$3:$A$32,$B192,'Assumption-Base'!$B$3:$B$32,$C192)</f>
        <v>0.22</v>
      </c>
      <c r="J192" s="14">
        <f t="shared" si="16"/>
        <v>7567.2670970159988</v>
      </c>
      <c r="K192" s="95">
        <f>SUMIFS('Assumption-Base'!$F$3:$F$32,'Assumption-Base'!$A$3:$A$32,$B192,'Assumption-Base'!$B$3:$B$32,$C192)</f>
        <v>1.4999999999999999E-4</v>
      </c>
      <c r="L192" s="14">
        <f t="shared" si="17"/>
        <v>1146.5556207599998</v>
      </c>
      <c r="M192" s="94">
        <f t="shared" si="18"/>
        <v>25682.845905023998</v>
      </c>
      <c r="N192" s="92">
        <f>SUMIFS('Assumption-Base'!$G$3:$G$32,'Assumption-Base'!$A$3:$A$32,$B192,'Assumption-Base'!$B$3:$B$32,$C192)</f>
        <v>0.4</v>
      </c>
      <c r="O192" s="14">
        <f t="shared" si="19"/>
        <v>13758.667449119999</v>
      </c>
      <c r="P192" s="94">
        <f t="shared" si="20"/>
        <v>11924.178455903999</v>
      </c>
    </row>
    <row r="193" spans="1:16" x14ac:dyDescent="0.35">
      <c r="A193" s="91" t="str">
        <f>LEFT('2025 actual v budget'!A193,4)&amp;"26"</f>
        <v>Jul-26</v>
      </c>
      <c r="B193" s="12" t="str">
        <f>'2025 actual v budget'!B193</f>
        <v>India</v>
      </c>
      <c r="C193" s="12" t="str">
        <f>'2025 actual v budget'!C193</f>
        <v>Cross-border Payouts</v>
      </c>
      <c r="D193" s="14">
        <f>'2025 actual v budget'!D193</f>
        <v>10576161.08</v>
      </c>
      <c r="E193" s="92">
        <f>SUMIFS('Assumption-Base'!$C$3:$C$32,'Assumption-Base'!$A$3:$A$32,$B193,'Assumption-Base'!$B$3:$B$32,$C193)</f>
        <v>0.12</v>
      </c>
      <c r="F193" s="14">
        <f t="shared" si="14"/>
        <v>11845300.409600001</v>
      </c>
      <c r="G193" s="93">
        <f>SUMIFS('Assumption-Base'!$D$3:$D$32,'Assumption-Base'!$A$3:$A$32,$B193,'Assumption-Base'!$B$3:$B$32,$C193)</f>
        <v>7.4999999999999997E-3</v>
      </c>
      <c r="H193" s="94">
        <f t="shared" si="15"/>
        <v>88839.753072000007</v>
      </c>
      <c r="I193" s="92">
        <f>SUMIFS('Assumption-Base'!$E$3:$E$32,'Assumption-Base'!$A$3:$A$32,$B193,'Assumption-Base'!$B$3:$B$32,$C193)</f>
        <v>0.35</v>
      </c>
      <c r="J193" s="14">
        <f t="shared" si="16"/>
        <v>31093.9135752</v>
      </c>
      <c r="K193" s="95">
        <f>SUMIFS('Assumption-Base'!$F$3:$F$32,'Assumption-Base'!$A$3:$A$32,$B193,'Assumption-Base'!$B$3:$B$32,$C193)</f>
        <v>1.8000000000000001E-4</v>
      </c>
      <c r="L193" s="14">
        <f t="shared" si="17"/>
        <v>2132.1540737280002</v>
      </c>
      <c r="M193" s="94">
        <f t="shared" si="18"/>
        <v>55613.685423072006</v>
      </c>
      <c r="N193" s="92">
        <f>SUMIFS('Assumption-Base'!$G$3:$G$32,'Assumption-Base'!$A$3:$A$32,$B193,'Assumption-Base'!$B$3:$B$32,$C193)</f>
        <v>0.4</v>
      </c>
      <c r="O193" s="14">
        <f t="shared" si="19"/>
        <v>35535.901228800001</v>
      </c>
      <c r="P193" s="94">
        <f t="shared" si="20"/>
        <v>20077.784194272004</v>
      </c>
    </row>
    <row r="194" spans="1:16" x14ac:dyDescent="0.35">
      <c r="A194" s="91" t="str">
        <f>LEFT('2025 actual v budget'!A194,4)&amp;"26"</f>
        <v>Jul-26</v>
      </c>
      <c r="B194" s="12" t="str">
        <f>'2025 actual v budget'!B194</f>
        <v>India</v>
      </c>
      <c r="C194" s="12" t="str">
        <f>'2025 actual v budget'!C194</f>
        <v>FX Conversion</v>
      </c>
      <c r="D194" s="14">
        <f>'2025 actual v budget'!D194</f>
        <v>16256471.66</v>
      </c>
      <c r="E194" s="92">
        <f>SUMIFS('Assumption-Base'!$C$3:$C$32,'Assumption-Base'!$A$3:$A$32,$B194,'Assumption-Base'!$B$3:$B$32,$C194)</f>
        <v>0.12</v>
      </c>
      <c r="F194" s="14">
        <f t="shared" si="14"/>
        <v>18207248.259200003</v>
      </c>
      <c r="G194" s="93">
        <f>SUMIFS('Assumption-Base'!$D$3:$D$32,'Assumption-Base'!$A$3:$A$32,$B194,'Assumption-Base'!$B$3:$B$32,$C194)</f>
        <v>1.0500000000000001E-2</v>
      </c>
      <c r="H194" s="94">
        <f t="shared" si="15"/>
        <v>191176.10672160005</v>
      </c>
      <c r="I194" s="92">
        <f>SUMIFS('Assumption-Base'!$E$3:$E$32,'Assumption-Base'!$A$3:$A$32,$B194,'Assumption-Base'!$B$3:$B$32,$C194)</f>
        <v>0.28000000000000003</v>
      </c>
      <c r="J194" s="14">
        <f t="shared" si="16"/>
        <v>53529.309882048023</v>
      </c>
      <c r="K194" s="95">
        <f>SUMIFS('Assumption-Base'!$F$3:$F$32,'Assumption-Base'!$A$3:$A$32,$B194,'Assumption-Base'!$B$3:$B$32,$C194)</f>
        <v>1.8000000000000001E-4</v>
      </c>
      <c r="L194" s="14">
        <f t="shared" si="17"/>
        <v>3277.3046866560007</v>
      </c>
      <c r="M194" s="94">
        <f t="shared" si="18"/>
        <v>134369.49215289604</v>
      </c>
      <c r="N194" s="92">
        <f>SUMIFS('Assumption-Base'!$G$3:$G$32,'Assumption-Base'!$A$3:$A$32,$B194,'Assumption-Base'!$B$3:$B$32,$C194)</f>
        <v>0.4</v>
      </c>
      <c r="O194" s="14">
        <f t="shared" si="19"/>
        <v>76470.442688640018</v>
      </c>
      <c r="P194" s="94">
        <f t="shared" si="20"/>
        <v>57899.049464256022</v>
      </c>
    </row>
    <row r="195" spans="1:16" x14ac:dyDescent="0.35">
      <c r="A195" s="91" t="str">
        <f>LEFT('2025 actual v budget'!A195,4)&amp;"26"</f>
        <v>Jul-26</v>
      </c>
      <c r="B195" s="12" t="str">
        <f>'2025 actual v budget'!B195</f>
        <v>India</v>
      </c>
      <c r="C195" s="12" t="str">
        <f>'2025 actual v budget'!C195</f>
        <v>Stablecoin Settlement</v>
      </c>
      <c r="D195" s="14">
        <f>'2025 actual v budget'!D195</f>
        <v>25479701.079999998</v>
      </c>
      <c r="E195" s="92">
        <f>SUMIFS('Assumption-Base'!$C$3:$C$32,'Assumption-Base'!$A$3:$A$32,$B195,'Assumption-Base'!$B$3:$B$32,$C195)</f>
        <v>0.24</v>
      </c>
      <c r="F195" s="14">
        <f t="shared" ref="F195:F258" si="21">D195*(1+E195)</f>
        <v>31594829.339199997</v>
      </c>
      <c r="G195" s="93">
        <f>SUMIFS('Assumption-Base'!$D$3:$D$32,'Assumption-Base'!$A$3:$A$32,$B195,'Assumption-Base'!$B$3:$B$32,$C195)</f>
        <v>6.4999999999999997E-3</v>
      </c>
      <c r="H195" s="94">
        <f t="shared" ref="H195:H258" si="22">F195*G195</f>
        <v>205366.39070479997</v>
      </c>
      <c r="I195" s="92">
        <f>SUMIFS('Assumption-Base'!$E$3:$E$32,'Assumption-Base'!$A$3:$A$32,$B195,'Assumption-Base'!$B$3:$B$32,$C195)</f>
        <v>0.32</v>
      </c>
      <c r="J195" s="14">
        <f t="shared" ref="J195:J258" si="23">H195*I195</f>
        <v>65717.245025535987</v>
      </c>
      <c r="K195" s="95">
        <f>SUMIFS('Assumption-Base'!$F$3:$F$32,'Assumption-Base'!$A$3:$A$32,$B195,'Assumption-Base'!$B$3:$B$32,$C195)</f>
        <v>1.8000000000000001E-4</v>
      </c>
      <c r="L195" s="14">
        <f t="shared" ref="L195:L258" si="24">F195*K195</f>
        <v>5687.0692810559995</v>
      </c>
      <c r="M195" s="94">
        <f t="shared" ref="M195:M258" si="25">H195-J195-L195</f>
        <v>133962.07639820798</v>
      </c>
      <c r="N195" s="92">
        <f>SUMIFS('Assumption-Base'!$G$3:$G$32,'Assumption-Base'!$A$3:$A$32,$B195,'Assumption-Base'!$B$3:$B$32,$C195)</f>
        <v>0.4</v>
      </c>
      <c r="O195" s="14">
        <f t="shared" ref="O195:O258" si="26">H195*N195</f>
        <v>82146.556281919999</v>
      </c>
      <c r="P195" s="94">
        <f t="shared" ref="P195:P258" si="27">M195-O195</f>
        <v>51815.520116287982</v>
      </c>
    </row>
    <row r="196" spans="1:16" x14ac:dyDescent="0.35">
      <c r="A196" s="91" t="str">
        <f>LEFT('2025 actual v budget'!A196,4)&amp;"26"</f>
        <v>Jul-26</v>
      </c>
      <c r="B196" s="12" t="str">
        <f>'2025 actual v budget'!B196</f>
        <v>India</v>
      </c>
      <c r="C196" s="12" t="str">
        <f>'2025 actual v budget'!C196</f>
        <v>Treasury Yield</v>
      </c>
      <c r="D196" s="14">
        <f>'2025 actual v budget'!D196</f>
        <v>6876594.2000000002</v>
      </c>
      <c r="E196" s="92">
        <f>SUMIFS('Assumption-Base'!$C$3:$C$32,'Assumption-Base'!$A$3:$A$32,$B196,'Assumption-Base'!$B$3:$B$32,$C196)</f>
        <v>0.12</v>
      </c>
      <c r="F196" s="14">
        <f t="shared" si="21"/>
        <v>7701785.5040000007</v>
      </c>
      <c r="G196" s="93">
        <f>SUMIFS('Assumption-Base'!$D$3:$D$32,'Assumption-Base'!$A$3:$A$32,$B196,'Assumption-Base'!$B$3:$B$32,$C196)</f>
        <v>3.0000000000000001E-3</v>
      </c>
      <c r="H196" s="94">
        <f t="shared" si="22"/>
        <v>23105.356512000002</v>
      </c>
      <c r="I196" s="92">
        <f>SUMIFS('Assumption-Base'!$E$3:$E$32,'Assumption-Base'!$A$3:$A$32,$B196,'Assumption-Base'!$B$3:$B$32,$C196)</f>
        <v>0.18</v>
      </c>
      <c r="J196" s="14">
        <f t="shared" si="23"/>
        <v>4158.9641721600001</v>
      </c>
      <c r="K196" s="95">
        <f>SUMIFS('Assumption-Base'!$F$3:$F$32,'Assumption-Base'!$A$3:$A$32,$B196,'Assumption-Base'!$B$3:$B$32,$C196)</f>
        <v>1.8000000000000001E-4</v>
      </c>
      <c r="L196" s="14">
        <f t="shared" si="24"/>
        <v>1386.3213907200002</v>
      </c>
      <c r="M196" s="94">
        <f t="shared" si="25"/>
        <v>17560.07094912</v>
      </c>
      <c r="N196" s="92">
        <f>SUMIFS('Assumption-Base'!$G$3:$G$32,'Assumption-Base'!$A$3:$A$32,$B196,'Assumption-Base'!$B$3:$B$32,$C196)</f>
        <v>0.4</v>
      </c>
      <c r="O196" s="14">
        <f t="shared" si="26"/>
        <v>9242.1426048000012</v>
      </c>
      <c r="P196" s="94">
        <f t="shared" si="27"/>
        <v>8317.9283443199984</v>
      </c>
    </row>
    <row r="197" spans="1:16" x14ac:dyDescent="0.35">
      <c r="A197" s="91" t="str">
        <f>LEFT('2025 actual v budget'!A197,4)&amp;"26"</f>
        <v>Jul-26</v>
      </c>
      <c r="B197" s="12" t="str">
        <f>'2025 actual v budget'!B197</f>
        <v>India</v>
      </c>
      <c r="C197" s="12" t="str">
        <f>'2025 actual v budget'!C197</f>
        <v>Virtual Accounts</v>
      </c>
      <c r="D197" s="14">
        <f>'2025 actual v budget'!D197</f>
        <v>10128136.609999999</v>
      </c>
      <c r="E197" s="92">
        <f>SUMIFS('Assumption-Base'!$C$3:$C$32,'Assumption-Base'!$A$3:$A$32,$B197,'Assumption-Base'!$B$3:$B$32,$C197)</f>
        <v>0.12</v>
      </c>
      <c r="F197" s="14">
        <f t="shared" si="21"/>
        <v>11343513.0032</v>
      </c>
      <c r="G197" s="93">
        <f>SUMIFS('Assumption-Base'!$D$3:$D$32,'Assumption-Base'!$A$3:$A$32,$B197,'Assumption-Base'!$B$3:$B$32,$C197)</f>
        <v>4.4999999999999997E-3</v>
      </c>
      <c r="H197" s="94">
        <f t="shared" si="22"/>
        <v>51045.8085144</v>
      </c>
      <c r="I197" s="92">
        <f>SUMIFS('Assumption-Base'!$E$3:$E$32,'Assumption-Base'!$A$3:$A$32,$B197,'Assumption-Base'!$B$3:$B$32,$C197)</f>
        <v>0.22</v>
      </c>
      <c r="J197" s="14">
        <f t="shared" si="23"/>
        <v>11230.077873168</v>
      </c>
      <c r="K197" s="95">
        <f>SUMIFS('Assumption-Base'!$F$3:$F$32,'Assumption-Base'!$A$3:$A$32,$B197,'Assumption-Base'!$B$3:$B$32,$C197)</f>
        <v>1.8000000000000001E-4</v>
      </c>
      <c r="L197" s="14">
        <f t="shared" si="24"/>
        <v>2041.8323405760002</v>
      </c>
      <c r="M197" s="94">
        <f t="shared" si="25"/>
        <v>37773.898300656001</v>
      </c>
      <c r="N197" s="92">
        <f>SUMIFS('Assumption-Base'!$G$3:$G$32,'Assumption-Base'!$A$3:$A$32,$B197,'Assumption-Base'!$B$3:$B$32,$C197)</f>
        <v>0.4</v>
      </c>
      <c r="O197" s="14">
        <f t="shared" si="26"/>
        <v>20418.323405760002</v>
      </c>
      <c r="P197" s="94">
        <f t="shared" si="27"/>
        <v>17355.574894895999</v>
      </c>
    </row>
    <row r="198" spans="1:16" x14ac:dyDescent="0.35">
      <c r="A198" s="91" t="str">
        <f>LEFT('2025 actual v budget'!A198,4)&amp;"26"</f>
        <v>Jul-26</v>
      </c>
      <c r="B198" s="12" t="str">
        <f>'2025 actual v budget'!B198</f>
        <v>Mexico</v>
      </c>
      <c r="C198" s="12" t="str">
        <f>'2025 actual v budget'!C198</f>
        <v>Cross-border Payouts</v>
      </c>
      <c r="D198" s="14">
        <f>'2025 actual v budget'!D198</f>
        <v>12569850.51</v>
      </c>
      <c r="E198" s="92">
        <f>SUMIFS('Assumption-Base'!$C$3:$C$32,'Assumption-Base'!$A$3:$A$32,$B198,'Assumption-Base'!$B$3:$B$32,$C198)</f>
        <v>0.15</v>
      </c>
      <c r="F198" s="14">
        <f t="shared" si="21"/>
        <v>14455328.086499998</v>
      </c>
      <c r="G198" s="93">
        <f>SUMIFS('Assumption-Base'!$D$3:$D$32,'Assumption-Base'!$A$3:$A$32,$B198,'Assumption-Base'!$B$3:$B$32,$C198)</f>
        <v>7.4999999999999997E-3</v>
      </c>
      <c r="H198" s="94">
        <f t="shared" si="22"/>
        <v>108414.96064874998</v>
      </c>
      <c r="I198" s="92">
        <f>SUMIFS('Assumption-Base'!$E$3:$E$32,'Assumption-Base'!$A$3:$A$32,$B198,'Assumption-Base'!$B$3:$B$32,$C198)</f>
        <v>0.35</v>
      </c>
      <c r="J198" s="14">
        <f t="shared" si="23"/>
        <v>37945.236227062494</v>
      </c>
      <c r="K198" s="95">
        <f>SUMIFS('Assumption-Base'!$F$3:$F$32,'Assumption-Base'!$A$3:$A$32,$B198,'Assumption-Base'!$B$3:$B$32,$C198)</f>
        <v>8.0000000000000007E-5</v>
      </c>
      <c r="L198" s="14">
        <f t="shared" si="24"/>
        <v>1156.42624692</v>
      </c>
      <c r="M198" s="94">
        <f t="shared" si="25"/>
        <v>69313.298174767478</v>
      </c>
      <c r="N198" s="92">
        <f>SUMIFS('Assumption-Base'!$G$3:$G$32,'Assumption-Base'!$A$3:$A$32,$B198,'Assumption-Base'!$B$3:$B$32,$C198)</f>
        <v>0.4</v>
      </c>
      <c r="O198" s="14">
        <f t="shared" si="26"/>
        <v>43365.984259499994</v>
      </c>
      <c r="P198" s="94">
        <f t="shared" si="27"/>
        <v>25947.313915267485</v>
      </c>
    </row>
    <row r="199" spans="1:16" x14ac:dyDescent="0.35">
      <c r="A199" s="91" t="str">
        <f>LEFT('2025 actual v budget'!A199,4)&amp;"26"</f>
        <v>Jul-26</v>
      </c>
      <c r="B199" s="12" t="str">
        <f>'2025 actual v budget'!B199</f>
        <v>Mexico</v>
      </c>
      <c r="C199" s="12" t="str">
        <f>'2025 actual v budget'!C199</f>
        <v>FX Conversion</v>
      </c>
      <c r="D199" s="14">
        <f>'2025 actual v budget'!D199</f>
        <v>19318413.050000001</v>
      </c>
      <c r="E199" s="92">
        <f>SUMIFS('Assumption-Base'!$C$3:$C$32,'Assumption-Base'!$A$3:$A$32,$B199,'Assumption-Base'!$B$3:$B$32,$C199)</f>
        <v>0.15</v>
      </c>
      <c r="F199" s="14">
        <f t="shared" si="21"/>
        <v>22216175.0075</v>
      </c>
      <c r="G199" s="93">
        <f>SUMIFS('Assumption-Base'!$D$3:$D$32,'Assumption-Base'!$A$3:$A$32,$B199,'Assumption-Base'!$B$3:$B$32,$C199)</f>
        <v>1.0500000000000001E-2</v>
      </c>
      <c r="H199" s="94">
        <f t="shared" si="22"/>
        <v>233269.83757875001</v>
      </c>
      <c r="I199" s="92">
        <f>SUMIFS('Assumption-Base'!$E$3:$E$32,'Assumption-Base'!$A$3:$A$32,$B199,'Assumption-Base'!$B$3:$B$32,$C199)</f>
        <v>0.28000000000000003</v>
      </c>
      <c r="J199" s="14">
        <f t="shared" si="23"/>
        <v>65315.554522050006</v>
      </c>
      <c r="K199" s="95">
        <f>SUMIFS('Assumption-Base'!$F$3:$F$32,'Assumption-Base'!$A$3:$A$32,$B199,'Assumption-Base'!$B$3:$B$32,$C199)</f>
        <v>8.0000000000000007E-5</v>
      </c>
      <c r="L199" s="14">
        <f t="shared" si="24"/>
        <v>1777.2940006000001</v>
      </c>
      <c r="M199" s="94">
        <f t="shared" si="25"/>
        <v>166176.98905610002</v>
      </c>
      <c r="N199" s="92">
        <f>SUMIFS('Assumption-Base'!$G$3:$G$32,'Assumption-Base'!$A$3:$A$32,$B199,'Assumption-Base'!$B$3:$B$32,$C199)</f>
        <v>0.4</v>
      </c>
      <c r="O199" s="14">
        <f t="shared" si="26"/>
        <v>93307.935031500005</v>
      </c>
      <c r="P199" s="94">
        <f t="shared" si="27"/>
        <v>72869.054024600016</v>
      </c>
    </row>
    <row r="200" spans="1:16" x14ac:dyDescent="0.35">
      <c r="A200" s="91" t="str">
        <f>LEFT('2025 actual v budget'!A200,4)&amp;"26"</f>
        <v>Jul-26</v>
      </c>
      <c r="B200" s="12" t="str">
        <f>'2025 actual v budget'!B200</f>
        <v>Mexico</v>
      </c>
      <c r="C200" s="12" t="str">
        <f>'2025 actual v budget'!C200</f>
        <v>Stablecoin Settlement</v>
      </c>
      <c r="D200" s="14">
        <f>'2025 actual v budget'!D200</f>
        <v>30282824.870000001</v>
      </c>
      <c r="E200" s="92">
        <f>SUMIFS('Assumption-Base'!$C$3:$C$32,'Assumption-Base'!$A$3:$A$32,$B200,'Assumption-Base'!$B$3:$B$32,$C200)</f>
        <v>0.3</v>
      </c>
      <c r="F200" s="14">
        <f t="shared" si="21"/>
        <v>39367672.331</v>
      </c>
      <c r="G200" s="93">
        <f>SUMIFS('Assumption-Base'!$D$3:$D$32,'Assumption-Base'!$A$3:$A$32,$B200,'Assumption-Base'!$B$3:$B$32,$C200)</f>
        <v>6.4999999999999997E-3</v>
      </c>
      <c r="H200" s="94">
        <f t="shared" si="22"/>
        <v>255889.87015149998</v>
      </c>
      <c r="I200" s="92">
        <f>SUMIFS('Assumption-Base'!$E$3:$E$32,'Assumption-Base'!$A$3:$A$32,$B200,'Assumption-Base'!$B$3:$B$32,$C200)</f>
        <v>0.32</v>
      </c>
      <c r="J200" s="14">
        <f t="shared" si="23"/>
        <v>81884.758448480003</v>
      </c>
      <c r="K200" s="95">
        <f>SUMIFS('Assumption-Base'!$F$3:$F$32,'Assumption-Base'!$A$3:$A$32,$B200,'Assumption-Base'!$B$3:$B$32,$C200)</f>
        <v>8.0000000000000007E-5</v>
      </c>
      <c r="L200" s="14">
        <f t="shared" si="24"/>
        <v>3149.4137864800005</v>
      </c>
      <c r="M200" s="94">
        <f t="shared" si="25"/>
        <v>170855.69791654</v>
      </c>
      <c r="N200" s="92">
        <f>SUMIFS('Assumption-Base'!$G$3:$G$32,'Assumption-Base'!$A$3:$A$32,$B200,'Assumption-Base'!$B$3:$B$32,$C200)</f>
        <v>0.4</v>
      </c>
      <c r="O200" s="14">
        <f t="shared" si="26"/>
        <v>102355.9480606</v>
      </c>
      <c r="P200" s="94">
        <f t="shared" si="27"/>
        <v>68499.749855939997</v>
      </c>
    </row>
    <row r="201" spans="1:16" x14ac:dyDescent="0.35">
      <c r="A201" s="91" t="str">
        <f>LEFT('2025 actual v budget'!A201,4)&amp;"26"</f>
        <v>Jul-26</v>
      </c>
      <c r="B201" s="12" t="str">
        <f>'2025 actual v budget'!B201</f>
        <v>Mexico</v>
      </c>
      <c r="C201" s="12" t="str">
        <f>'2025 actual v budget'!C201</f>
        <v>Treasury Yield</v>
      </c>
      <c r="D201" s="14">
        <f>'2025 actual v budget'!D201</f>
        <v>8171815.5</v>
      </c>
      <c r="E201" s="92">
        <f>SUMIFS('Assumption-Base'!$C$3:$C$32,'Assumption-Base'!$A$3:$A$32,$B201,'Assumption-Base'!$B$3:$B$32,$C201)</f>
        <v>0.15</v>
      </c>
      <c r="F201" s="14">
        <f t="shared" si="21"/>
        <v>9397587.8249999993</v>
      </c>
      <c r="G201" s="93">
        <f>SUMIFS('Assumption-Base'!$D$3:$D$32,'Assumption-Base'!$A$3:$A$32,$B201,'Assumption-Base'!$B$3:$B$32,$C201)</f>
        <v>3.0000000000000001E-3</v>
      </c>
      <c r="H201" s="94">
        <f t="shared" si="22"/>
        <v>28192.763475</v>
      </c>
      <c r="I201" s="92">
        <f>SUMIFS('Assumption-Base'!$E$3:$E$32,'Assumption-Base'!$A$3:$A$32,$B201,'Assumption-Base'!$B$3:$B$32,$C201)</f>
        <v>0.18</v>
      </c>
      <c r="J201" s="14">
        <f t="shared" si="23"/>
        <v>5074.6974254999996</v>
      </c>
      <c r="K201" s="95">
        <f>SUMIFS('Assumption-Base'!$F$3:$F$32,'Assumption-Base'!$A$3:$A$32,$B201,'Assumption-Base'!$B$3:$B$32,$C201)</f>
        <v>8.0000000000000007E-5</v>
      </c>
      <c r="L201" s="14">
        <f t="shared" si="24"/>
        <v>751.80702599999995</v>
      </c>
      <c r="M201" s="94">
        <f t="shared" si="25"/>
        <v>22366.259023500003</v>
      </c>
      <c r="N201" s="92">
        <f>SUMIFS('Assumption-Base'!$G$3:$G$32,'Assumption-Base'!$A$3:$A$32,$B201,'Assumption-Base'!$B$3:$B$32,$C201)</f>
        <v>0.4</v>
      </c>
      <c r="O201" s="14">
        <f t="shared" si="26"/>
        <v>11277.105390000001</v>
      </c>
      <c r="P201" s="94">
        <f t="shared" si="27"/>
        <v>11089.153633500002</v>
      </c>
    </row>
    <row r="202" spans="1:16" x14ac:dyDescent="0.35">
      <c r="A202" s="91" t="str">
        <f>LEFT('2025 actual v budget'!A202,4)&amp;"26"</f>
        <v>Jul-26</v>
      </c>
      <c r="B202" s="12" t="str">
        <f>'2025 actual v budget'!B202</f>
        <v>Mexico</v>
      </c>
      <c r="C202" s="12" t="str">
        <f>'2025 actual v budget'!C202</f>
        <v>Virtual Accounts</v>
      </c>
      <c r="D202" s="14">
        <f>'2025 actual v budget'!D202</f>
        <v>12035792.92</v>
      </c>
      <c r="E202" s="92">
        <f>SUMIFS('Assumption-Base'!$C$3:$C$32,'Assumption-Base'!$A$3:$A$32,$B202,'Assumption-Base'!$B$3:$B$32,$C202)</f>
        <v>0.15</v>
      </c>
      <c r="F202" s="14">
        <f t="shared" si="21"/>
        <v>13841161.857999999</v>
      </c>
      <c r="G202" s="93">
        <f>SUMIFS('Assumption-Base'!$D$3:$D$32,'Assumption-Base'!$A$3:$A$32,$B202,'Assumption-Base'!$B$3:$B$32,$C202)</f>
        <v>4.4999999999999997E-3</v>
      </c>
      <c r="H202" s="94">
        <f t="shared" si="22"/>
        <v>62285.228360999994</v>
      </c>
      <c r="I202" s="92">
        <f>SUMIFS('Assumption-Base'!$E$3:$E$32,'Assumption-Base'!$A$3:$A$32,$B202,'Assumption-Base'!$B$3:$B$32,$C202)</f>
        <v>0.22</v>
      </c>
      <c r="J202" s="14">
        <f t="shared" si="23"/>
        <v>13702.750239419998</v>
      </c>
      <c r="K202" s="95">
        <f>SUMIFS('Assumption-Base'!$F$3:$F$32,'Assumption-Base'!$A$3:$A$32,$B202,'Assumption-Base'!$B$3:$B$32,$C202)</f>
        <v>8.0000000000000007E-5</v>
      </c>
      <c r="L202" s="14">
        <f t="shared" si="24"/>
        <v>1107.2929486400001</v>
      </c>
      <c r="M202" s="94">
        <f t="shared" si="25"/>
        <v>47475.185172939993</v>
      </c>
      <c r="N202" s="92">
        <f>SUMIFS('Assumption-Base'!$G$3:$G$32,'Assumption-Base'!$A$3:$A$32,$B202,'Assumption-Base'!$B$3:$B$32,$C202)</f>
        <v>0.4</v>
      </c>
      <c r="O202" s="14">
        <f t="shared" si="26"/>
        <v>24914.0913444</v>
      </c>
      <c r="P202" s="94">
        <f t="shared" si="27"/>
        <v>22561.093828539993</v>
      </c>
    </row>
    <row r="203" spans="1:16" x14ac:dyDescent="0.35">
      <c r="A203" s="91" t="str">
        <f>LEFT('2025 actual v budget'!A203,4)&amp;"26"</f>
        <v>Jul-26</v>
      </c>
      <c r="B203" s="12" t="str">
        <f>'2025 actual v budget'!B203</f>
        <v>Singapore</v>
      </c>
      <c r="C203" s="12" t="str">
        <f>'2025 actual v budget'!C203</f>
        <v>Cross-border Payouts</v>
      </c>
      <c r="D203" s="14">
        <f>'2025 actual v budget'!D203</f>
        <v>10079076.75</v>
      </c>
      <c r="E203" s="92">
        <f>SUMIFS('Assumption-Base'!$C$3:$C$32,'Assumption-Base'!$A$3:$A$32,$B203,'Assumption-Base'!$B$3:$B$32,$C203)</f>
        <v>0.05</v>
      </c>
      <c r="F203" s="14">
        <f t="shared" si="21"/>
        <v>10583030.5875</v>
      </c>
      <c r="G203" s="93">
        <f>SUMIFS('Assumption-Base'!$D$3:$D$32,'Assumption-Base'!$A$3:$A$32,$B203,'Assumption-Base'!$B$3:$B$32,$C203)</f>
        <v>7.4999999999999997E-3</v>
      </c>
      <c r="H203" s="94">
        <f t="shared" si="22"/>
        <v>79372.72940625</v>
      </c>
      <c r="I203" s="92">
        <f>SUMIFS('Assumption-Base'!$E$3:$E$32,'Assumption-Base'!$A$3:$A$32,$B203,'Assumption-Base'!$B$3:$B$32,$C203)</f>
        <v>0.35</v>
      </c>
      <c r="J203" s="14">
        <f t="shared" si="23"/>
        <v>27780.4552921875</v>
      </c>
      <c r="K203" s="95">
        <f>SUMIFS('Assumption-Base'!$F$3:$F$32,'Assumption-Base'!$A$3:$A$32,$B203,'Assumption-Base'!$B$3:$B$32,$C203)</f>
        <v>9.0000000000000006E-5</v>
      </c>
      <c r="L203" s="14">
        <f t="shared" si="24"/>
        <v>952.47275287500008</v>
      </c>
      <c r="M203" s="94">
        <f t="shared" si="25"/>
        <v>50639.801361187499</v>
      </c>
      <c r="N203" s="92">
        <f>SUMIFS('Assumption-Base'!$G$3:$G$32,'Assumption-Base'!$A$3:$A$32,$B203,'Assumption-Base'!$B$3:$B$32,$C203)</f>
        <v>0.4</v>
      </c>
      <c r="O203" s="14">
        <f t="shared" si="26"/>
        <v>31749.0917625</v>
      </c>
      <c r="P203" s="94">
        <f t="shared" si="27"/>
        <v>18890.709598687499</v>
      </c>
    </row>
    <row r="204" spans="1:16" x14ac:dyDescent="0.35">
      <c r="A204" s="91" t="str">
        <f>LEFT('2025 actual v budget'!A204,4)&amp;"26"</f>
        <v>Jul-26</v>
      </c>
      <c r="B204" s="12" t="str">
        <f>'2025 actual v budget'!B204</f>
        <v>Singapore</v>
      </c>
      <c r="C204" s="12" t="str">
        <f>'2025 actual v budget'!C204</f>
        <v>FX Conversion</v>
      </c>
      <c r="D204" s="14">
        <f>'2025 actual v budget'!D204</f>
        <v>15484177.57</v>
      </c>
      <c r="E204" s="92">
        <f>SUMIFS('Assumption-Base'!$C$3:$C$32,'Assumption-Base'!$A$3:$A$32,$B204,'Assumption-Base'!$B$3:$B$32,$C204)</f>
        <v>0.05</v>
      </c>
      <c r="F204" s="14">
        <f t="shared" si="21"/>
        <v>16258386.448500002</v>
      </c>
      <c r="G204" s="93">
        <f>SUMIFS('Assumption-Base'!$D$3:$D$32,'Assumption-Base'!$A$3:$A$32,$B204,'Assumption-Base'!$B$3:$B$32,$C204)</f>
        <v>1.0500000000000001E-2</v>
      </c>
      <c r="H204" s="94">
        <f t="shared" si="22"/>
        <v>170713.05770925002</v>
      </c>
      <c r="I204" s="92">
        <f>SUMIFS('Assumption-Base'!$E$3:$E$32,'Assumption-Base'!$A$3:$A$32,$B204,'Assumption-Base'!$B$3:$B$32,$C204)</f>
        <v>0.28000000000000003</v>
      </c>
      <c r="J204" s="14">
        <f t="shared" si="23"/>
        <v>47799.656158590013</v>
      </c>
      <c r="K204" s="95">
        <f>SUMIFS('Assumption-Base'!$F$3:$F$32,'Assumption-Base'!$A$3:$A$32,$B204,'Assumption-Base'!$B$3:$B$32,$C204)</f>
        <v>9.0000000000000006E-5</v>
      </c>
      <c r="L204" s="14">
        <f t="shared" si="24"/>
        <v>1463.2547803650002</v>
      </c>
      <c r="M204" s="94">
        <f t="shared" si="25"/>
        <v>121450.146770295</v>
      </c>
      <c r="N204" s="92">
        <f>SUMIFS('Assumption-Base'!$G$3:$G$32,'Assumption-Base'!$A$3:$A$32,$B204,'Assumption-Base'!$B$3:$B$32,$C204)</f>
        <v>0.4</v>
      </c>
      <c r="O204" s="14">
        <f t="shared" si="26"/>
        <v>68285.22308370001</v>
      </c>
      <c r="P204" s="94">
        <f t="shared" si="27"/>
        <v>53164.923686594993</v>
      </c>
    </row>
    <row r="205" spans="1:16" x14ac:dyDescent="0.35">
      <c r="A205" s="91" t="str">
        <f>LEFT('2025 actual v budget'!A205,4)&amp;"26"</f>
        <v>Jul-26</v>
      </c>
      <c r="B205" s="12" t="str">
        <f>'2025 actual v budget'!B205</f>
        <v>Singapore</v>
      </c>
      <c r="C205" s="12" t="str">
        <f>'2025 actual v budget'!C205</f>
        <v>Stablecoin Settlement</v>
      </c>
      <c r="D205" s="14">
        <f>'2025 actual v budget'!D205</f>
        <v>24282143.68</v>
      </c>
      <c r="E205" s="92">
        <f>SUMIFS('Assumption-Base'!$C$3:$C$32,'Assumption-Base'!$A$3:$A$32,$B205,'Assumption-Base'!$B$3:$B$32,$C205)</f>
        <v>0.1</v>
      </c>
      <c r="F205" s="14">
        <f t="shared" si="21"/>
        <v>26710358.048</v>
      </c>
      <c r="G205" s="93">
        <f>SUMIFS('Assumption-Base'!$D$3:$D$32,'Assumption-Base'!$A$3:$A$32,$B205,'Assumption-Base'!$B$3:$B$32,$C205)</f>
        <v>6.4999999999999997E-3</v>
      </c>
      <c r="H205" s="94">
        <f t="shared" si="22"/>
        <v>173617.32731200001</v>
      </c>
      <c r="I205" s="92">
        <f>SUMIFS('Assumption-Base'!$E$3:$E$32,'Assumption-Base'!$A$3:$A$32,$B205,'Assumption-Base'!$B$3:$B$32,$C205)</f>
        <v>0.32</v>
      </c>
      <c r="J205" s="14">
        <f t="shared" si="23"/>
        <v>55557.544739840007</v>
      </c>
      <c r="K205" s="95">
        <f>SUMIFS('Assumption-Base'!$F$3:$F$32,'Assumption-Base'!$A$3:$A$32,$B205,'Assumption-Base'!$B$3:$B$32,$C205)</f>
        <v>9.0000000000000006E-5</v>
      </c>
      <c r="L205" s="14">
        <f t="shared" si="24"/>
        <v>2403.9322243200004</v>
      </c>
      <c r="M205" s="94">
        <f t="shared" si="25"/>
        <v>115655.85034784001</v>
      </c>
      <c r="N205" s="92">
        <f>SUMIFS('Assumption-Base'!$G$3:$G$32,'Assumption-Base'!$A$3:$A$32,$B205,'Assumption-Base'!$B$3:$B$32,$C205)</f>
        <v>0.4</v>
      </c>
      <c r="O205" s="14">
        <f t="shared" si="26"/>
        <v>69446.930924800006</v>
      </c>
      <c r="P205" s="94">
        <f t="shared" si="27"/>
        <v>46208.919423040003</v>
      </c>
    </row>
    <row r="206" spans="1:16" x14ac:dyDescent="0.35">
      <c r="A206" s="91" t="str">
        <f>LEFT('2025 actual v budget'!A206,4)&amp;"26"</f>
        <v>Jul-26</v>
      </c>
      <c r="B206" s="12" t="str">
        <f>'2025 actual v budget'!B206</f>
        <v>Singapore</v>
      </c>
      <c r="C206" s="12" t="str">
        <f>'2025 actual v budget'!C206</f>
        <v>Treasury Yield</v>
      </c>
      <c r="D206" s="14">
        <f>'2025 actual v budget'!D206</f>
        <v>6549908.7300000004</v>
      </c>
      <c r="E206" s="92">
        <f>SUMIFS('Assumption-Base'!$C$3:$C$32,'Assumption-Base'!$A$3:$A$32,$B206,'Assumption-Base'!$B$3:$B$32,$C206)</f>
        <v>0.05</v>
      </c>
      <c r="F206" s="14">
        <f t="shared" si="21"/>
        <v>6877404.1665000012</v>
      </c>
      <c r="G206" s="93">
        <f>SUMIFS('Assumption-Base'!$D$3:$D$32,'Assumption-Base'!$A$3:$A$32,$B206,'Assumption-Base'!$B$3:$B$32,$C206)</f>
        <v>3.0000000000000001E-3</v>
      </c>
      <c r="H206" s="94">
        <f t="shared" si="22"/>
        <v>20632.212499500005</v>
      </c>
      <c r="I206" s="92">
        <f>SUMIFS('Assumption-Base'!$E$3:$E$32,'Assumption-Base'!$A$3:$A$32,$B206,'Assumption-Base'!$B$3:$B$32,$C206)</f>
        <v>0.18</v>
      </c>
      <c r="J206" s="14">
        <f t="shared" si="23"/>
        <v>3713.7982499100008</v>
      </c>
      <c r="K206" s="95">
        <f>SUMIFS('Assumption-Base'!$F$3:$F$32,'Assumption-Base'!$A$3:$A$32,$B206,'Assumption-Base'!$B$3:$B$32,$C206)</f>
        <v>9.0000000000000006E-5</v>
      </c>
      <c r="L206" s="14">
        <f t="shared" si="24"/>
        <v>618.96637498500013</v>
      </c>
      <c r="M206" s="94">
        <f t="shared" si="25"/>
        <v>16299.447874605004</v>
      </c>
      <c r="N206" s="92">
        <f>SUMIFS('Assumption-Base'!$G$3:$G$32,'Assumption-Base'!$A$3:$A$32,$B206,'Assumption-Base'!$B$3:$B$32,$C206)</f>
        <v>0.4</v>
      </c>
      <c r="O206" s="14">
        <f t="shared" si="26"/>
        <v>8252.8849998000023</v>
      </c>
      <c r="P206" s="94">
        <f t="shared" si="27"/>
        <v>8046.5628748050021</v>
      </c>
    </row>
    <row r="207" spans="1:16" x14ac:dyDescent="0.35">
      <c r="A207" s="91" t="str">
        <f>LEFT('2025 actual v budget'!A207,4)&amp;"26"</f>
        <v>Jul-26</v>
      </c>
      <c r="B207" s="12" t="str">
        <f>'2025 actual v budget'!B207</f>
        <v>Singapore</v>
      </c>
      <c r="C207" s="12" t="str">
        <f>'2025 actual v budget'!C207</f>
        <v>Virtual Accounts</v>
      </c>
      <c r="D207" s="14">
        <f>'2025 actual v budget'!D207</f>
        <v>9646980.5399999991</v>
      </c>
      <c r="E207" s="92">
        <f>SUMIFS('Assumption-Base'!$C$3:$C$32,'Assumption-Base'!$A$3:$A$32,$B207,'Assumption-Base'!$B$3:$B$32,$C207)</f>
        <v>0.05</v>
      </c>
      <c r="F207" s="14">
        <f t="shared" si="21"/>
        <v>10129329.567</v>
      </c>
      <c r="G207" s="93">
        <f>SUMIFS('Assumption-Base'!$D$3:$D$32,'Assumption-Base'!$A$3:$A$32,$B207,'Assumption-Base'!$B$3:$B$32,$C207)</f>
        <v>4.4999999999999997E-3</v>
      </c>
      <c r="H207" s="94">
        <f t="shared" si="22"/>
        <v>45581.983051499992</v>
      </c>
      <c r="I207" s="92">
        <f>SUMIFS('Assumption-Base'!$E$3:$E$32,'Assumption-Base'!$A$3:$A$32,$B207,'Assumption-Base'!$B$3:$B$32,$C207)</f>
        <v>0.22</v>
      </c>
      <c r="J207" s="14">
        <f t="shared" si="23"/>
        <v>10028.036271329998</v>
      </c>
      <c r="K207" s="95">
        <f>SUMIFS('Assumption-Base'!$F$3:$F$32,'Assumption-Base'!$A$3:$A$32,$B207,'Assumption-Base'!$B$3:$B$32,$C207)</f>
        <v>9.0000000000000006E-5</v>
      </c>
      <c r="L207" s="14">
        <f t="shared" si="24"/>
        <v>911.63966103000007</v>
      </c>
      <c r="M207" s="94">
        <f t="shared" si="25"/>
        <v>34642.307119139994</v>
      </c>
      <c r="N207" s="92">
        <f>SUMIFS('Assumption-Base'!$G$3:$G$32,'Assumption-Base'!$A$3:$A$32,$B207,'Assumption-Base'!$B$3:$B$32,$C207)</f>
        <v>0.4</v>
      </c>
      <c r="O207" s="14">
        <f t="shared" si="26"/>
        <v>18232.793220599997</v>
      </c>
      <c r="P207" s="94">
        <f t="shared" si="27"/>
        <v>16409.513898539997</v>
      </c>
    </row>
    <row r="208" spans="1:16" x14ac:dyDescent="0.35">
      <c r="A208" s="91" t="str">
        <f>LEFT('2025 actual v budget'!A208,4)&amp;"26"</f>
        <v>Jul-26</v>
      </c>
      <c r="B208" s="12" t="str">
        <f>'2025 actual v budget'!B208</f>
        <v>USA</v>
      </c>
      <c r="C208" s="12" t="str">
        <f>'2025 actual v budget'!C208</f>
        <v>Cross-border Payouts</v>
      </c>
      <c r="D208" s="14">
        <f>'2025 actual v budget'!D208</f>
        <v>24489605.98</v>
      </c>
      <c r="E208" s="92">
        <f>SUMIFS('Assumption-Base'!$C$3:$C$32,'Assumption-Base'!$A$3:$A$32,$B208,'Assumption-Base'!$B$3:$B$32,$C208)</f>
        <v>0.1</v>
      </c>
      <c r="F208" s="14">
        <f t="shared" si="21"/>
        <v>26938566.578000002</v>
      </c>
      <c r="G208" s="93">
        <f>SUMIFS('Assumption-Base'!$D$3:$D$32,'Assumption-Base'!$A$3:$A$32,$B208,'Assumption-Base'!$B$3:$B$32,$C208)</f>
        <v>7.4999999999999997E-3</v>
      </c>
      <c r="H208" s="94">
        <f t="shared" si="22"/>
        <v>202039.249335</v>
      </c>
      <c r="I208" s="92">
        <f>SUMIFS('Assumption-Base'!$E$3:$E$32,'Assumption-Base'!$A$3:$A$32,$B208,'Assumption-Base'!$B$3:$B$32,$C208)</f>
        <v>0.35</v>
      </c>
      <c r="J208" s="14">
        <f t="shared" si="23"/>
        <v>70713.737267249991</v>
      </c>
      <c r="K208" s="95">
        <f>SUMIFS('Assumption-Base'!$F$3:$F$32,'Assumption-Base'!$A$3:$A$32,$B208,'Assumption-Base'!$B$3:$B$32,$C208)</f>
        <v>2.0000000000000001E-4</v>
      </c>
      <c r="L208" s="14">
        <f t="shared" si="24"/>
        <v>5387.7133156000009</v>
      </c>
      <c r="M208" s="94">
        <f t="shared" si="25"/>
        <v>125937.79875215</v>
      </c>
      <c r="N208" s="92">
        <f>SUMIFS('Assumption-Base'!$G$3:$G$32,'Assumption-Base'!$A$3:$A$32,$B208,'Assumption-Base'!$B$3:$B$32,$C208)</f>
        <v>0.4</v>
      </c>
      <c r="O208" s="14">
        <f t="shared" si="26"/>
        <v>80815.699734000009</v>
      </c>
      <c r="P208" s="94">
        <f t="shared" si="27"/>
        <v>45122.099018149995</v>
      </c>
    </row>
    <row r="209" spans="1:16" x14ac:dyDescent="0.35">
      <c r="A209" s="91" t="str">
        <f>LEFT('2025 actual v budget'!A209,4)&amp;"26"</f>
        <v>Jul-26</v>
      </c>
      <c r="B209" s="12" t="str">
        <f>'2025 actual v budget'!B209</f>
        <v>USA</v>
      </c>
      <c r="C209" s="12" t="str">
        <f>'2025 actual v budget'!C209</f>
        <v>FX Conversion</v>
      </c>
      <c r="D209" s="14">
        <f>'2025 actual v budget'!D209</f>
        <v>37617514.770000003</v>
      </c>
      <c r="E209" s="92">
        <f>SUMIFS('Assumption-Base'!$C$3:$C$32,'Assumption-Base'!$A$3:$A$32,$B209,'Assumption-Base'!$B$3:$B$32,$C209)</f>
        <v>0.1</v>
      </c>
      <c r="F209" s="14">
        <f t="shared" si="21"/>
        <v>41379266.247000009</v>
      </c>
      <c r="G209" s="93">
        <f>SUMIFS('Assumption-Base'!$D$3:$D$32,'Assumption-Base'!$A$3:$A$32,$B209,'Assumption-Base'!$B$3:$B$32,$C209)</f>
        <v>1.0500000000000001E-2</v>
      </c>
      <c r="H209" s="94">
        <f t="shared" si="22"/>
        <v>434482.29559350014</v>
      </c>
      <c r="I209" s="92">
        <f>SUMIFS('Assumption-Base'!$E$3:$E$32,'Assumption-Base'!$A$3:$A$32,$B209,'Assumption-Base'!$B$3:$B$32,$C209)</f>
        <v>0.28000000000000003</v>
      </c>
      <c r="J209" s="14">
        <f t="shared" si="23"/>
        <v>121655.04276618005</v>
      </c>
      <c r="K209" s="95">
        <f>SUMIFS('Assumption-Base'!$F$3:$F$32,'Assumption-Base'!$A$3:$A$32,$B209,'Assumption-Base'!$B$3:$B$32,$C209)</f>
        <v>2.0000000000000001E-4</v>
      </c>
      <c r="L209" s="14">
        <f t="shared" si="24"/>
        <v>8275.8532494000028</v>
      </c>
      <c r="M209" s="94">
        <f t="shared" si="25"/>
        <v>304551.39957792009</v>
      </c>
      <c r="N209" s="92">
        <f>SUMIFS('Assumption-Base'!$G$3:$G$32,'Assumption-Base'!$A$3:$A$32,$B209,'Assumption-Base'!$B$3:$B$32,$C209)</f>
        <v>0.4</v>
      </c>
      <c r="O209" s="14">
        <f t="shared" si="26"/>
        <v>173792.91823740007</v>
      </c>
      <c r="P209" s="94">
        <f t="shared" si="27"/>
        <v>130758.48134052003</v>
      </c>
    </row>
    <row r="210" spans="1:16" x14ac:dyDescent="0.35">
      <c r="A210" s="91" t="str">
        <f>LEFT('2025 actual v budget'!A210,4)&amp;"26"</f>
        <v>Jul-26</v>
      </c>
      <c r="B210" s="12" t="str">
        <f>'2025 actual v budget'!B210</f>
        <v>USA</v>
      </c>
      <c r="C210" s="12" t="str">
        <f>'2025 actual v budget'!C210</f>
        <v>Stablecoin Settlement</v>
      </c>
      <c r="D210" s="14">
        <f>'2025 actual v budget'!D210</f>
        <v>58999464.5</v>
      </c>
      <c r="E210" s="92">
        <f>SUMIFS('Assumption-Base'!$C$3:$C$32,'Assumption-Base'!$A$3:$A$32,$B210,'Assumption-Base'!$B$3:$B$32,$C210)</f>
        <v>0.2</v>
      </c>
      <c r="F210" s="14">
        <f t="shared" si="21"/>
        <v>70799357.399999991</v>
      </c>
      <c r="G210" s="93">
        <f>SUMIFS('Assumption-Base'!$D$3:$D$32,'Assumption-Base'!$A$3:$A$32,$B210,'Assumption-Base'!$B$3:$B$32,$C210)</f>
        <v>6.4999999999999997E-3</v>
      </c>
      <c r="H210" s="94">
        <f t="shared" si="22"/>
        <v>460195.82309999992</v>
      </c>
      <c r="I210" s="92">
        <f>SUMIFS('Assumption-Base'!$E$3:$E$32,'Assumption-Base'!$A$3:$A$32,$B210,'Assumption-Base'!$B$3:$B$32,$C210)</f>
        <v>0.32</v>
      </c>
      <c r="J210" s="14">
        <f t="shared" si="23"/>
        <v>147262.66339199999</v>
      </c>
      <c r="K210" s="95">
        <f>SUMIFS('Assumption-Base'!$F$3:$F$32,'Assumption-Base'!$A$3:$A$32,$B210,'Assumption-Base'!$B$3:$B$32,$C210)</f>
        <v>2.0000000000000001E-4</v>
      </c>
      <c r="L210" s="14">
        <f t="shared" si="24"/>
        <v>14159.87148</v>
      </c>
      <c r="M210" s="94">
        <f t="shared" si="25"/>
        <v>298773.28822799993</v>
      </c>
      <c r="N210" s="92">
        <f>SUMIFS('Assumption-Base'!$G$3:$G$32,'Assumption-Base'!$A$3:$A$32,$B210,'Assumption-Base'!$B$3:$B$32,$C210)</f>
        <v>0.4</v>
      </c>
      <c r="O210" s="14">
        <f t="shared" si="26"/>
        <v>184078.32923999999</v>
      </c>
      <c r="P210" s="94">
        <f t="shared" si="27"/>
        <v>114694.95898799994</v>
      </c>
    </row>
    <row r="211" spans="1:16" x14ac:dyDescent="0.35">
      <c r="A211" s="91" t="str">
        <f>LEFT('2025 actual v budget'!A211,4)&amp;"26"</f>
        <v>Jul-26</v>
      </c>
      <c r="B211" s="12" t="str">
        <f>'2025 actual v budget'!B211</f>
        <v>USA</v>
      </c>
      <c r="C211" s="12" t="str">
        <f>'2025 actual v budget'!C211</f>
        <v>Treasury Yield</v>
      </c>
      <c r="D211" s="14">
        <f>'2025 actual v budget'!D211</f>
        <v>15912455.630000001</v>
      </c>
      <c r="E211" s="92">
        <f>SUMIFS('Assumption-Base'!$C$3:$C$32,'Assumption-Base'!$A$3:$A$32,$B211,'Assumption-Base'!$B$3:$B$32,$C211)</f>
        <v>0.1</v>
      </c>
      <c r="F211" s="14">
        <f t="shared" si="21"/>
        <v>17503701.193000004</v>
      </c>
      <c r="G211" s="93">
        <f>SUMIFS('Assumption-Base'!$D$3:$D$32,'Assumption-Base'!$A$3:$A$32,$B211,'Assumption-Base'!$B$3:$B$32,$C211)</f>
        <v>3.0000000000000001E-3</v>
      </c>
      <c r="H211" s="94">
        <f t="shared" si="22"/>
        <v>52511.10357900001</v>
      </c>
      <c r="I211" s="92">
        <f>SUMIFS('Assumption-Base'!$E$3:$E$32,'Assumption-Base'!$A$3:$A$32,$B211,'Assumption-Base'!$B$3:$B$32,$C211)</f>
        <v>0.18</v>
      </c>
      <c r="J211" s="14">
        <f t="shared" si="23"/>
        <v>9451.9986442200006</v>
      </c>
      <c r="K211" s="95">
        <f>SUMIFS('Assumption-Base'!$F$3:$F$32,'Assumption-Base'!$A$3:$A$32,$B211,'Assumption-Base'!$B$3:$B$32,$C211)</f>
        <v>2.0000000000000001E-4</v>
      </c>
      <c r="L211" s="14">
        <f t="shared" si="24"/>
        <v>3500.7402386000008</v>
      </c>
      <c r="M211" s="94">
        <f t="shared" si="25"/>
        <v>39558.364696180004</v>
      </c>
      <c r="N211" s="92">
        <f>SUMIFS('Assumption-Base'!$G$3:$G$32,'Assumption-Base'!$A$3:$A$32,$B211,'Assumption-Base'!$B$3:$B$32,$C211)</f>
        <v>0.4</v>
      </c>
      <c r="O211" s="14">
        <f t="shared" si="26"/>
        <v>21004.441431600004</v>
      </c>
      <c r="P211" s="94">
        <f t="shared" si="27"/>
        <v>18553.92326458</v>
      </c>
    </row>
    <row r="212" spans="1:16" x14ac:dyDescent="0.35">
      <c r="A212" s="91" t="str">
        <f>LEFT('2025 actual v budget'!A212,4)&amp;"26"</f>
        <v>Jul-26</v>
      </c>
      <c r="B212" s="12" t="str">
        <f>'2025 actual v budget'!B212</f>
        <v>USA</v>
      </c>
      <c r="C212" s="12" t="str">
        <f>'2025 actual v budget'!C212</f>
        <v>Virtual Accounts</v>
      </c>
      <c r="D212" s="14">
        <f>'2025 actual v budget'!D212</f>
        <v>23436532.629999999</v>
      </c>
      <c r="E212" s="92">
        <f>SUMIFS('Assumption-Base'!$C$3:$C$32,'Assumption-Base'!$A$3:$A$32,$B212,'Assumption-Base'!$B$3:$B$32,$C212)</f>
        <v>0.1</v>
      </c>
      <c r="F212" s="14">
        <f t="shared" si="21"/>
        <v>25780185.892999999</v>
      </c>
      <c r="G212" s="93">
        <f>SUMIFS('Assumption-Base'!$D$3:$D$32,'Assumption-Base'!$A$3:$A$32,$B212,'Assumption-Base'!$B$3:$B$32,$C212)</f>
        <v>4.4999999999999997E-3</v>
      </c>
      <c r="H212" s="94">
        <f t="shared" si="22"/>
        <v>116010.83651849999</v>
      </c>
      <c r="I212" s="92">
        <f>SUMIFS('Assumption-Base'!$E$3:$E$32,'Assumption-Base'!$A$3:$A$32,$B212,'Assumption-Base'!$B$3:$B$32,$C212)</f>
        <v>0.22</v>
      </c>
      <c r="J212" s="14">
        <f t="shared" si="23"/>
        <v>25522.384034069997</v>
      </c>
      <c r="K212" s="95">
        <f>SUMIFS('Assumption-Base'!$F$3:$F$32,'Assumption-Base'!$A$3:$A$32,$B212,'Assumption-Base'!$B$3:$B$32,$C212)</f>
        <v>2.0000000000000001E-4</v>
      </c>
      <c r="L212" s="14">
        <f t="shared" si="24"/>
        <v>5156.0371786000005</v>
      </c>
      <c r="M212" s="94">
        <f t="shared" si="25"/>
        <v>85332.415305829985</v>
      </c>
      <c r="N212" s="92">
        <f>SUMIFS('Assumption-Base'!$G$3:$G$32,'Assumption-Base'!$A$3:$A$32,$B212,'Assumption-Base'!$B$3:$B$32,$C212)</f>
        <v>0.4</v>
      </c>
      <c r="O212" s="14">
        <f t="shared" si="26"/>
        <v>46404.3346074</v>
      </c>
      <c r="P212" s="94">
        <f t="shared" si="27"/>
        <v>38928.080698429985</v>
      </c>
    </row>
    <row r="213" spans="1:16" x14ac:dyDescent="0.35">
      <c r="A213" s="96" t="str">
        <f>LEFT('2025 actual v budget'!A213,4)&amp;"26"</f>
        <v>Aug-26</v>
      </c>
      <c r="B213" s="17" t="str">
        <f>'2025 actual v budget'!B213</f>
        <v>Brazil</v>
      </c>
      <c r="C213" s="17" t="str">
        <f>'2025 actual v budget'!C213</f>
        <v>Cross-border Payouts</v>
      </c>
      <c r="D213" s="19">
        <f>'2025 actual v budget'!D213</f>
        <v>16628959.75</v>
      </c>
      <c r="E213" s="97">
        <f>SUMIFS('Assumption-Base'!$C$3:$C$32,'Assumption-Base'!$A$3:$A$32,$B213,'Assumption-Base'!$B$3:$B$32,$C213)</f>
        <v>0.2</v>
      </c>
      <c r="F213" s="19">
        <f t="shared" si="21"/>
        <v>19954751.699999999</v>
      </c>
      <c r="G213" s="98">
        <f>SUMIFS('Assumption-Base'!$D$3:$D$32,'Assumption-Base'!$A$3:$A$32,$B213,'Assumption-Base'!$B$3:$B$32,$C213)</f>
        <v>7.4999999999999997E-3</v>
      </c>
      <c r="H213" s="99">
        <f t="shared" si="22"/>
        <v>149660.63774999999</v>
      </c>
      <c r="I213" s="97">
        <f>SUMIFS('Assumption-Base'!$E$3:$E$32,'Assumption-Base'!$A$3:$A$32,$B213,'Assumption-Base'!$B$3:$B$32,$C213)</f>
        <v>0.35</v>
      </c>
      <c r="J213" s="19">
        <f t="shared" si="23"/>
        <v>52381.223212499994</v>
      </c>
      <c r="K213" s="100">
        <f>SUMIFS('Assumption-Base'!$F$3:$F$32,'Assumption-Base'!$A$3:$A$32,$B213,'Assumption-Base'!$B$3:$B$32,$C213)</f>
        <v>6.9999999999999994E-5</v>
      </c>
      <c r="L213" s="19">
        <f t="shared" si="24"/>
        <v>1396.8326189999998</v>
      </c>
      <c r="M213" s="99">
        <f t="shared" si="25"/>
        <v>95882.581918500015</v>
      </c>
      <c r="N213" s="97">
        <f>SUMIFS('Assumption-Base'!$G$3:$G$32,'Assumption-Base'!$A$3:$A$32,$B213,'Assumption-Base'!$B$3:$B$32,$C213)</f>
        <v>0.4</v>
      </c>
      <c r="O213" s="19">
        <f t="shared" si="26"/>
        <v>59864.255100000002</v>
      </c>
      <c r="P213" s="99">
        <f t="shared" si="27"/>
        <v>36018.326818500012</v>
      </c>
    </row>
    <row r="214" spans="1:16" x14ac:dyDescent="0.35">
      <c r="A214" s="96" t="str">
        <f>LEFT('2025 actual v budget'!A214,4)&amp;"26"</f>
        <v>Aug-26</v>
      </c>
      <c r="B214" s="17" t="str">
        <f>'2025 actual v budget'!B214</f>
        <v>Brazil</v>
      </c>
      <c r="C214" s="17" t="str">
        <f>'2025 actual v budget'!C214</f>
        <v>FX Conversion</v>
      </c>
      <c r="D214" s="19">
        <f>'2025 actual v budget'!D214</f>
        <v>25722226.34</v>
      </c>
      <c r="E214" s="97">
        <f>SUMIFS('Assumption-Base'!$C$3:$C$32,'Assumption-Base'!$A$3:$A$32,$B214,'Assumption-Base'!$B$3:$B$32,$C214)</f>
        <v>0.2</v>
      </c>
      <c r="F214" s="19">
        <f t="shared" si="21"/>
        <v>30866671.607999999</v>
      </c>
      <c r="G214" s="98">
        <f>SUMIFS('Assumption-Base'!$D$3:$D$32,'Assumption-Base'!$A$3:$A$32,$B214,'Assumption-Base'!$B$3:$B$32,$C214)</f>
        <v>1.0500000000000001E-2</v>
      </c>
      <c r="H214" s="99">
        <f t="shared" si="22"/>
        <v>324100.05188400001</v>
      </c>
      <c r="I214" s="97">
        <f>SUMIFS('Assumption-Base'!$E$3:$E$32,'Assumption-Base'!$A$3:$A$32,$B214,'Assumption-Base'!$B$3:$B$32,$C214)</f>
        <v>0.28000000000000003</v>
      </c>
      <c r="J214" s="19">
        <f t="shared" si="23"/>
        <v>90748.014527520019</v>
      </c>
      <c r="K214" s="100">
        <f>SUMIFS('Assumption-Base'!$F$3:$F$32,'Assumption-Base'!$A$3:$A$32,$B214,'Assumption-Base'!$B$3:$B$32,$C214)</f>
        <v>6.9999999999999994E-5</v>
      </c>
      <c r="L214" s="19">
        <f t="shared" si="24"/>
        <v>2160.6670125599999</v>
      </c>
      <c r="M214" s="99">
        <f t="shared" si="25"/>
        <v>231191.37034391999</v>
      </c>
      <c r="N214" s="97">
        <f>SUMIFS('Assumption-Base'!$G$3:$G$32,'Assumption-Base'!$A$3:$A$32,$B214,'Assumption-Base'!$B$3:$B$32,$C214)</f>
        <v>0.4</v>
      </c>
      <c r="O214" s="19">
        <f t="shared" si="26"/>
        <v>129640.02075360001</v>
      </c>
      <c r="P214" s="99">
        <f t="shared" si="27"/>
        <v>101551.34959031998</v>
      </c>
    </row>
    <row r="215" spans="1:16" x14ac:dyDescent="0.35">
      <c r="A215" s="96" t="str">
        <f>LEFT('2025 actual v budget'!A215,4)&amp;"26"</f>
        <v>Aug-26</v>
      </c>
      <c r="B215" s="17" t="str">
        <f>'2025 actual v budget'!B215</f>
        <v>Brazil</v>
      </c>
      <c r="C215" s="17" t="str">
        <f>'2025 actual v budget'!C215</f>
        <v>Stablecoin Settlement</v>
      </c>
      <c r="D215" s="19">
        <f>'2025 actual v budget'!D215</f>
        <v>39372636.869999997</v>
      </c>
      <c r="E215" s="97">
        <f>SUMIFS('Assumption-Base'!$C$3:$C$32,'Assumption-Base'!$A$3:$A$32,$B215,'Assumption-Base'!$B$3:$B$32,$C215)</f>
        <v>0.4</v>
      </c>
      <c r="F215" s="19">
        <f t="shared" si="21"/>
        <v>55121691.617999993</v>
      </c>
      <c r="G215" s="98">
        <f>SUMIFS('Assumption-Base'!$D$3:$D$32,'Assumption-Base'!$A$3:$A$32,$B215,'Assumption-Base'!$B$3:$B$32,$C215)</f>
        <v>6.4999999999999997E-3</v>
      </c>
      <c r="H215" s="99">
        <f t="shared" si="22"/>
        <v>358290.99551699992</v>
      </c>
      <c r="I215" s="97">
        <f>SUMIFS('Assumption-Base'!$E$3:$E$32,'Assumption-Base'!$A$3:$A$32,$B215,'Assumption-Base'!$B$3:$B$32,$C215)</f>
        <v>0.32</v>
      </c>
      <c r="J215" s="19">
        <f t="shared" si="23"/>
        <v>114653.11856543997</v>
      </c>
      <c r="K215" s="100">
        <f>SUMIFS('Assumption-Base'!$F$3:$F$32,'Assumption-Base'!$A$3:$A$32,$B215,'Assumption-Base'!$B$3:$B$32,$C215)</f>
        <v>6.9999999999999994E-5</v>
      </c>
      <c r="L215" s="19">
        <f t="shared" si="24"/>
        <v>3858.5184132599993</v>
      </c>
      <c r="M215" s="99">
        <f t="shared" si="25"/>
        <v>239779.35853829994</v>
      </c>
      <c r="N215" s="97">
        <f>SUMIFS('Assumption-Base'!$G$3:$G$32,'Assumption-Base'!$A$3:$A$32,$B215,'Assumption-Base'!$B$3:$B$32,$C215)</f>
        <v>0.4</v>
      </c>
      <c r="O215" s="19">
        <f t="shared" si="26"/>
        <v>143316.39820679996</v>
      </c>
      <c r="P215" s="99">
        <f t="shared" si="27"/>
        <v>96462.960331499984</v>
      </c>
    </row>
    <row r="216" spans="1:16" x14ac:dyDescent="0.35">
      <c r="A216" s="96" t="str">
        <f>LEFT('2025 actual v budget'!A216,4)&amp;"26"</f>
        <v>Aug-26</v>
      </c>
      <c r="B216" s="17" t="str">
        <f>'2025 actual v budget'!B216</f>
        <v>Brazil</v>
      </c>
      <c r="C216" s="17" t="str">
        <f>'2025 actual v budget'!C216</f>
        <v>Treasury Yield</v>
      </c>
      <c r="D216" s="19">
        <f>'2025 actual v budget'!D216</f>
        <v>10701534.720000001</v>
      </c>
      <c r="E216" s="97">
        <f>SUMIFS('Assumption-Base'!$C$3:$C$32,'Assumption-Base'!$A$3:$A$32,$B216,'Assumption-Base'!$B$3:$B$32,$C216)</f>
        <v>0.2</v>
      </c>
      <c r="F216" s="19">
        <f t="shared" si="21"/>
        <v>12841841.664000001</v>
      </c>
      <c r="G216" s="98">
        <f>SUMIFS('Assumption-Base'!$D$3:$D$32,'Assumption-Base'!$A$3:$A$32,$B216,'Assumption-Base'!$B$3:$B$32,$C216)</f>
        <v>3.0000000000000001E-3</v>
      </c>
      <c r="H216" s="99">
        <f t="shared" si="22"/>
        <v>38525.524992000006</v>
      </c>
      <c r="I216" s="97">
        <f>SUMIFS('Assumption-Base'!$E$3:$E$32,'Assumption-Base'!$A$3:$A$32,$B216,'Assumption-Base'!$B$3:$B$32,$C216)</f>
        <v>0.18</v>
      </c>
      <c r="J216" s="19">
        <f t="shared" si="23"/>
        <v>6934.5944985600008</v>
      </c>
      <c r="K216" s="100">
        <f>SUMIFS('Assumption-Base'!$F$3:$F$32,'Assumption-Base'!$A$3:$A$32,$B216,'Assumption-Base'!$B$3:$B$32,$C216)</f>
        <v>6.9999999999999994E-5</v>
      </c>
      <c r="L216" s="19">
        <f t="shared" si="24"/>
        <v>898.92891648</v>
      </c>
      <c r="M216" s="99">
        <f t="shared" si="25"/>
        <v>30692.001576960007</v>
      </c>
      <c r="N216" s="97">
        <f>SUMIFS('Assumption-Base'!$G$3:$G$32,'Assumption-Base'!$A$3:$A$32,$B216,'Assumption-Base'!$B$3:$B$32,$C216)</f>
        <v>0.4</v>
      </c>
      <c r="O216" s="19">
        <f t="shared" si="26"/>
        <v>15410.209996800004</v>
      </c>
      <c r="P216" s="99">
        <f t="shared" si="27"/>
        <v>15281.791580160003</v>
      </c>
    </row>
    <row r="217" spans="1:16" x14ac:dyDescent="0.35">
      <c r="A217" s="96" t="str">
        <f>LEFT('2025 actual v budget'!A217,4)&amp;"26"</f>
        <v>Aug-26</v>
      </c>
      <c r="B217" s="17" t="str">
        <f>'2025 actual v budget'!B217</f>
        <v>Brazil</v>
      </c>
      <c r="C217" s="17" t="str">
        <f>'2025 actual v budget'!C217</f>
        <v>Virtual Accounts</v>
      </c>
      <c r="D217" s="19">
        <f>'2025 actual v budget'!D217</f>
        <v>15520913.17</v>
      </c>
      <c r="E217" s="97">
        <f>SUMIFS('Assumption-Base'!$C$3:$C$32,'Assumption-Base'!$A$3:$A$32,$B217,'Assumption-Base'!$B$3:$B$32,$C217)</f>
        <v>0.2</v>
      </c>
      <c r="F217" s="19">
        <f t="shared" si="21"/>
        <v>18625095.803999998</v>
      </c>
      <c r="G217" s="98">
        <f>SUMIFS('Assumption-Base'!$D$3:$D$32,'Assumption-Base'!$A$3:$A$32,$B217,'Assumption-Base'!$B$3:$B$32,$C217)</f>
        <v>4.4999999999999997E-3</v>
      </c>
      <c r="H217" s="99">
        <f t="shared" si="22"/>
        <v>83812.931117999979</v>
      </c>
      <c r="I217" s="97">
        <f>SUMIFS('Assumption-Base'!$E$3:$E$32,'Assumption-Base'!$A$3:$A$32,$B217,'Assumption-Base'!$B$3:$B$32,$C217)</f>
        <v>0.22</v>
      </c>
      <c r="J217" s="19">
        <f t="shared" si="23"/>
        <v>18438.844845959997</v>
      </c>
      <c r="K217" s="100">
        <f>SUMIFS('Assumption-Base'!$F$3:$F$32,'Assumption-Base'!$A$3:$A$32,$B217,'Assumption-Base'!$B$3:$B$32,$C217)</f>
        <v>6.9999999999999994E-5</v>
      </c>
      <c r="L217" s="19">
        <f t="shared" si="24"/>
        <v>1303.7567062799997</v>
      </c>
      <c r="M217" s="99">
        <f t="shared" si="25"/>
        <v>64070.329565759981</v>
      </c>
      <c r="N217" s="97">
        <f>SUMIFS('Assumption-Base'!$G$3:$G$32,'Assumption-Base'!$A$3:$A$32,$B217,'Assumption-Base'!$B$3:$B$32,$C217)</f>
        <v>0.4</v>
      </c>
      <c r="O217" s="19">
        <f t="shared" si="26"/>
        <v>33525.172447199991</v>
      </c>
      <c r="P217" s="99">
        <f t="shared" si="27"/>
        <v>30545.15711855999</v>
      </c>
    </row>
    <row r="218" spans="1:16" x14ac:dyDescent="0.35">
      <c r="A218" s="96" t="str">
        <f>LEFT('2025 actual v budget'!A218,4)&amp;"26"</f>
        <v>Aug-26</v>
      </c>
      <c r="B218" s="17" t="str">
        <f>'2025 actual v budget'!B218</f>
        <v>Germany</v>
      </c>
      <c r="C218" s="17" t="str">
        <f>'2025 actual v budget'!C218</f>
        <v>Cross-border Payouts</v>
      </c>
      <c r="D218" s="19">
        <f>'2025 actual v budget'!D218</f>
        <v>7905282.9199999999</v>
      </c>
      <c r="E218" s="97">
        <f>SUMIFS('Assumption-Base'!$C$3:$C$32,'Assumption-Base'!$A$3:$A$32,$B218,'Assumption-Base'!$B$3:$B$32,$C218)</f>
        <v>0.06</v>
      </c>
      <c r="F218" s="19">
        <f t="shared" si="21"/>
        <v>8379599.8952000001</v>
      </c>
      <c r="G218" s="98">
        <f>SUMIFS('Assumption-Base'!$D$3:$D$32,'Assumption-Base'!$A$3:$A$32,$B218,'Assumption-Base'!$B$3:$B$32,$C218)</f>
        <v>7.4999999999999997E-3</v>
      </c>
      <c r="H218" s="99">
        <f t="shared" si="22"/>
        <v>62846.999213999996</v>
      </c>
      <c r="I218" s="97">
        <f>SUMIFS('Assumption-Base'!$E$3:$E$32,'Assumption-Base'!$A$3:$A$32,$B218,'Assumption-Base'!$B$3:$B$32,$C218)</f>
        <v>0.35</v>
      </c>
      <c r="J218" s="19">
        <f t="shared" si="23"/>
        <v>21996.449724899998</v>
      </c>
      <c r="K218" s="100">
        <f>SUMIFS('Assumption-Base'!$F$3:$F$32,'Assumption-Base'!$A$3:$A$32,$B218,'Assumption-Base'!$B$3:$B$32,$C218)</f>
        <v>1.4999999999999999E-4</v>
      </c>
      <c r="L218" s="19">
        <f t="shared" si="24"/>
        <v>1256.9399842799999</v>
      </c>
      <c r="M218" s="99">
        <f t="shared" si="25"/>
        <v>39593.60950482</v>
      </c>
      <c r="N218" s="97">
        <f>SUMIFS('Assumption-Base'!$G$3:$G$32,'Assumption-Base'!$A$3:$A$32,$B218,'Assumption-Base'!$B$3:$B$32,$C218)</f>
        <v>0.4</v>
      </c>
      <c r="O218" s="19">
        <f t="shared" si="26"/>
        <v>25138.799685599999</v>
      </c>
      <c r="P218" s="99">
        <f t="shared" si="27"/>
        <v>14454.809819220001</v>
      </c>
    </row>
    <row r="219" spans="1:16" x14ac:dyDescent="0.35">
      <c r="A219" s="96" t="str">
        <f>LEFT('2025 actual v budget'!A219,4)&amp;"26"</f>
        <v>Aug-26</v>
      </c>
      <c r="B219" s="17" t="str">
        <f>'2025 actual v budget'!B219</f>
        <v>Germany</v>
      </c>
      <c r="C219" s="17" t="str">
        <f>'2025 actual v budget'!C219</f>
        <v>FX Conversion</v>
      </c>
      <c r="D219" s="19">
        <f>'2025 actual v budget'!D219</f>
        <v>12220428.380000001</v>
      </c>
      <c r="E219" s="97">
        <f>SUMIFS('Assumption-Base'!$C$3:$C$32,'Assumption-Base'!$A$3:$A$32,$B219,'Assumption-Base'!$B$3:$B$32,$C219)</f>
        <v>0.06</v>
      </c>
      <c r="F219" s="19">
        <f t="shared" si="21"/>
        <v>12953654.082800001</v>
      </c>
      <c r="G219" s="98">
        <f>SUMIFS('Assumption-Base'!$D$3:$D$32,'Assumption-Base'!$A$3:$A$32,$B219,'Assumption-Base'!$B$3:$B$32,$C219)</f>
        <v>1.0500000000000001E-2</v>
      </c>
      <c r="H219" s="99">
        <f t="shared" si="22"/>
        <v>136013.36786940001</v>
      </c>
      <c r="I219" s="97">
        <f>SUMIFS('Assumption-Base'!$E$3:$E$32,'Assumption-Base'!$A$3:$A$32,$B219,'Assumption-Base'!$B$3:$B$32,$C219)</f>
        <v>0.28000000000000003</v>
      </c>
      <c r="J219" s="19">
        <f t="shared" si="23"/>
        <v>38083.743003432006</v>
      </c>
      <c r="K219" s="100">
        <f>SUMIFS('Assumption-Base'!$F$3:$F$32,'Assumption-Base'!$A$3:$A$32,$B219,'Assumption-Base'!$B$3:$B$32,$C219)</f>
        <v>1.4999999999999999E-4</v>
      </c>
      <c r="L219" s="19">
        <f t="shared" si="24"/>
        <v>1943.0481124200001</v>
      </c>
      <c r="M219" s="99">
        <f t="shared" si="25"/>
        <v>95986.576753548012</v>
      </c>
      <c r="N219" s="97">
        <f>SUMIFS('Assumption-Base'!$G$3:$G$32,'Assumption-Base'!$A$3:$A$32,$B219,'Assumption-Base'!$B$3:$B$32,$C219)</f>
        <v>0.4</v>
      </c>
      <c r="O219" s="19">
        <f t="shared" si="26"/>
        <v>54405.347147760011</v>
      </c>
      <c r="P219" s="99">
        <f t="shared" si="27"/>
        <v>41581.229605788001</v>
      </c>
    </row>
    <row r="220" spans="1:16" x14ac:dyDescent="0.35">
      <c r="A220" s="96" t="str">
        <f>LEFT('2025 actual v budget'!A220,4)&amp;"26"</f>
        <v>Aug-26</v>
      </c>
      <c r="B220" s="17" t="str">
        <f>'2025 actual v budget'!B220</f>
        <v>Germany</v>
      </c>
      <c r="C220" s="17" t="str">
        <f>'2025 actual v budget'!C220</f>
        <v>Stablecoin Settlement</v>
      </c>
      <c r="D220" s="19">
        <f>'2025 actual v budget'!D220</f>
        <v>18717456.68</v>
      </c>
      <c r="E220" s="97">
        <f>SUMIFS('Assumption-Base'!$C$3:$C$32,'Assumption-Base'!$A$3:$A$32,$B220,'Assumption-Base'!$B$3:$B$32,$C220)</f>
        <v>0.12</v>
      </c>
      <c r="F220" s="19">
        <f t="shared" si="21"/>
        <v>20963551.481600001</v>
      </c>
      <c r="G220" s="98">
        <f>SUMIFS('Assumption-Base'!$D$3:$D$32,'Assumption-Base'!$A$3:$A$32,$B220,'Assumption-Base'!$B$3:$B$32,$C220)</f>
        <v>6.4999999999999997E-3</v>
      </c>
      <c r="H220" s="99">
        <f t="shared" si="22"/>
        <v>136263.0846304</v>
      </c>
      <c r="I220" s="97">
        <f>SUMIFS('Assumption-Base'!$E$3:$E$32,'Assumption-Base'!$A$3:$A$32,$B220,'Assumption-Base'!$B$3:$B$32,$C220)</f>
        <v>0.32</v>
      </c>
      <c r="J220" s="19">
        <f t="shared" si="23"/>
        <v>43604.187081728</v>
      </c>
      <c r="K220" s="100">
        <f>SUMIFS('Assumption-Base'!$F$3:$F$32,'Assumption-Base'!$A$3:$A$32,$B220,'Assumption-Base'!$B$3:$B$32,$C220)</f>
        <v>1.4999999999999999E-4</v>
      </c>
      <c r="L220" s="19">
        <f t="shared" si="24"/>
        <v>3144.5327222400001</v>
      </c>
      <c r="M220" s="99">
        <f t="shared" si="25"/>
        <v>89514.364826432007</v>
      </c>
      <c r="N220" s="97">
        <f>SUMIFS('Assumption-Base'!$G$3:$G$32,'Assumption-Base'!$A$3:$A$32,$B220,'Assumption-Base'!$B$3:$B$32,$C220)</f>
        <v>0.4</v>
      </c>
      <c r="O220" s="19">
        <f t="shared" si="26"/>
        <v>54505.233852160003</v>
      </c>
      <c r="P220" s="99">
        <f t="shared" si="27"/>
        <v>35009.130974272004</v>
      </c>
    </row>
    <row r="221" spans="1:16" x14ac:dyDescent="0.35">
      <c r="A221" s="96" t="str">
        <f>LEFT('2025 actual v budget'!A221,4)&amp;"26"</f>
        <v>Aug-26</v>
      </c>
      <c r="B221" s="17" t="str">
        <f>'2025 actual v budget'!B221</f>
        <v>Germany</v>
      </c>
      <c r="C221" s="17" t="str">
        <f>'2025 actual v budget'!C221</f>
        <v>Treasury Yield</v>
      </c>
      <c r="D221" s="19">
        <f>'2025 actual v budget'!D221</f>
        <v>5084215.37</v>
      </c>
      <c r="E221" s="97">
        <f>SUMIFS('Assumption-Base'!$C$3:$C$32,'Assumption-Base'!$A$3:$A$32,$B221,'Assumption-Base'!$B$3:$B$32,$C221)</f>
        <v>0.06</v>
      </c>
      <c r="F221" s="19">
        <f t="shared" si="21"/>
        <v>5389268.2922</v>
      </c>
      <c r="G221" s="98">
        <f>SUMIFS('Assumption-Base'!$D$3:$D$32,'Assumption-Base'!$A$3:$A$32,$B221,'Assumption-Base'!$B$3:$B$32,$C221)</f>
        <v>3.0000000000000001E-3</v>
      </c>
      <c r="H221" s="99">
        <f t="shared" si="22"/>
        <v>16167.804876600001</v>
      </c>
      <c r="I221" s="97">
        <f>SUMIFS('Assumption-Base'!$E$3:$E$32,'Assumption-Base'!$A$3:$A$32,$B221,'Assumption-Base'!$B$3:$B$32,$C221)</f>
        <v>0.18</v>
      </c>
      <c r="J221" s="19">
        <f t="shared" si="23"/>
        <v>2910.204877788</v>
      </c>
      <c r="K221" s="100">
        <f>SUMIFS('Assumption-Base'!$F$3:$F$32,'Assumption-Base'!$A$3:$A$32,$B221,'Assumption-Base'!$B$3:$B$32,$C221)</f>
        <v>1.4999999999999999E-4</v>
      </c>
      <c r="L221" s="19">
        <f t="shared" si="24"/>
        <v>808.39024382999992</v>
      </c>
      <c r="M221" s="99">
        <f t="shared" si="25"/>
        <v>12449.209754982003</v>
      </c>
      <c r="N221" s="97">
        <f>SUMIFS('Assumption-Base'!$G$3:$G$32,'Assumption-Base'!$A$3:$A$32,$B221,'Assumption-Base'!$B$3:$B$32,$C221)</f>
        <v>0.4</v>
      </c>
      <c r="O221" s="19">
        <f t="shared" si="26"/>
        <v>6467.1219506400012</v>
      </c>
      <c r="P221" s="99">
        <f t="shared" si="27"/>
        <v>5982.0878043420016</v>
      </c>
    </row>
    <row r="222" spans="1:16" x14ac:dyDescent="0.35">
      <c r="A222" s="96" t="str">
        <f>LEFT('2025 actual v budget'!A222,4)&amp;"26"</f>
        <v>Aug-26</v>
      </c>
      <c r="B222" s="17" t="str">
        <f>'2025 actual v budget'!B222</f>
        <v>Germany</v>
      </c>
      <c r="C222" s="17" t="str">
        <f>'2025 actual v budget'!C222</f>
        <v>Virtual Accounts</v>
      </c>
      <c r="D222" s="19">
        <f>'2025 actual v budget'!D222</f>
        <v>7373864.3499999996</v>
      </c>
      <c r="E222" s="97">
        <f>SUMIFS('Assumption-Base'!$C$3:$C$32,'Assumption-Base'!$A$3:$A$32,$B222,'Assumption-Base'!$B$3:$B$32,$C222)</f>
        <v>0.06</v>
      </c>
      <c r="F222" s="19">
        <f t="shared" si="21"/>
        <v>7816296.2110000001</v>
      </c>
      <c r="G222" s="98">
        <f>SUMIFS('Assumption-Base'!$D$3:$D$32,'Assumption-Base'!$A$3:$A$32,$B222,'Assumption-Base'!$B$3:$B$32,$C222)</f>
        <v>4.4999999999999997E-3</v>
      </c>
      <c r="H222" s="99">
        <f t="shared" si="22"/>
        <v>35173.3329495</v>
      </c>
      <c r="I222" s="97">
        <f>SUMIFS('Assumption-Base'!$E$3:$E$32,'Assumption-Base'!$A$3:$A$32,$B222,'Assumption-Base'!$B$3:$B$32,$C222)</f>
        <v>0.22</v>
      </c>
      <c r="J222" s="19">
        <f t="shared" si="23"/>
        <v>7738.1332488899998</v>
      </c>
      <c r="K222" s="100">
        <f>SUMIFS('Assumption-Base'!$F$3:$F$32,'Assumption-Base'!$A$3:$A$32,$B222,'Assumption-Base'!$B$3:$B$32,$C222)</f>
        <v>1.4999999999999999E-4</v>
      </c>
      <c r="L222" s="19">
        <f t="shared" si="24"/>
        <v>1172.4444316499998</v>
      </c>
      <c r="M222" s="99">
        <f t="shared" si="25"/>
        <v>26262.755268959998</v>
      </c>
      <c r="N222" s="97">
        <f>SUMIFS('Assumption-Base'!$G$3:$G$32,'Assumption-Base'!$A$3:$A$32,$B222,'Assumption-Base'!$B$3:$B$32,$C222)</f>
        <v>0.4</v>
      </c>
      <c r="O222" s="19">
        <f t="shared" si="26"/>
        <v>14069.3331798</v>
      </c>
      <c r="P222" s="99">
        <f t="shared" si="27"/>
        <v>12193.422089159998</v>
      </c>
    </row>
    <row r="223" spans="1:16" x14ac:dyDescent="0.35">
      <c r="A223" s="96" t="str">
        <f>LEFT('2025 actual v budget'!A223,4)&amp;"26"</f>
        <v>Aug-26</v>
      </c>
      <c r="B223" s="17" t="str">
        <f>'2025 actual v budget'!B223</f>
        <v>India</v>
      </c>
      <c r="C223" s="17" t="str">
        <f>'2025 actual v budget'!C223</f>
        <v>Cross-border Payouts</v>
      </c>
      <c r="D223" s="19">
        <f>'2025 actual v budget'!D223</f>
        <v>11412782.77</v>
      </c>
      <c r="E223" s="97">
        <f>SUMIFS('Assumption-Base'!$C$3:$C$32,'Assumption-Base'!$A$3:$A$32,$B223,'Assumption-Base'!$B$3:$B$32,$C223)</f>
        <v>0.12</v>
      </c>
      <c r="F223" s="19">
        <f t="shared" si="21"/>
        <v>12782316.702400001</v>
      </c>
      <c r="G223" s="98">
        <f>SUMIFS('Assumption-Base'!$D$3:$D$32,'Assumption-Base'!$A$3:$A$32,$B223,'Assumption-Base'!$B$3:$B$32,$C223)</f>
        <v>7.4999999999999997E-3</v>
      </c>
      <c r="H223" s="99">
        <f t="shared" si="22"/>
        <v>95867.375268000003</v>
      </c>
      <c r="I223" s="97">
        <f>SUMIFS('Assumption-Base'!$E$3:$E$32,'Assumption-Base'!$A$3:$A$32,$B223,'Assumption-Base'!$B$3:$B$32,$C223)</f>
        <v>0.35</v>
      </c>
      <c r="J223" s="19">
        <f t="shared" si="23"/>
        <v>33553.581343799997</v>
      </c>
      <c r="K223" s="100">
        <f>SUMIFS('Assumption-Base'!$F$3:$F$32,'Assumption-Base'!$A$3:$A$32,$B223,'Assumption-Base'!$B$3:$B$32,$C223)</f>
        <v>1.8000000000000001E-4</v>
      </c>
      <c r="L223" s="19">
        <f t="shared" si="24"/>
        <v>2300.8170064320002</v>
      </c>
      <c r="M223" s="99">
        <f t="shared" si="25"/>
        <v>60012.976917768006</v>
      </c>
      <c r="N223" s="97">
        <f>SUMIFS('Assumption-Base'!$G$3:$G$32,'Assumption-Base'!$A$3:$A$32,$B223,'Assumption-Base'!$B$3:$B$32,$C223)</f>
        <v>0.4</v>
      </c>
      <c r="O223" s="19">
        <f t="shared" si="26"/>
        <v>38346.950107200006</v>
      </c>
      <c r="P223" s="99">
        <f t="shared" si="27"/>
        <v>21666.026810568001</v>
      </c>
    </row>
    <row r="224" spans="1:16" x14ac:dyDescent="0.35">
      <c r="A224" s="96" t="str">
        <f>LEFT('2025 actual v budget'!A224,4)&amp;"26"</f>
        <v>Aug-26</v>
      </c>
      <c r="B224" s="17" t="str">
        <f>'2025 actual v budget'!B224</f>
        <v>India</v>
      </c>
      <c r="C224" s="17" t="str">
        <f>'2025 actual v budget'!C224</f>
        <v>FX Conversion</v>
      </c>
      <c r="D224" s="19">
        <f>'2025 actual v budget'!D224</f>
        <v>17659093.91</v>
      </c>
      <c r="E224" s="97">
        <f>SUMIFS('Assumption-Base'!$C$3:$C$32,'Assumption-Base'!$A$3:$A$32,$B224,'Assumption-Base'!$B$3:$B$32,$C224)</f>
        <v>0.12</v>
      </c>
      <c r="F224" s="19">
        <f t="shared" si="21"/>
        <v>19778185.179200001</v>
      </c>
      <c r="G224" s="98">
        <f>SUMIFS('Assumption-Base'!$D$3:$D$32,'Assumption-Base'!$A$3:$A$32,$B224,'Assumption-Base'!$B$3:$B$32,$C224)</f>
        <v>1.0500000000000001E-2</v>
      </c>
      <c r="H224" s="99">
        <f t="shared" si="22"/>
        <v>207670.94438160001</v>
      </c>
      <c r="I224" s="97">
        <f>SUMIFS('Assumption-Base'!$E$3:$E$32,'Assumption-Base'!$A$3:$A$32,$B224,'Assumption-Base'!$B$3:$B$32,$C224)</f>
        <v>0.28000000000000003</v>
      </c>
      <c r="J224" s="19">
        <f t="shared" si="23"/>
        <v>58147.864426848006</v>
      </c>
      <c r="K224" s="100">
        <f>SUMIFS('Assumption-Base'!$F$3:$F$32,'Assumption-Base'!$A$3:$A$32,$B224,'Assumption-Base'!$B$3:$B$32,$C224)</f>
        <v>1.8000000000000001E-4</v>
      </c>
      <c r="L224" s="19">
        <f t="shared" si="24"/>
        <v>3560.0733322560004</v>
      </c>
      <c r="M224" s="99">
        <f t="shared" si="25"/>
        <v>145963.006622496</v>
      </c>
      <c r="N224" s="97">
        <f>SUMIFS('Assumption-Base'!$G$3:$G$32,'Assumption-Base'!$A$3:$A$32,$B224,'Assumption-Base'!$B$3:$B$32,$C224)</f>
        <v>0.4</v>
      </c>
      <c r="O224" s="19">
        <f t="shared" si="26"/>
        <v>83068.377752640008</v>
      </c>
      <c r="P224" s="99">
        <f t="shared" si="27"/>
        <v>62894.628869855995</v>
      </c>
    </row>
    <row r="225" spans="1:16" x14ac:dyDescent="0.35">
      <c r="A225" s="96" t="str">
        <f>LEFT('2025 actual v budget'!A225,4)&amp;"26"</f>
        <v>Aug-26</v>
      </c>
      <c r="B225" s="17" t="str">
        <f>'2025 actual v budget'!B225</f>
        <v>India</v>
      </c>
      <c r="C225" s="17" t="str">
        <f>'2025 actual v budget'!C225</f>
        <v>Stablecoin Settlement</v>
      </c>
      <c r="D225" s="19">
        <f>'2025 actual v budget'!D225</f>
        <v>27022216.579999998</v>
      </c>
      <c r="E225" s="97">
        <f>SUMIFS('Assumption-Base'!$C$3:$C$32,'Assumption-Base'!$A$3:$A$32,$B225,'Assumption-Base'!$B$3:$B$32,$C225)</f>
        <v>0.24</v>
      </c>
      <c r="F225" s="19">
        <f t="shared" si="21"/>
        <v>33507548.559199996</v>
      </c>
      <c r="G225" s="98">
        <f>SUMIFS('Assumption-Base'!$D$3:$D$32,'Assumption-Base'!$A$3:$A$32,$B225,'Assumption-Base'!$B$3:$B$32,$C225)</f>
        <v>6.4999999999999997E-3</v>
      </c>
      <c r="H225" s="99">
        <f t="shared" si="22"/>
        <v>217799.06563479998</v>
      </c>
      <c r="I225" s="97">
        <f>SUMIFS('Assumption-Base'!$E$3:$E$32,'Assumption-Base'!$A$3:$A$32,$B225,'Assumption-Base'!$B$3:$B$32,$C225)</f>
        <v>0.32</v>
      </c>
      <c r="J225" s="19">
        <f t="shared" si="23"/>
        <v>69695.701003135997</v>
      </c>
      <c r="K225" s="100">
        <f>SUMIFS('Assumption-Base'!$F$3:$F$32,'Assumption-Base'!$A$3:$A$32,$B225,'Assumption-Base'!$B$3:$B$32,$C225)</f>
        <v>1.8000000000000001E-4</v>
      </c>
      <c r="L225" s="19">
        <f t="shared" si="24"/>
        <v>6031.358740656</v>
      </c>
      <c r="M225" s="99">
        <f t="shared" si="25"/>
        <v>142072.00589100798</v>
      </c>
      <c r="N225" s="97">
        <f>SUMIFS('Assumption-Base'!$G$3:$G$32,'Assumption-Base'!$A$3:$A$32,$B225,'Assumption-Base'!$B$3:$B$32,$C225)</f>
        <v>0.4</v>
      </c>
      <c r="O225" s="19">
        <f t="shared" si="26"/>
        <v>87119.626253919996</v>
      </c>
      <c r="P225" s="99">
        <f t="shared" si="27"/>
        <v>54952.379637087986</v>
      </c>
    </row>
    <row r="226" spans="1:16" x14ac:dyDescent="0.35">
      <c r="A226" s="96" t="str">
        <f>LEFT('2025 actual v budget'!A226,4)&amp;"26"</f>
        <v>Aug-26</v>
      </c>
      <c r="B226" s="17" t="str">
        <f>'2025 actual v budget'!B226</f>
        <v>India</v>
      </c>
      <c r="C226" s="17" t="str">
        <f>'2025 actual v budget'!C226</f>
        <v>Treasury Yield</v>
      </c>
      <c r="D226" s="19">
        <f>'2025 actual v budget'!D226</f>
        <v>7346930.4000000004</v>
      </c>
      <c r="E226" s="97">
        <f>SUMIFS('Assumption-Base'!$C$3:$C$32,'Assumption-Base'!$A$3:$A$32,$B226,'Assumption-Base'!$B$3:$B$32,$C226)</f>
        <v>0.12</v>
      </c>
      <c r="F226" s="19">
        <f t="shared" si="21"/>
        <v>8228562.0480000013</v>
      </c>
      <c r="G226" s="98">
        <f>SUMIFS('Assumption-Base'!$D$3:$D$32,'Assumption-Base'!$A$3:$A$32,$B226,'Assumption-Base'!$B$3:$B$32,$C226)</f>
        <v>3.0000000000000001E-3</v>
      </c>
      <c r="H226" s="99">
        <f t="shared" si="22"/>
        <v>24685.686144000003</v>
      </c>
      <c r="I226" s="97">
        <f>SUMIFS('Assumption-Base'!$E$3:$E$32,'Assumption-Base'!$A$3:$A$32,$B226,'Assumption-Base'!$B$3:$B$32,$C226)</f>
        <v>0.18</v>
      </c>
      <c r="J226" s="19">
        <f t="shared" si="23"/>
        <v>4443.42350592</v>
      </c>
      <c r="K226" s="100">
        <f>SUMIFS('Assumption-Base'!$F$3:$F$32,'Assumption-Base'!$A$3:$A$32,$B226,'Assumption-Base'!$B$3:$B$32,$C226)</f>
        <v>1.8000000000000001E-4</v>
      </c>
      <c r="L226" s="19">
        <f t="shared" si="24"/>
        <v>1481.1411686400004</v>
      </c>
      <c r="M226" s="99">
        <f t="shared" si="25"/>
        <v>18761.121469440004</v>
      </c>
      <c r="N226" s="97">
        <f>SUMIFS('Assumption-Base'!$G$3:$G$32,'Assumption-Base'!$A$3:$A$32,$B226,'Assumption-Base'!$B$3:$B$32,$C226)</f>
        <v>0.4</v>
      </c>
      <c r="O226" s="19">
        <f t="shared" si="26"/>
        <v>9874.2744576000023</v>
      </c>
      <c r="P226" s="99">
        <f t="shared" si="27"/>
        <v>8886.8470118400019</v>
      </c>
    </row>
    <row r="227" spans="1:16" x14ac:dyDescent="0.35">
      <c r="A227" s="96" t="str">
        <f>LEFT('2025 actual v budget'!A227,4)&amp;"26"</f>
        <v>Aug-26</v>
      </c>
      <c r="B227" s="17" t="str">
        <f>'2025 actual v budget'!B227</f>
        <v>India</v>
      </c>
      <c r="C227" s="17" t="str">
        <f>'2025 actual v budget'!C227</f>
        <v>Virtual Accounts</v>
      </c>
      <c r="D227" s="19">
        <f>'2025 actual v budget'!D227</f>
        <v>10655580.880000001</v>
      </c>
      <c r="E227" s="97">
        <f>SUMIFS('Assumption-Base'!$C$3:$C$32,'Assumption-Base'!$A$3:$A$32,$B227,'Assumption-Base'!$B$3:$B$32,$C227)</f>
        <v>0.12</v>
      </c>
      <c r="F227" s="19">
        <f t="shared" si="21"/>
        <v>11934250.585600002</v>
      </c>
      <c r="G227" s="98">
        <f>SUMIFS('Assumption-Base'!$D$3:$D$32,'Assumption-Base'!$A$3:$A$32,$B227,'Assumption-Base'!$B$3:$B$32,$C227)</f>
        <v>4.4999999999999997E-3</v>
      </c>
      <c r="H227" s="99">
        <f t="shared" si="22"/>
        <v>53704.127635200006</v>
      </c>
      <c r="I227" s="97">
        <f>SUMIFS('Assumption-Base'!$E$3:$E$32,'Assumption-Base'!$A$3:$A$32,$B227,'Assumption-Base'!$B$3:$B$32,$C227)</f>
        <v>0.22</v>
      </c>
      <c r="J227" s="19">
        <f t="shared" si="23"/>
        <v>11814.908079744002</v>
      </c>
      <c r="K227" s="100">
        <f>SUMIFS('Assumption-Base'!$F$3:$F$32,'Assumption-Base'!$A$3:$A$32,$B227,'Assumption-Base'!$B$3:$B$32,$C227)</f>
        <v>1.8000000000000001E-4</v>
      </c>
      <c r="L227" s="19">
        <f t="shared" si="24"/>
        <v>2148.1651054080003</v>
      </c>
      <c r="M227" s="99">
        <f t="shared" si="25"/>
        <v>39741.054450048003</v>
      </c>
      <c r="N227" s="97">
        <f>SUMIFS('Assumption-Base'!$G$3:$G$32,'Assumption-Base'!$A$3:$A$32,$B227,'Assumption-Base'!$B$3:$B$32,$C227)</f>
        <v>0.4</v>
      </c>
      <c r="O227" s="19">
        <f t="shared" si="26"/>
        <v>21481.651054080005</v>
      </c>
      <c r="P227" s="99">
        <f t="shared" si="27"/>
        <v>18259.403395967998</v>
      </c>
    </row>
    <row r="228" spans="1:16" x14ac:dyDescent="0.35">
      <c r="A228" s="96" t="str">
        <f>LEFT('2025 actual v budget'!A228,4)&amp;"26"</f>
        <v>Aug-26</v>
      </c>
      <c r="B228" s="17" t="str">
        <f>'2025 actual v budget'!B228</f>
        <v>Mexico</v>
      </c>
      <c r="C228" s="17" t="str">
        <f>'2025 actual v budget'!C228</f>
        <v>Cross-border Payouts</v>
      </c>
      <c r="D228" s="19">
        <f>'2025 actual v budget'!D228</f>
        <v>13501092.75</v>
      </c>
      <c r="E228" s="97">
        <f>SUMIFS('Assumption-Base'!$C$3:$C$32,'Assumption-Base'!$A$3:$A$32,$B228,'Assumption-Base'!$B$3:$B$32,$C228)</f>
        <v>0.15</v>
      </c>
      <c r="F228" s="19">
        <f t="shared" si="21"/>
        <v>15526256.6625</v>
      </c>
      <c r="G228" s="98">
        <f>SUMIFS('Assumption-Base'!$D$3:$D$32,'Assumption-Base'!$A$3:$A$32,$B228,'Assumption-Base'!$B$3:$B$32,$C228)</f>
        <v>7.4999999999999997E-3</v>
      </c>
      <c r="H228" s="99">
        <f t="shared" si="22"/>
        <v>116446.92496875</v>
      </c>
      <c r="I228" s="97">
        <f>SUMIFS('Assumption-Base'!$E$3:$E$32,'Assumption-Base'!$A$3:$A$32,$B228,'Assumption-Base'!$B$3:$B$32,$C228)</f>
        <v>0.35</v>
      </c>
      <c r="J228" s="19">
        <f t="shared" si="23"/>
        <v>40756.423739062498</v>
      </c>
      <c r="K228" s="100">
        <f>SUMIFS('Assumption-Base'!$F$3:$F$32,'Assumption-Base'!$A$3:$A$32,$B228,'Assumption-Base'!$B$3:$B$32,$C228)</f>
        <v>8.0000000000000007E-5</v>
      </c>
      <c r="L228" s="19">
        <f t="shared" si="24"/>
        <v>1242.100533</v>
      </c>
      <c r="M228" s="99">
        <f t="shared" si="25"/>
        <v>74448.400696687502</v>
      </c>
      <c r="N228" s="97">
        <f>SUMIFS('Assumption-Base'!$G$3:$G$32,'Assumption-Base'!$A$3:$A$32,$B228,'Assumption-Base'!$B$3:$B$32,$C228)</f>
        <v>0.4</v>
      </c>
      <c r="O228" s="19">
        <f t="shared" si="26"/>
        <v>46578.769987500003</v>
      </c>
      <c r="P228" s="99">
        <f t="shared" si="27"/>
        <v>27869.630709187499</v>
      </c>
    </row>
    <row r="229" spans="1:16" x14ac:dyDescent="0.35">
      <c r="A229" s="96" t="str">
        <f>LEFT('2025 actual v budget'!A229,4)&amp;"26"</f>
        <v>Aug-26</v>
      </c>
      <c r="B229" s="17" t="str">
        <f>'2025 actual v budget'!B229</f>
        <v>Mexico</v>
      </c>
      <c r="C229" s="17" t="str">
        <f>'2025 actual v budget'!C229</f>
        <v>FX Conversion</v>
      </c>
      <c r="D229" s="19">
        <f>'2025 actual v budget'!D229</f>
        <v>20887160.43</v>
      </c>
      <c r="E229" s="97">
        <f>SUMIFS('Assumption-Base'!$C$3:$C$32,'Assumption-Base'!$A$3:$A$32,$B229,'Assumption-Base'!$B$3:$B$32,$C229)</f>
        <v>0.15</v>
      </c>
      <c r="F229" s="19">
        <f t="shared" si="21"/>
        <v>24020234.494499996</v>
      </c>
      <c r="G229" s="98">
        <f>SUMIFS('Assumption-Base'!$D$3:$D$32,'Assumption-Base'!$A$3:$A$32,$B229,'Assumption-Base'!$B$3:$B$32,$C229)</f>
        <v>1.0500000000000001E-2</v>
      </c>
      <c r="H229" s="99">
        <f t="shared" si="22"/>
        <v>252212.46219224998</v>
      </c>
      <c r="I229" s="97">
        <f>SUMIFS('Assumption-Base'!$E$3:$E$32,'Assumption-Base'!$A$3:$A$32,$B229,'Assumption-Base'!$B$3:$B$32,$C229)</f>
        <v>0.28000000000000003</v>
      </c>
      <c r="J229" s="19">
        <f t="shared" si="23"/>
        <v>70619.489413830001</v>
      </c>
      <c r="K229" s="100">
        <f>SUMIFS('Assumption-Base'!$F$3:$F$32,'Assumption-Base'!$A$3:$A$32,$B229,'Assumption-Base'!$B$3:$B$32,$C229)</f>
        <v>8.0000000000000007E-5</v>
      </c>
      <c r="L229" s="19">
        <f t="shared" si="24"/>
        <v>1921.6187595599999</v>
      </c>
      <c r="M229" s="99">
        <f t="shared" si="25"/>
        <v>179671.35401885997</v>
      </c>
      <c r="N229" s="97">
        <f>SUMIFS('Assumption-Base'!$G$3:$G$32,'Assumption-Base'!$A$3:$A$32,$B229,'Assumption-Base'!$B$3:$B$32,$C229)</f>
        <v>0.4</v>
      </c>
      <c r="O229" s="19">
        <f t="shared" si="26"/>
        <v>100884.98487689999</v>
      </c>
      <c r="P229" s="99">
        <f t="shared" si="27"/>
        <v>78786.369141959978</v>
      </c>
    </row>
    <row r="230" spans="1:16" x14ac:dyDescent="0.35">
      <c r="A230" s="96" t="str">
        <f>LEFT('2025 actual v budget'!A230,4)&amp;"26"</f>
        <v>Aug-26</v>
      </c>
      <c r="B230" s="17" t="str">
        <f>'2025 actual v budget'!B230</f>
        <v>Mexico</v>
      </c>
      <c r="C230" s="17" t="str">
        <f>'2025 actual v budget'!C230</f>
        <v>Stablecoin Settlement</v>
      </c>
      <c r="D230" s="19">
        <f>'2025 actual v budget'!D230</f>
        <v>31966739.370000001</v>
      </c>
      <c r="E230" s="97">
        <f>SUMIFS('Assumption-Base'!$C$3:$C$32,'Assumption-Base'!$A$3:$A$32,$B230,'Assumption-Base'!$B$3:$B$32,$C230)</f>
        <v>0.3</v>
      </c>
      <c r="F230" s="19">
        <f t="shared" si="21"/>
        <v>41556761.181000002</v>
      </c>
      <c r="G230" s="98">
        <f>SUMIFS('Assumption-Base'!$D$3:$D$32,'Assumption-Base'!$A$3:$A$32,$B230,'Assumption-Base'!$B$3:$B$32,$C230)</f>
        <v>6.4999999999999997E-3</v>
      </c>
      <c r="H230" s="99">
        <f t="shared" si="22"/>
        <v>270118.94767650001</v>
      </c>
      <c r="I230" s="97">
        <f>SUMIFS('Assumption-Base'!$E$3:$E$32,'Assumption-Base'!$A$3:$A$32,$B230,'Assumption-Base'!$B$3:$B$32,$C230)</f>
        <v>0.32</v>
      </c>
      <c r="J230" s="19">
        <f t="shared" si="23"/>
        <v>86438.063256480003</v>
      </c>
      <c r="K230" s="100">
        <f>SUMIFS('Assumption-Base'!$F$3:$F$32,'Assumption-Base'!$A$3:$A$32,$B230,'Assumption-Base'!$B$3:$B$32,$C230)</f>
        <v>8.0000000000000007E-5</v>
      </c>
      <c r="L230" s="19">
        <f t="shared" si="24"/>
        <v>3324.5408944800006</v>
      </c>
      <c r="M230" s="99">
        <f t="shared" si="25"/>
        <v>180356.34352554</v>
      </c>
      <c r="N230" s="97">
        <f>SUMIFS('Assumption-Base'!$G$3:$G$32,'Assumption-Base'!$A$3:$A$32,$B230,'Assumption-Base'!$B$3:$B$32,$C230)</f>
        <v>0.4</v>
      </c>
      <c r="O230" s="19">
        <f t="shared" si="26"/>
        <v>108047.57907060001</v>
      </c>
      <c r="P230" s="99">
        <f t="shared" si="27"/>
        <v>72308.764454939985</v>
      </c>
    </row>
    <row r="231" spans="1:16" x14ac:dyDescent="0.35">
      <c r="A231" s="96" t="str">
        <f>LEFT('2025 actual v budget'!A231,4)&amp;"26"</f>
        <v>Aug-26</v>
      </c>
      <c r="B231" s="17" t="str">
        <f>'2025 actual v budget'!B231</f>
        <v>Mexico</v>
      </c>
      <c r="C231" s="17" t="str">
        <f>'2025 actual v budget'!C231</f>
        <v>Treasury Yield</v>
      </c>
      <c r="D231" s="19">
        <f>'2025 actual v budget'!D231</f>
        <v>8689942.6799999997</v>
      </c>
      <c r="E231" s="97">
        <f>SUMIFS('Assumption-Base'!$C$3:$C$32,'Assumption-Base'!$A$3:$A$32,$B231,'Assumption-Base'!$B$3:$B$32,$C231)</f>
        <v>0.15</v>
      </c>
      <c r="F231" s="19">
        <f t="shared" si="21"/>
        <v>9993434.0819999985</v>
      </c>
      <c r="G231" s="98">
        <f>SUMIFS('Assumption-Base'!$D$3:$D$32,'Assumption-Base'!$A$3:$A$32,$B231,'Assumption-Base'!$B$3:$B$32,$C231)</f>
        <v>3.0000000000000001E-3</v>
      </c>
      <c r="H231" s="99">
        <f t="shared" si="22"/>
        <v>29980.302245999996</v>
      </c>
      <c r="I231" s="97">
        <f>SUMIFS('Assumption-Base'!$E$3:$E$32,'Assumption-Base'!$A$3:$A$32,$B231,'Assumption-Base'!$B$3:$B$32,$C231)</f>
        <v>0.18</v>
      </c>
      <c r="J231" s="19">
        <f t="shared" si="23"/>
        <v>5396.4544042799989</v>
      </c>
      <c r="K231" s="100">
        <f>SUMIFS('Assumption-Base'!$F$3:$F$32,'Assumption-Base'!$A$3:$A$32,$B231,'Assumption-Base'!$B$3:$B$32,$C231)</f>
        <v>8.0000000000000007E-5</v>
      </c>
      <c r="L231" s="19">
        <f t="shared" si="24"/>
        <v>799.47472655999991</v>
      </c>
      <c r="M231" s="99">
        <f t="shared" si="25"/>
        <v>23784.373115159993</v>
      </c>
      <c r="N231" s="97">
        <f>SUMIFS('Assumption-Base'!$G$3:$G$32,'Assumption-Base'!$A$3:$A$32,$B231,'Assumption-Base'!$B$3:$B$32,$C231)</f>
        <v>0.4</v>
      </c>
      <c r="O231" s="19">
        <f t="shared" si="26"/>
        <v>11992.120898399999</v>
      </c>
      <c r="P231" s="99">
        <f t="shared" si="27"/>
        <v>11792.252216759995</v>
      </c>
    </row>
    <row r="232" spans="1:16" x14ac:dyDescent="0.35">
      <c r="A232" s="96" t="str">
        <f>LEFT('2025 actual v budget'!A232,4)&amp;"26"</f>
        <v>Aug-26</v>
      </c>
      <c r="B232" s="17" t="str">
        <f>'2025 actual v budget'!B232</f>
        <v>Mexico</v>
      </c>
      <c r="C232" s="17" t="str">
        <f>'2025 actual v budget'!C232</f>
        <v>Virtual Accounts</v>
      </c>
      <c r="D232" s="19">
        <f>'2025 actual v budget'!D232</f>
        <v>12603411.51</v>
      </c>
      <c r="E232" s="97">
        <f>SUMIFS('Assumption-Base'!$C$3:$C$32,'Assumption-Base'!$A$3:$A$32,$B232,'Assumption-Base'!$B$3:$B$32,$C232)</f>
        <v>0.15</v>
      </c>
      <c r="F232" s="19">
        <f t="shared" si="21"/>
        <v>14493923.236499999</v>
      </c>
      <c r="G232" s="98">
        <f>SUMIFS('Assumption-Base'!$D$3:$D$32,'Assumption-Base'!$A$3:$A$32,$B232,'Assumption-Base'!$B$3:$B$32,$C232)</f>
        <v>4.4999999999999997E-3</v>
      </c>
      <c r="H232" s="99">
        <f t="shared" si="22"/>
        <v>65222.654564249991</v>
      </c>
      <c r="I232" s="97">
        <f>SUMIFS('Assumption-Base'!$E$3:$E$32,'Assumption-Base'!$A$3:$A$32,$B232,'Assumption-Base'!$B$3:$B$32,$C232)</f>
        <v>0.22</v>
      </c>
      <c r="J232" s="19">
        <f t="shared" si="23"/>
        <v>14348.984004134998</v>
      </c>
      <c r="K232" s="100">
        <f>SUMIFS('Assumption-Base'!$F$3:$F$32,'Assumption-Base'!$A$3:$A$32,$B232,'Assumption-Base'!$B$3:$B$32,$C232)</f>
        <v>8.0000000000000007E-5</v>
      </c>
      <c r="L232" s="19">
        <f t="shared" si="24"/>
        <v>1159.5138589200001</v>
      </c>
      <c r="M232" s="99">
        <f t="shared" si="25"/>
        <v>49714.156701194996</v>
      </c>
      <c r="N232" s="97">
        <f>SUMIFS('Assumption-Base'!$G$3:$G$32,'Assumption-Base'!$A$3:$A$32,$B232,'Assumption-Base'!$B$3:$B$32,$C232)</f>
        <v>0.4</v>
      </c>
      <c r="O232" s="19">
        <f t="shared" si="26"/>
        <v>26089.061825699999</v>
      </c>
      <c r="P232" s="99">
        <f t="shared" si="27"/>
        <v>23625.094875494997</v>
      </c>
    </row>
    <row r="233" spans="1:16" x14ac:dyDescent="0.35">
      <c r="A233" s="96" t="str">
        <f>LEFT('2025 actual v budget'!A233,4)&amp;"26"</f>
        <v>Aug-26</v>
      </c>
      <c r="B233" s="17" t="str">
        <f>'2025 actual v budget'!B233</f>
        <v>Singapore</v>
      </c>
      <c r="C233" s="17" t="str">
        <f>'2025 actual v budget'!C233</f>
        <v>Cross-border Payouts</v>
      </c>
      <c r="D233" s="19">
        <f>'2025 actual v budget'!D233</f>
        <v>10674025.66</v>
      </c>
      <c r="E233" s="97">
        <f>SUMIFS('Assumption-Base'!$C$3:$C$32,'Assumption-Base'!$A$3:$A$32,$B233,'Assumption-Base'!$B$3:$B$32,$C233)</f>
        <v>0.05</v>
      </c>
      <c r="F233" s="19">
        <f t="shared" si="21"/>
        <v>11207726.943</v>
      </c>
      <c r="G233" s="98">
        <f>SUMIFS('Assumption-Base'!$D$3:$D$32,'Assumption-Base'!$A$3:$A$32,$B233,'Assumption-Base'!$B$3:$B$32,$C233)</f>
        <v>7.4999999999999997E-3</v>
      </c>
      <c r="H233" s="99">
        <f t="shared" si="22"/>
        <v>84057.952072500004</v>
      </c>
      <c r="I233" s="97">
        <f>SUMIFS('Assumption-Base'!$E$3:$E$32,'Assumption-Base'!$A$3:$A$32,$B233,'Assumption-Base'!$B$3:$B$32,$C233)</f>
        <v>0.35</v>
      </c>
      <c r="J233" s="19">
        <f t="shared" si="23"/>
        <v>29420.283225374998</v>
      </c>
      <c r="K233" s="100">
        <f>SUMIFS('Assumption-Base'!$F$3:$F$32,'Assumption-Base'!$A$3:$A$32,$B233,'Assumption-Base'!$B$3:$B$32,$C233)</f>
        <v>9.0000000000000006E-5</v>
      </c>
      <c r="L233" s="19">
        <f t="shared" si="24"/>
        <v>1008.69542487</v>
      </c>
      <c r="M233" s="99">
        <f t="shared" si="25"/>
        <v>53628.973422255011</v>
      </c>
      <c r="N233" s="97">
        <f>SUMIFS('Assumption-Base'!$G$3:$G$32,'Assumption-Base'!$A$3:$A$32,$B233,'Assumption-Base'!$B$3:$B$32,$C233)</f>
        <v>0.4</v>
      </c>
      <c r="O233" s="19">
        <f t="shared" si="26"/>
        <v>33623.180829000004</v>
      </c>
      <c r="P233" s="99">
        <f t="shared" si="27"/>
        <v>20005.792593255006</v>
      </c>
    </row>
    <row r="234" spans="1:16" x14ac:dyDescent="0.35">
      <c r="A234" s="96" t="str">
        <f>LEFT('2025 actual v budget'!A234,4)&amp;"26"</f>
        <v>Aug-26</v>
      </c>
      <c r="B234" s="17" t="str">
        <f>'2025 actual v budget'!B234</f>
        <v>Singapore</v>
      </c>
      <c r="C234" s="17" t="str">
        <f>'2025 actual v budget'!C234</f>
        <v>FX Conversion</v>
      </c>
      <c r="D234" s="19">
        <f>'2025 actual v budget'!D234</f>
        <v>16505770.01</v>
      </c>
      <c r="E234" s="97">
        <f>SUMIFS('Assumption-Base'!$C$3:$C$32,'Assumption-Base'!$A$3:$A$32,$B234,'Assumption-Base'!$B$3:$B$32,$C234)</f>
        <v>0.05</v>
      </c>
      <c r="F234" s="19">
        <f t="shared" si="21"/>
        <v>17331058.510499999</v>
      </c>
      <c r="G234" s="98">
        <f>SUMIFS('Assumption-Base'!$D$3:$D$32,'Assumption-Base'!$A$3:$A$32,$B234,'Assumption-Base'!$B$3:$B$32,$C234)</f>
        <v>1.0500000000000001E-2</v>
      </c>
      <c r="H234" s="99">
        <f t="shared" si="22"/>
        <v>181976.11436025001</v>
      </c>
      <c r="I234" s="97">
        <f>SUMIFS('Assumption-Base'!$E$3:$E$32,'Assumption-Base'!$A$3:$A$32,$B234,'Assumption-Base'!$B$3:$B$32,$C234)</f>
        <v>0.28000000000000003</v>
      </c>
      <c r="J234" s="19">
        <f t="shared" si="23"/>
        <v>50953.312020870006</v>
      </c>
      <c r="K234" s="100">
        <f>SUMIFS('Assumption-Base'!$F$3:$F$32,'Assumption-Base'!$A$3:$A$32,$B234,'Assumption-Base'!$B$3:$B$32,$C234)</f>
        <v>9.0000000000000006E-5</v>
      </c>
      <c r="L234" s="19">
        <f t="shared" si="24"/>
        <v>1559.795265945</v>
      </c>
      <c r="M234" s="99">
        <f t="shared" si="25"/>
        <v>129463.007073435</v>
      </c>
      <c r="N234" s="97">
        <f>SUMIFS('Assumption-Base'!$G$3:$G$32,'Assumption-Base'!$A$3:$A$32,$B234,'Assumption-Base'!$B$3:$B$32,$C234)</f>
        <v>0.4</v>
      </c>
      <c r="O234" s="19">
        <f t="shared" si="26"/>
        <v>72790.445744100012</v>
      </c>
      <c r="P234" s="99">
        <f t="shared" si="27"/>
        <v>56672.561329334989</v>
      </c>
    </row>
    <row r="235" spans="1:16" x14ac:dyDescent="0.35">
      <c r="A235" s="96" t="str">
        <f>LEFT('2025 actual v budget'!A235,4)&amp;"26"</f>
        <v>Aug-26</v>
      </c>
      <c r="B235" s="17" t="str">
        <f>'2025 actual v budget'!B235</f>
        <v>Singapore</v>
      </c>
      <c r="C235" s="17" t="str">
        <f>'2025 actual v budget'!C235</f>
        <v>Stablecoin Settlement</v>
      </c>
      <c r="D235" s="19">
        <f>'2025 actual v budget'!D235</f>
        <v>25273050.300000001</v>
      </c>
      <c r="E235" s="97">
        <f>SUMIFS('Assumption-Base'!$C$3:$C$32,'Assumption-Base'!$A$3:$A$32,$B235,'Assumption-Base'!$B$3:$B$32,$C235)</f>
        <v>0.1</v>
      </c>
      <c r="F235" s="19">
        <f t="shared" si="21"/>
        <v>27800355.330000002</v>
      </c>
      <c r="G235" s="98">
        <f>SUMIFS('Assumption-Base'!$D$3:$D$32,'Assumption-Base'!$A$3:$A$32,$B235,'Assumption-Base'!$B$3:$B$32,$C235)</f>
        <v>6.4999999999999997E-3</v>
      </c>
      <c r="H235" s="99">
        <f t="shared" si="22"/>
        <v>180702.309645</v>
      </c>
      <c r="I235" s="97">
        <f>SUMIFS('Assumption-Base'!$E$3:$E$32,'Assumption-Base'!$A$3:$A$32,$B235,'Assumption-Base'!$B$3:$B$32,$C235)</f>
        <v>0.32</v>
      </c>
      <c r="J235" s="19">
        <f t="shared" si="23"/>
        <v>57824.739086400004</v>
      </c>
      <c r="K235" s="100">
        <f>SUMIFS('Assumption-Base'!$F$3:$F$32,'Assumption-Base'!$A$3:$A$32,$B235,'Assumption-Base'!$B$3:$B$32,$C235)</f>
        <v>9.0000000000000006E-5</v>
      </c>
      <c r="L235" s="19">
        <f t="shared" si="24"/>
        <v>2502.0319797000002</v>
      </c>
      <c r="M235" s="99">
        <f t="shared" si="25"/>
        <v>120375.5385789</v>
      </c>
      <c r="N235" s="97">
        <f>SUMIFS('Assumption-Base'!$G$3:$G$32,'Assumption-Base'!$A$3:$A$32,$B235,'Assumption-Base'!$B$3:$B$32,$C235)</f>
        <v>0.4</v>
      </c>
      <c r="O235" s="19">
        <f t="shared" si="26"/>
        <v>72280.923858000009</v>
      </c>
      <c r="P235" s="99">
        <f t="shared" si="27"/>
        <v>48094.61472089999</v>
      </c>
    </row>
    <row r="236" spans="1:16" x14ac:dyDescent="0.35">
      <c r="A236" s="96" t="str">
        <f>LEFT('2025 actual v budget'!A236,4)&amp;"26"</f>
        <v>Aug-26</v>
      </c>
      <c r="B236" s="17" t="str">
        <f>'2025 actual v budget'!B236</f>
        <v>Singapore</v>
      </c>
      <c r="C236" s="17" t="str">
        <f>'2025 actual v budget'!C236</f>
        <v>Treasury Yield</v>
      </c>
      <c r="D236" s="19">
        <f>'2025 actual v budget'!D236</f>
        <v>6867098.8399999999</v>
      </c>
      <c r="E236" s="97">
        <f>SUMIFS('Assumption-Base'!$C$3:$C$32,'Assumption-Base'!$A$3:$A$32,$B236,'Assumption-Base'!$B$3:$B$32,$C236)</f>
        <v>0.05</v>
      </c>
      <c r="F236" s="19">
        <f t="shared" si="21"/>
        <v>7210453.7820000006</v>
      </c>
      <c r="G236" s="98">
        <f>SUMIFS('Assumption-Base'!$D$3:$D$32,'Assumption-Base'!$A$3:$A$32,$B236,'Assumption-Base'!$B$3:$B$32,$C236)</f>
        <v>3.0000000000000001E-3</v>
      </c>
      <c r="H236" s="99">
        <f t="shared" si="22"/>
        <v>21631.361346000002</v>
      </c>
      <c r="I236" s="97">
        <f>SUMIFS('Assumption-Base'!$E$3:$E$32,'Assumption-Base'!$A$3:$A$32,$B236,'Assumption-Base'!$B$3:$B$32,$C236)</f>
        <v>0.18</v>
      </c>
      <c r="J236" s="19">
        <f t="shared" si="23"/>
        <v>3893.6450422800003</v>
      </c>
      <c r="K236" s="100">
        <f>SUMIFS('Assumption-Base'!$F$3:$F$32,'Assumption-Base'!$A$3:$A$32,$B236,'Assumption-Base'!$B$3:$B$32,$C236)</f>
        <v>9.0000000000000006E-5</v>
      </c>
      <c r="L236" s="19">
        <f t="shared" si="24"/>
        <v>648.94084038000005</v>
      </c>
      <c r="M236" s="99">
        <f t="shared" si="25"/>
        <v>17088.77546334</v>
      </c>
      <c r="N236" s="97">
        <f>SUMIFS('Assumption-Base'!$G$3:$G$32,'Assumption-Base'!$A$3:$A$32,$B236,'Assumption-Base'!$B$3:$B$32,$C236)</f>
        <v>0.4</v>
      </c>
      <c r="O236" s="19">
        <f t="shared" si="26"/>
        <v>8652.5445384000013</v>
      </c>
      <c r="P236" s="99">
        <f t="shared" si="27"/>
        <v>8436.2309249399987</v>
      </c>
    </row>
    <row r="237" spans="1:16" x14ac:dyDescent="0.35">
      <c r="A237" s="96" t="str">
        <f>LEFT('2025 actual v budget'!A237,4)&amp;"26"</f>
        <v>Aug-26</v>
      </c>
      <c r="B237" s="17" t="str">
        <f>'2025 actual v budget'!B237</f>
        <v>Singapore</v>
      </c>
      <c r="C237" s="17" t="str">
        <f>'2025 actual v budget'!C237</f>
        <v>Virtual Accounts</v>
      </c>
      <c r="D237" s="19">
        <f>'2025 actual v budget'!D237</f>
        <v>9959659.7799999993</v>
      </c>
      <c r="E237" s="97">
        <f>SUMIFS('Assumption-Base'!$C$3:$C$32,'Assumption-Base'!$A$3:$A$32,$B237,'Assumption-Base'!$B$3:$B$32,$C237)</f>
        <v>0.05</v>
      </c>
      <c r="F237" s="19">
        <f t="shared" si="21"/>
        <v>10457642.768999999</v>
      </c>
      <c r="G237" s="98">
        <f>SUMIFS('Assumption-Base'!$D$3:$D$32,'Assumption-Base'!$A$3:$A$32,$B237,'Assumption-Base'!$B$3:$B$32,$C237)</f>
        <v>4.4999999999999997E-3</v>
      </c>
      <c r="H237" s="99">
        <f t="shared" si="22"/>
        <v>47059.392460499992</v>
      </c>
      <c r="I237" s="97">
        <f>SUMIFS('Assumption-Base'!$E$3:$E$32,'Assumption-Base'!$A$3:$A$32,$B237,'Assumption-Base'!$B$3:$B$32,$C237)</f>
        <v>0.22</v>
      </c>
      <c r="J237" s="19">
        <f t="shared" si="23"/>
        <v>10353.066341309999</v>
      </c>
      <c r="K237" s="100">
        <f>SUMIFS('Assumption-Base'!$F$3:$F$32,'Assumption-Base'!$A$3:$A$32,$B237,'Assumption-Base'!$B$3:$B$32,$C237)</f>
        <v>9.0000000000000006E-5</v>
      </c>
      <c r="L237" s="19">
        <f t="shared" si="24"/>
        <v>941.18784920999997</v>
      </c>
      <c r="M237" s="99">
        <f t="shared" si="25"/>
        <v>35765.138269979994</v>
      </c>
      <c r="N237" s="97">
        <f>SUMIFS('Assumption-Base'!$G$3:$G$32,'Assumption-Base'!$A$3:$A$32,$B237,'Assumption-Base'!$B$3:$B$32,$C237)</f>
        <v>0.4</v>
      </c>
      <c r="O237" s="19">
        <f t="shared" si="26"/>
        <v>18823.756984199998</v>
      </c>
      <c r="P237" s="99">
        <f t="shared" si="27"/>
        <v>16941.381285779997</v>
      </c>
    </row>
    <row r="238" spans="1:16" x14ac:dyDescent="0.35">
      <c r="A238" s="96" t="str">
        <f>LEFT('2025 actual v budget'!A238,4)&amp;"26"</f>
        <v>Aug-26</v>
      </c>
      <c r="B238" s="17" t="str">
        <f>'2025 actual v budget'!B238</f>
        <v>USA</v>
      </c>
      <c r="C238" s="17" t="str">
        <f>'2025 actual v budget'!C238</f>
        <v>Cross-border Payouts</v>
      </c>
      <c r="D238" s="19">
        <f>'2025 actual v budget'!D238</f>
        <v>25812265.719999999</v>
      </c>
      <c r="E238" s="97">
        <f>SUMIFS('Assumption-Base'!$C$3:$C$32,'Assumption-Base'!$A$3:$A$32,$B238,'Assumption-Base'!$B$3:$B$32,$C238)</f>
        <v>0.1</v>
      </c>
      <c r="F238" s="19">
        <f t="shared" si="21"/>
        <v>28393492.291999999</v>
      </c>
      <c r="G238" s="98">
        <f>SUMIFS('Assumption-Base'!$D$3:$D$32,'Assumption-Base'!$A$3:$A$32,$B238,'Assumption-Base'!$B$3:$B$32,$C238)</f>
        <v>7.4999999999999997E-3</v>
      </c>
      <c r="H238" s="99">
        <f t="shared" si="22"/>
        <v>212951.19219</v>
      </c>
      <c r="I238" s="97">
        <f>SUMIFS('Assumption-Base'!$E$3:$E$32,'Assumption-Base'!$A$3:$A$32,$B238,'Assumption-Base'!$B$3:$B$32,$C238)</f>
        <v>0.35</v>
      </c>
      <c r="J238" s="19">
        <f t="shared" si="23"/>
        <v>74532.917266499993</v>
      </c>
      <c r="K238" s="100">
        <f>SUMIFS('Assumption-Base'!$F$3:$F$32,'Assumption-Base'!$A$3:$A$32,$B238,'Assumption-Base'!$B$3:$B$32,$C238)</f>
        <v>2.0000000000000001E-4</v>
      </c>
      <c r="L238" s="19">
        <f t="shared" si="24"/>
        <v>5678.6984584000002</v>
      </c>
      <c r="M238" s="99">
        <f t="shared" si="25"/>
        <v>132739.57646510002</v>
      </c>
      <c r="N238" s="97">
        <f>SUMIFS('Assumption-Base'!$G$3:$G$32,'Assumption-Base'!$A$3:$A$32,$B238,'Assumption-Base'!$B$3:$B$32,$C238)</f>
        <v>0.4</v>
      </c>
      <c r="O238" s="19">
        <f t="shared" si="26"/>
        <v>85180.476876000001</v>
      </c>
      <c r="P238" s="99">
        <f t="shared" si="27"/>
        <v>47559.09958910002</v>
      </c>
    </row>
    <row r="239" spans="1:16" x14ac:dyDescent="0.35">
      <c r="A239" s="96" t="str">
        <f>LEFT('2025 actual v budget'!A239,4)&amp;"26"</f>
        <v>Aug-26</v>
      </c>
      <c r="B239" s="17" t="str">
        <f>'2025 actual v budget'!B239</f>
        <v>USA</v>
      </c>
      <c r="C239" s="17" t="str">
        <f>'2025 actual v budget'!C239</f>
        <v>FX Conversion</v>
      </c>
      <c r="D239" s="19">
        <f>'2025 actual v budget'!D239</f>
        <v>39908438.710000001</v>
      </c>
      <c r="E239" s="97">
        <f>SUMIFS('Assumption-Base'!$C$3:$C$32,'Assumption-Base'!$A$3:$A$32,$B239,'Assumption-Base'!$B$3:$B$32,$C239)</f>
        <v>0.1</v>
      </c>
      <c r="F239" s="19">
        <f t="shared" si="21"/>
        <v>43899282.581000008</v>
      </c>
      <c r="G239" s="98">
        <f>SUMIFS('Assumption-Base'!$D$3:$D$32,'Assumption-Base'!$A$3:$A$32,$B239,'Assumption-Base'!$B$3:$B$32,$C239)</f>
        <v>1.0500000000000001E-2</v>
      </c>
      <c r="H239" s="99">
        <f t="shared" si="22"/>
        <v>460942.46710050013</v>
      </c>
      <c r="I239" s="97">
        <f>SUMIFS('Assumption-Base'!$E$3:$E$32,'Assumption-Base'!$A$3:$A$32,$B239,'Assumption-Base'!$B$3:$B$32,$C239)</f>
        <v>0.28000000000000003</v>
      </c>
      <c r="J239" s="19">
        <f t="shared" si="23"/>
        <v>129063.89078814005</v>
      </c>
      <c r="K239" s="100">
        <f>SUMIFS('Assumption-Base'!$F$3:$F$32,'Assumption-Base'!$A$3:$A$32,$B239,'Assumption-Base'!$B$3:$B$32,$C239)</f>
        <v>2.0000000000000001E-4</v>
      </c>
      <c r="L239" s="19">
        <f t="shared" si="24"/>
        <v>8779.8565162000014</v>
      </c>
      <c r="M239" s="99">
        <f t="shared" si="25"/>
        <v>323098.71979616006</v>
      </c>
      <c r="N239" s="97">
        <f>SUMIFS('Assumption-Base'!$G$3:$G$32,'Assumption-Base'!$A$3:$A$32,$B239,'Assumption-Base'!$B$3:$B$32,$C239)</f>
        <v>0.4</v>
      </c>
      <c r="O239" s="19">
        <f t="shared" si="26"/>
        <v>184376.98684020006</v>
      </c>
      <c r="P239" s="99">
        <f t="shared" si="27"/>
        <v>138721.73295596</v>
      </c>
    </row>
    <row r="240" spans="1:16" x14ac:dyDescent="0.35">
      <c r="A240" s="96" t="str">
        <f>LEFT('2025 actual v budget'!A240,4)&amp;"26"</f>
        <v>Aug-26</v>
      </c>
      <c r="B240" s="17" t="str">
        <f>'2025 actual v budget'!B240</f>
        <v>USA</v>
      </c>
      <c r="C240" s="17" t="str">
        <f>'2025 actual v budget'!C240</f>
        <v>Stablecoin Settlement</v>
      </c>
      <c r="D240" s="19">
        <f>'2025 actual v budget'!D240</f>
        <v>61116087.840000004</v>
      </c>
      <c r="E240" s="97">
        <f>SUMIFS('Assumption-Base'!$C$3:$C$32,'Assumption-Base'!$A$3:$A$32,$B240,'Assumption-Base'!$B$3:$B$32,$C240)</f>
        <v>0.2</v>
      </c>
      <c r="F240" s="19">
        <f t="shared" si="21"/>
        <v>73339305.408000007</v>
      </c>
      <c r="G240" s="98">
        <f>SUMIFS('Assumption-Base'!$D$3:$D$32,'Assumption-Base'!$A$3:$A$32,$B240,'Assumption-Base'!$B$3:$B$32,$C240)</f>
        <v>6.4999999999999997E-3</v>
      </c>
      <c r="H240" s="99">
        <f t="shared" si="22"/>
        <v>476705.48515200004</v>
      </c>
      <c r="I240" s="97">
        <f>SUMIFS('Assumption-Base'!$E$3:$E$32,'Assumption-Base'!$A$3:$A$32,$B240,'Assumption-Base'!$B$3:$B$32,$C240)</f>
        <v>0.32</v>
      </c>
      <c r="J240" s="19">
        <f t="shared" si="23"/>
        <v>152545.75524864002</v>
      </c>
      <c r="K240" s="100">
        <f>SUMIFS('Assumption-Base'!$F$3:$F$32,'Assumption-Base'!$A$3:$A$32,$B240,'Assumption-Base'!$B$3:$B$32,$C240)</f>
        <v>2.0000000000000001E-4</v>
      </c>
      <c r="L240" s="19">
        <f t="shared" si="24"/>
        <v>14667.861081600002</v>
      </c>
      <c r="M240" s="99">
        <f t="shared" si="25"/>
        <v>309491.86882176</v>
      </c>
      <c r="N240" s="97">
        <f>SUMIFS('Assumption-Base'!$G$3:$G$32,'Assumption-Base'!$A$3:$A$32,$B240,'Assumption-Base'!$B$3:$B$32,$C240)</f>
        <v>0.4</v>
      </c>
      <c r="O240" s="19">
        <f t="shared" si="26"/>
        <v>190682.19406080001</v>
      </c>
      <c r="P240" s="99">
        <f t="shared" si="27"/>
        <v>118809.67476095998</v>
      </c>
    </row>
    <row r="241" spans="1:16" x14ac:dyDescent="0.35">
      <c r="A241" s="96" t="str">
        <f>LEFT('2025 actual v budget'!A241,4)&amp;"26"</f>
        <v>Aug-26</v>
      </c>
      <c r="B241" s="17" t="str">
        <f>'2025 actual v budget'!B241</f>
        <v>USA</v>
      </c>
      <c r="C241" s="17" t="str">
        <f>'2025 actual v budget'!C241</f>
        <v>Treasury Yield</v>
      </c>
      <c r="D241" s="19">
        <f>'2025 actual v budget'!D241</f>
        <v>16603599.42</v>
      </c>
      <c r="E241" s="97">
        <f>SUMIFS('Assumption-Base'!$C$3:$C$32,'Assumption-Base'!$A$3:$A$32,$B241,'Assumption-Base'!$B$3:$B$32,$C241)</f>
        <v>0.1</v>
      </c>
      <c r="F241" s="19">
        <f t="shared" si="21"/>
        <v>18263959.362</v>
      </c>
      <c r="G241" s="98">
        <f>SUMIFS('Assumption-Base'!$D$3:$D$32,'Assumption-Base'!$A$3:$A$32,$B241,'Assumption-Base'!$B$3:$B$32,$C241)</f>
        <v>3.0000000000000001E-3</v>
      </c>
      <c r="H241" s="99">
        <f t="shared" si="22"/>
        <v>54791.878085999997</v>
      </c>
      <c r="I241" s="97">
        <f>SUMIFS('Assumption-Base'!$E$3:$E$32,'Assumption-Base'!$A$3:$A$32,$B241,'Assumption-Base'!$B$3:$B$32,$C241)</f>
        <v>0.18</v>
      </c>
      <c r="J241" s="19">
        <f t="shared" si="23"/>
        <v>9862.5380554799995</v>
      </c>
      <c r="K241" s="100">
        <f>SUMIFS('Assumption-Base'!$F$3:$F$32,'Assumption-Base'!$A$3:$A$32,$B241,'Assumption-Base'!$B$3:$B$32,$C241)</f>
        <v>2.0000000000000001E-4</v>
      </c>
      <c r="L241" s="19">
        <f t="shared" si="24"/>
        <v>3652.7918724000001</v>
      </c>
      <c r="M241" s="99">
        <f t="shared" si="25"/>
        <v>41276.54815812</v>
      </c>
      <c r="N241" s="97">
        <f>SUMIFS('Assumption-Base'!$G$3:$G$32,'Assumption-Base'!$A$3:$A$32,$B241,'Assumption-Base'!$B$3:$B$32,$C241)</f>
        <v>0.4</v>
      </c>
      <c r="O241" s="19">
        <f t="shared" si="26"/>
        <v>21916.751234399999</v>
      </c>
      <c r="P241" s="99">
        <f t="shared" si="27"/>
        <v>19359.796923720001</v>
      </c>
    </row>
    <row r="242" spans="1:16" x14ac:dyDescent="0.35">
      <c r="A242" s="96" t="str">
        <f>LEFT('2025 actual v budget'!A242,4)&amp;"26"</f>
        <v>Aug-26</v>
      </c>
      <c r="B242" s="17" t="str">
        <f>'2025 actual v budget'!B242</f>
        <v>USA</v>
      </c>
      <c r="C242" s="17" t="str">
        <f>'2025 actual v budget'!C242</f>
        <v>Virtual Accounts</v>
      </c>
      <c r="D242" s="19">
        <f>'2025 actual v budget'!D242</f>
        <v>24080940.890000001</v>
      </c>
      <c r="E242" s="97">
        <f>SUMIFS('Assumption-Base'!$C$3:$C$32,'Assumption-Base'!$A$3:$A$32,$B242,'Assumption-Base'!$B$3:$B$32,$C242)</f>
        <v>0.1</v>
      </c>
      <c r="F242" s="19">
        <f t="shared" si="21"/>
        <v>26489034.979000002</v>
      </c>
      <c r="G242" s="98">
        <f>SUMIFS('Assumption-Base'!$D$3:$D$32,'Assumption-Base'!$A$3:$A$32,$B242,'Assumption-Base'!$B$3:$B$32,$C242)</f>
        <v>4.4999999999999997E-3</v>
      </c>
      <c r="H242" s="99">
        <f t="shared" si="22"/>
        <v>119200.65740549999</v>
      </c>
      <c r="I242" s="97">
        <f>SUMIFS('Assumption-Base'!$E$3:$E$32,'Assumption-Base'!$A$3:$A$32,$B242,'Assumption-Base'!$B$3:$B$32,$C242)</f>
        <v>0.22</v>
      </c>
      <c r="J242" s="19">
        <f t="shared" si="23"/>
        <v>26224.144629209997</v>
      </c>
      <c r="K242" s="100">
        <f>SUMIFS('Assumption-Base'!$F$3:$F$32,'Assumption-Base'!$A$3:$A$32,$B242,'Assumption-Base'!$B$3:$B$32,$C242)</f>
        <v>2.0000000000000001E-4</v>
      </c>
      <c r="L242" s="19">
        <f t="shared" si="24"/>
        <v>5297.8069958000005</v>
      </c>
      <c r="M242" s="99">
        <f t="shared" si="25"/>
        <v>87678.705780489996</v>
      </c>
      <c r="N242" s="97">
        <f>SUMIFS('Assumption-Base'!$G$3:$G$32,'Assumption-Base'!$A$3:$A$32,$B242,'Assumption-Base'!$B$3:$B$32,$C242)</f>
        <v>0.4</v>
      </c>
      <c r="O242" s="19">
        <f t="shared" si="26"/>
        <v>47680.262962200002</v>
      </c>
      <c r="P242" s="99">
        <f t="shared" si="27"/>
        <v>39998.442818289994</v>
      </c>
    </row>
    <row r="243" spans="1:16" x14ac:dyDescent="0.35">
      <c r="A243" s="91" t="str">
        <f>LEFT('2025 actual v budget'!A243,4)&amp;"26"</f>
        <v>Sep-26</v>
      </c>
      <c r="B243" s="12" t="str">
        <f>'2025 actual v budget'!B243</f>
        <v>Brazil</v>
      </c>
      <c r="C243" s="12" t="str">
        <f>'2025 actual v budget'!C243</f>
        <v>Cross-border Payouts</v>
      </c>
      <c r="D243" s="14">
        <f>'2025 actual v budget'!D243</f>
        <v>17471607.609999999</v>
      </c>
      <c r="E243" s="92">
        <f>SUMIFS('Assumption-Base'!$C$3:$C$32,'Assumption-Base'!$A$3:$A$32,$B243,'Assumption-Base'!$B$3:$B$32,$C243)</f>
        <v>0.2</v>
      </c>
      <c r="F243" s="14">
        <f t="shared" si="21"/>
        <v>20965929.131999999</v>
      </c>
      <c r="G243" s="93">
        <f>SUMIFS('Assumption-Base'!$D$3:$D$32,'Assumption-Base'!$A$3:$A$32,$B243,'Assumption-Base'!$B$3:$B$32,$C243)</f>
        <v>7.4999999999999997E-3</v>
      </c>
      <c r="H243" s="94">
        <f t="shared" si="22"/>
        <v>157244.46849</v>
      </c>
      <c r="I243" s="92">
        <f>SUMIFS('Assumption-Base'!$E$3:$E$32,'Assumption-Base'!$A$3:$A$32,$B243,'Assumption-Base'!$B$3:$B$32,$C243)</f>
        <v>0.35</v>
      </c>
      <c r="J243" s="14">
        <f t="shared" si="23"/>
        <v>55035.5639715</v>
      </c>
      <c r="K243" s="95">
        <f>SUMIFS('Assumption-Base'!$F$3:$F$32,'Assumption-Base'!$A$3:$A$32,$B243,'Assumption-Base'!$B$3:$B$32,$C243)</f>
        <v>6.9999999999999994E-5</v>
      </c>
      <c r="L243" s="14">
        <f t="shared" si="24"/>
        <v>1467.6150392399998</v>
      </c>
      <c r="M243" s="94">
        <f t="shared" si="25"/>
        <v>100741.28947926</v>
      </c>
      <c r="N243" s="92">
        <f>SUMIFS('Assumption-Base'!$G$3:$G$32,'Assumption-Base'!$A$3:$A$32,$B243,'Assumption-Base'!$B$3:$B$32,$C243)</f>
        <v>0.4</v>
      </c>
      <c r="O243" s="14">
        <f t="shared" si="26"/>
        <v>62897.787396</v>
      </c>
      <c r="P243" s="94">
        <f t="shared" si="27"/>
        <v>37843.502083259998</v>
      </c>
    </row>
    <row r="244" spans="1:16" x14ac:dyDescent="0.35">
      <c r="A244" s="91" t="str">
        <f>LEFT('2025 actual v budget'!A244,4)&amp;"26"</f>
        <v>Sep-26</v>
      </c>
      <c r="B244" s="12" t="str">
        <f>'2025 actual v budget'!B244</f>
        <v>Brazil</v>
      </c>
      <c r="C244" s="12" t="str">
        <f>'2025 actual v budget'!C244</f>
        <v>FX Conversion</v>
      </c>
      <c r="D244" s="14">
        <f>'2025 actual v budget'!D244</f>
        <v>27224704.32</v>
      </c>
      <c r="E244" s="92">
        <f>SUMIFS('Assumption-Base'!$C$3:$C$32,'Assumption-Base'!$A$3:$A$32,$B244,'Assumption-Base'!$B$3:$B$32,$C244)</f>
        <v>0.2</v>
      </c>
      <c r="F244" s="14">
        <f t="shared" si="21"/>
        <v>32669645.184</v>
      </c>
      <c r="G244" s="93">
        <f>SUMIFS('Assumption-Base'!$D$3:$D$32,'Assumption-Base'!$A$3:$A$32,$B244,'Assumption-Base'!$B$3:$B$32,$C244)</f>
        <v>1.0500000000000001E-2</v>
      </c>
      <c r="H244" s="94">
        <f t="shared" si="22"/>
        <v>343031.27443200001</v>
      </c>
      <c r="I244" s="92">
        <f>SUMIFS('Assumption-Base'!$E$3:$E$32,'Assumption-Base'!$A$3:$A$32,$B244,'Assumption-Base'!$B$3:$B$32,$C244)</f>
        <v>0.28000000000000003</v>
      </c>
      <c r="J244" s="14">
        <f t="shared" si="23"/>
        <v>96048.756840960006</v>
      </c>
      <c r="K244" s="95">
        <f>SUMIFS('Assumption-Base'!$F$3:$F$32,'Assumption-Base'!$A$3:$A$32,$B244,'Assumption-Base'!$B$3:$B$32,$C244)</f>
        <v>6.9999999999999994E-5</v>
      </c>
      <c r="L244" s="14">
        <f t="shared" si="24"/>
        <v>2286.8751628799996</v>
      </c>
      <c r="M244" s="94">
        <f t="shared" si="25"/>
        <v>244695.64242816</v>
      </c>
      <c r="N244" s="92">
        <f>SUMIFS('Assumption-Base'!$G$3:$G$32,'Assumption-Base'!$A$3:$A$32,$B244,'Assumption-Base'!$B$3:$B$32,$C244)</f>
        <v>0.4</v>
      </c>
      <c r="O244" s="14">
        <f t="shared" si="26"/>
        <v>137212.5097728</v>
      </c>
      <c r="P244" s="94">
        <f t="shared" si="27"/>
        <v>107483.13265536001</v>
      </c>
    </row>
    <row r="245" spans="1:16" x14ac:dyDescent="0.35">
      <c r="A245" s="91" t="str">
        <f>LEFT('2025 actual v budget'!A245,4)&amp;"26"</f>
        <v>Sep-26</v>
      </c>
      <c r="B245" s="12" t="str">
        <f>'2025 actual v budget'!B245</f>
        <v>Brazil</v>
      </c>
      <c r="C245" s="12" t="str">
        <f>'2025 actual v budget'!C245</f>
        <v>Stablecoin Settlement</v>
      </c>
      <c r="D245" s="14">
        <f>'2025 actual v budget'!D245</f>
        <v>41152342.07</v>
      </c>
      <c r="E245" s="92">
        <f>SUMIFS('Assumption-Base'!$C$3:$C$32,'Assumption-Base'!$A$3:$A$32,$B245,'Assumption-Base'!$B$3:$B$32,$C245)</f>
        <v>0.4</v>
      </c>
      <c r="F245" s="14">
        <f t="shared" si="21"/>
        <v>57613278.897999994</v>
      </c>
      <c r="G245" s="93">
        <f>SUMIFS('Assumption-Base'!$D$3:$D$32,'Assumption-Base'!$A$3:$A$32,$B245,'Assumption-Base'!$B$3:$B$32,$C245)</f>
        <v>6.4999999999999997E-3</v>
      </c>
      <c r="H245" s="94">
        <f t="shared" si="22"/>
        <v>374486.31283699995</v>
      </c>
      <c r="I245" s="92">
        <f>SUMIFS('Assumption-Base'!$E$3:$E$32,'Assumption-Base'!$A$3:$A$32,$B245,'Assumption-Base'!$B$3:$B$32,$C245)</f>
        <v>0.32</v>
      </c>
      <c r="J245" s="14">
        <f t="shared" si="23"/>
        <v>119835.62010783999</v>
      </c>
      <c r="K245" s="95">
        <f>SUMIFS('Assumption-Base'!$F$3:$F$32,'Assumption-Base'!$A$3:$A$32,$B245,'Assumption-Base'!$B$3:$B$32,$C245)</f>
        <v>6.9999999999999994E-5</v>
      </c>
      <c r="L245" s="14">
        <f t="shared" si="24"/>
        <v>4032.9295228599995</v>
      </c>
      <c r="M245" s="94">
        <f t="shared" si="25"/>
        <v>250617.76320629995</v>
      </c>
      <c r="N245" s="92">
        <f>SUMIFS('Assumption-Base'!$G$3:$G$32,'Assumption-Base'!$A$3:$A$32,$B245,'Assumption-Base'!$B$3:$B$32,$C245)</f>
        <v>0.4</v>
      </c>
      <c r="O245" s="14">
        <f t="shared" si="26"/>
        <v>149794.52513479997</v>
      </c>
      <c r="P245" s="94">
        <f t="shared" si="27"/>
        <v>100823.23807149997</v>
      </c>
    </row>
    <row r="246" spans="1:16" x14ac:dyDescent="0.35">
      <c r="A246" s="91" t="str">
        <f>LEFT('2025 actual v budget'!A246,4)&amp;"26"</f>
        <v>Sep-26</v>
      </c>
      <c r="B246" s="12" t="str">
        <f>'2025 actual v budget'!B246</f>
        <v>Brazil</v>
      </c>
      <c r="C246" s="12" t="str">
        <f>'2025 actual v budget'!C246</f>
        <v>Treasury Yield</v>
      </c>
      <c r="D246" s="14">
        <f>'2025 actual v budget'!D246</f>
        <v>11154961.449999999</v>
      </c>
      <c r="E246" s="92">
        <f>SUMIFS('Assumption-Base'!$C$3:$C$32,'Assumption-Base'!$A$3:$A$32,$B246,'Assumption-Base'!$B$3:$B$32,$C246)</f>
        <v>0.2</v>
      </c>
      <c r="F246" s="14">
        <f t="shared" si="21"/>
        <v>13385953.739999998</v>
      </c>
      <c r="G246" s="93">
        <f>SUMIFS('Assumption-Base'!$D$3:$D$32,'Assumption-Base'!$A$3:$A$32,$B246,'Assumption-Base'!$B$3:$B$32,$C246)</f>
        <v>3.0000000000000001E-3</v>
      </c>
      <c r="H246" s="94">
        <f t="shared" si="22"/>
        <v>40157.861219999999</v>
      </c>
      <c r="I246" s="92">
        <f>SUMIFS('Assumption-Base'!$E$3:$E$32,'Assumption-Base'!$A$3:$A$32,$B246,'Assumption-Base'!$B$3:$B$32,$C246)</f>
        <v>0.18</v>
      </c>
      <c r="J246" s="14">
        <f t="shared" si="23"/>
        <v>7228.4150195999991</v>
      </c>
      <c r="K246" s="95">
        <f>SUMIFS('Assumption-Base'!$F$3:$F$32,'Assumption-Base'!$A$3:$A$32,$B246,'Assumption-Base'!$B$3:$B$32,$C246)</f>
        <v>6.9999999999999994E-5</v>
      </c>
      <c r="L246" s="14">
        <f t="shared" si="24"/>
        <v>937.01676179999981</v>
      </c>
      <c r="M246" s="94">
        <f t="shared" si="25"/>
        <v>31992.4294386</v>
      </c>
      <c r="N246" s="92">
        <f>SUMIFS('Assumption-Base'!$G$3:$G$32,'Assumption-Base'!$A$3:$A$32,$B246,'Assumption-Base'!$B$3:$B$32,$C246)</f>
        <v>0.4</v>
      </c>
      <c r="O246" s="14">
        <f t="shared" si="26"/>
        <v>16063.144488</v>
      </c>
      <c r="P246" s="94">
        <f t="shared" si="27"/>
        <v>15929.2849506</v>
      </c>
    </row>
    <row r="247" spans="1:16" x14ac:dyDescent="0.35">
      <c r="A247" s="91" t="str">
        <f>LEFT('2025 actual v budget'!A247,4)&amp;"26"</f>
        <v>Sep-26</v>
      </c>
      <c r="B247" s="12" t="str">
        <f>'2025 actual v budget'!B247</f>
        <v>Brazil</v>
      </c>
      <c r="C247" s="12" t="str">
        <f>'2025 actual v budget'!C247</f>
        <v>Virtual Accounts</v>
      </c>
      <c r="D247" s="14">
        <f>'2025 actual v budget'!D247</f>
        <v>16432300.369999999</v>
      </c>
      <c r="E247" s="92">
        <f>SUMIFS('Assumption-Base'!$C$3:$C$32,'Assumption-Base'!$A$3:$A$32,$B247,'Assumption-Base'!$B$3:$B$32,$C247)</f>
        <v>0.2</v>
      </c>
      <c r="F247" s="14">
        <f t="shared" si="21"/>
        <v>19718760.443999998</v>
      </c>
      <c r="G247" s="93">
        <f>SUMIFS('Assumption-Base'!$D$3:$D$32,'Assumption-Base'!$A$3:$A$32,$B247,'Assumption-Base'!$B$3:$B$32,$C247)</f>
        <v>4.4999999999999997E-3</v>
      </c>
      <c r="H247" s="94">
        <f t="shared" si="22"/>
        <v>88734.421997999991</v>
      </c>
      <c r="I247" s="92">
        <f>SUMIFS('Assumption-Base'!$E$3:$E$32,'Assumption-Base'!$A$3:$A$32,$B247,'Assumption-Base'!$B$3:$B$32,$C247)</f>
        <v>0.22</v>
      </c>
      <c r="J247" s="14">
        <f t="shared" si="23"/>
        <v>19521.572839559998</v>
      </c>
      <c r="K247" s="95">
        <f>SUMIFS('Assumption-Base'!$F$3:$F$32,'Assumption-Base'!$A$3:$A$32,$B247,'Assumption-Base'!$B$3:$B$32,$C247)</f>
        <v>6.9999999999999994E-5</v>
      </c>
      <c r="L247" s="14">
        <f t="shared" si="24"/>
        <v>1380.3132310799997</v>
      </c>
      <c r="M247" s="94">
        <f t="shared" si="25"/>
        <v>67832.53592735999</v>
      </c>
      <c r="N247" s="92">
        <f>SUMIFS('Assumption-Base'!$G$3:$G$32,'Assumption-Base'!$A$3:$A$32,$B247,'Assumption-Base'!$B$3:$B$32,$C247)</f>
        <v>0.4</v>
      </c>
      <c r="O247" s="14">
        <f t="shared" si="26"/>
        <v>35493.768799199999</v>
      </c>
      <c r="P247" s="94">
        <f t="shared" si="27"/>
        <v>32338.767128159991</v>
      </c>
    </row>
    <row r="248" spans="1:16" x14ac:dyDescent="0.35">
      <c r="A248" s="91" t="str">
        <f>LEFT('2025 actual v budget'!A248,4)&amp;"26"</f>
        <v>Sep-26</v>
      </c>
      <c r="B248" s="12" t="str">
        <f>'2025 actual v budget'!B248</f>
        <v>Germany</v>
      </c>
      <c r="C248" s="12" t="str">
        <f>'2025 actual v budget'!C248</f>
        <v>Cross-border Payouts</v>
      </c>
      <c r="D248" s="14">
        <f>'2025 actual v budget'!D248</f>
        <v>8149892.5999999996</v>
      </c>
      <c r="E248" s="92">
        <f>SUMIFS('Assumption-Base'!$C$3:$C$32,'Assumption-Base'!$A$3:$A$32,$B248,'Assumption-Base'!$B$3:$B$32,$C248)</f>
        <v>0.06</v>
      </c>
      <c r="F248" s="14">
        <f t="shared" si="21"/>
        <v>8638886.1559999995</v>
      </c>
      <c r="G248" s="93">
        <f>SUMIFS('Assumption-Base'!$D$3:$D$32,'Assumption-Base'!$A$3:$A$32,$B248,'Assumption-Base'!$B$3:$B$32,$C248)</f>
        <v>7.4999999999999997E-3</v>
      </c>
      <c r="H248" s="94">
        <f t="shared" si="22"/>
        <v>64791.646169999993</v>
      </c>
      <c r="I248" s="92">
        <f>SUMIFS('Assumption-Base'!$E$3:$E$32,'Assumption-Base'!$A$3:$A$32,$B248,'Assumption-Base'!$B$3:$B$32,$C248)</f>
        <v>0.35</v>
      </c>
      <c r="J248" s="14">
        <f t="shared" si="23"/>
        <v>22677.076159499997</v>
      </c>
      <c r="K248" s="95">
        <f>SUMIFS('Assumption-Base'!$F$3:$F$32,'Assumption-Base'!$A$3:$A$32,$B248,'Assumption-Base'!$B$3:$B$32,$C248)</f>
        <v>1.4999999999999999E-4</v>
      </c>
      <c r="L248" s="14">
        <f t="shared" si="24"/>
        <v>1295.8329233999998</v>
      </c>
      <c r="M248" s="94">
        <f t="shared" si="25"/>
        <v>40818.737087100002</v>
      </c>
      <c r="N248" s="92">
        <f>SUMIFS('Assumption-Base'!$G$3:$G$32,'Assumption-Base'!$A$3:$A$32,$B248,'Assumption-Base'!$B$3:$B$32,$C248)</f>
        <v>0.4</v>
      </c>
      <c r="O248" s="14">
        <f t="shared" si="26"/>
        <v>25916.658467999998</v>
      </c>
      <c r="P248" s="94">
        <f t="shared" si="27"/>
        <v>14902.078619100004</v>
      </c>
    </row>
    <row r="249" spans="1:16" x14ac:dyDescent="0.35">
      <c r="A249" s="91" t="str">
        <f>LEFT('2025 actual v budget'!A249,4)&amp;"26"</f>
        <v>Sep-26</v>
      </c>
      <c r="B249" s="12" t="str">
        <f>'2025 actual v budget'!B249</f>
        <v>Germany</v>
      </c>
      <c r="C249" s="12" t="str">
        <f>'2025 actual v budget'!C249</f>
        <v>FX Conversion</v>
      </c>
      <c r="D249" s="14">
        <f>'2025 actual v budget'!D249</f>
        <v>12690201.57</v>
      </c>
      <c r="E249" s="92">
        <f>SUMIFS('Assumption-Base'!$C$3:$C$32,'Assumption-Base'!$A$3:$A$32,$B249,'Assumption-Base'!$B$3:$B$32,$C249)</f>
        <v>0.06</v>
      </c>
      <c r="F249" s="14">
        <f t="shared" si="21"/>
        <v>13451613.6642</v>
      </c>
      <c r="G249" s="93">
        <f>SUMIFS('Assumption-Base'!$D$3:$D$32,'Assumption-Base'!$A$3:$A$32,$B249,'Assumption-Base'!$B$3:$B$32,$C249)</f>
        <v>1.0500000000000001E-2</v>
      </c>
      <c r="H249" s="94">
        <f t="shared" si="22"/>
        <v>141241.9434741</v>
      </c>
      <c r="I249" s="92">
        <f>SUMIFS('Assumption-Base'!$E$3:$E$32,'Assumption-Base'!$A$3:$A$32,$B249,'Assumption-Base'!$B$3:$B$32,$C249)</f>
        <v>0.28000000000000003</v>
      </c>
      <c r="J249" s="14">
        <f t="shared" si="23"/>
        <v>39547.744172748004</v>
      </c>
      <c r="K249" s="95">
        <f>SUMIFS('Assumption-Base'!$F$3:$F$32,'Assumption-Base'!$A$3:$A$32,$B249,'Assumption-Base'!$B$3:$B$32,$C249)</f>
        <v>1.4999999999999999E-4</v>
      </c>
      <c r="L249" s="14">
        <f t="shared" si="24"/>
        <v>2017.7420496299999</v>
      </c>
      <c r="M249" s="94">
        <f t="shared" si="25"/>
        <v>99676.457251721993</v>
      </c>
      <c r="N249" s="92">
        <f>SUMIFS('Assumption-Base'!$G$3:$G$32,'Assumption-Base'!$A$3:$A$32,$B249,'Assumption-Base'!$B$3:$B$32,$C249)</f>
        <v>0.4</v>
      </c>
      <c r="O249" s="14">
        <f t="shared" si="26"/>
        <v>56496.777389640003</v>
      </c>
      <c r="P249" s="94">
        <f t="shared" si="27"/>
        <v>43179.67986208199</v>
      </c>
    </row>
    <row r="250" spans="1:16" x14ac:dyDescent="0.35">
      <c r="A250" s="91" t="str">
        <f>LEFT('2025 actual v budget'!A250,4)&amp;"26"</f>
        <v>Sep-26</v>
      </c>
      <c r="B250" s="12" t="str">
        <f>'2025 actual v budget'!B250</f>
        <v>Germany</v>
      </c>
      <c r="C250" s="12" t="str">
        <f>'2025 actual v budget'!C250</f>
        <v>Stablecoin Settlement</v>
      </c>
      <c r="D250" s="14">
        <f>'2025 actual v budget'!D250</f>
        <v>19196125.25</v>
      </c>
      <c r="E250" s="92">
        <f>SUMIFS('Assumption-Base'!$C$3:$C$32,'Assumption-Base'!$A$3:$A$32,$B250,'Assumption-Base'!$B$3:$B$32,$C250)</f>
        <v>0.12</v>
      </c>
      <c r="F250" s="14">
        <f t="shared" si="21"/>
        <v>21499660.280000001</v>
      </c>
      <c r="G250" s="93">
        <f>SUMIFS('Assumption-Base'!$D$3:$D$32,'Assumption-Base'!$A$3:$A$32,$B250,'Assumption-Base'!$B$3:$B$32,$C250)</f>
        <v>6.4999999999999997E-3</v>
      </c>
      <c r="H250" s="94">
        <f t="shared" si="22"/>
        <v>139747.79182000001</v>
      </c>
      <c r="I250" s="92">
        <f>SUMIFS('Assumption-Base'!$E$3:$E$32,'Assumption-Base'!$A$3:$A$32,$B250,'Assumption-Base'!$B$3:$B$32,$C250)</f>
        <v>0.32</v>
      </c>
      <c r="J250" s="14">
        <f t="shared" si="23"/>
        <v>44719.293382400007</v>
      </c>
      <c r="K250" s="95">
        <f>SUMIFS('Assumption-Base'!$F$3:$F$32,'Assumption-Base'!$A$3:$A$32,$B250,'Assumption-Base'!$B$3:$B$32,$C250)</f>
        <v>1.4999999999999999E-4</v>
      </c>
      <c r="L250" s="14">
        <f t="shared" si="24"/>
        <v>3224.9490419999997</v>
      </c>
      <c r="M250" s="94">
        <f t="shared" si="25"/>
        <v>91803.549395600014</v>
      </c>
      <c r="N250" s="92">
        <f>SUMIFS('Assumption-Base'!$G$3:$G$32,'Assumption-Base'!$A$3:$A$32,$B250,'Assumption-Base'!$B$3:$B$32,$C250)</f>
        <v>0.4</v>
      </c>
      <c r="O250" s="14">
        <f t="shared" si="26"/>
        <v>55899.116728000008</v>
      </c>
      <c r="P250" s="94">
        <f t="shared" si="27"/>
        <v>35904.432667600006</v>
      </c>
    </row>
    <row r="251" spans="1:16" x14ac:dyDescent="0.35">
      <c r="A251" s="91" t="str">
        <f>LEFT('2025 actual v budget'!A251,4)&amp;"26"</f>
        <v>Sep-26</v>
      </c>
      <c r="B251" s="12" t="str">
        <f>'2025 actual v budget'!B251</f>
        <v>Germany</v>
      </c>
      <c r="C251" s="12" t="str">
        <f>'2025 actual v budget'!C251</f>
        <v>Treasury Yield</v>
      </c>
      <c r="D251" s="14">
        <f>'2025 actual v budget'!D251</f>
        <v>5199641.76</v>
      </c>
      <c r="E251" s="92">
        <f>SUMIFS('Assumption-Base'!$C$3:$C$32,'Assumption-Base'!$A$3:$A$32,$B251,'Assumption-Base'!$B$3:$B$32,$C251)</f>
        <v>0.06</v>
      </c>
      <c r="F251" s="14">
        <f t="shared" si="21"/>
        <v>5511620.2655999996</v>
      </c>
      <c r="G251" s="93">
        <f>SUMIFS('Assumption-Base'!$D$3:$D$32,'Assumption-Base'!$A$3:$A$32,$B251,'Assumption-Base'!$B$3:$B$32,$C251)</f>
        <v>3.0000000000000001E-3</v>
      </c>
      <c r="H251" s="94">
        <f t="shared" si="22"/>
        <v>16534.8607968</v>
      </c>
      <c r="I251" s="92">
        <f>SUMIFS('Assumption-Base'!$E$3:$E$32,'Assumption-Base'!$A$3:$A$32,$B251,'Assumption-Base'!$B$3:$B$32,$C251)</f>
        <v>0.18</v>
      </c>
      <c r="J251" s="14">
        <f t="shared" si="23"/>
        <v>2976.274943424</v>
      </c>
      <c r="K251" s="95">
        <f>SUMIFS('Assumption-Base'!$F$3:$F$32,'Assumption-Base'!$A$3:$A$32,$B251,'Assumption-Base'!$B$3:$B$32,$C251)</f>
        <v>1.4999999999999999E-4</v>
      </c>
      <c r="L251" s="14">
        <f t="shared" si="24"/>
        <v>826.74303983999982</v>
      </c>
      <c r="M251" s="94">
        <f t="shared" si="25"/>
        <v>12731.842813536001</v>
      </c>
      <c r="N251" s="92">
        <f>SUMIFS('Assumption-Base'!$G$3:$G$32,'Assumption-Base'!$A$3:$A$32,$B251,'Assumption-Base'!$B$3:$B$32,$C251)</f>
        <v>0.4</v>
      </c>
      <c r="O251" s="14">
        <f t="shared" si="26"/>
        <v>6613.9443187200004</v>
      </c>
      <c r="P251" s="94">
        <f t="shared" si="27"/>
        <v>6117.8984948160005</v>
      </c>
    </row>
    <row r="252" spans="1:16" x14ac:dyDescent="0.35">
      <c r="A252" s="91" t="str">
        <f>LEFT('2025 actual v budget'!A252,4)&amp;"26"</f>
        <v>Sep-26</v>
      </c>
      <c r="B252" s="12" t="str">
        <f>'2025 actual v budget'!B252</f>
        <v>Germany</v>
      </c>
      <c r="C252" s="12" t="str">
        <f>'2025 actual v budget'!C252</f>
        <v>Virtual Accounts</v>
      </c>
      <c r="D252" s="14">
        <f>'2025 actual v budget'!D252</f>
        <v>7659558.0800000001</v>
      </c>
      <c r="E252" s="92">
        <f>SUMIFS('Assumption-Base'!$C$3:$C$32,'Assumption-Base'!$A$3:$A$32,$B252,'Assumption-Base'!$B$3:$B$32,$C252)</f>
        <v>0.06</v>
      </c>
      <c r="F252" s="14">
        <f t="shared" si="21"/>
        <v>8119131.5648000007</v>
      </c>
      <c r="G252" s="93">
        <f>SUMIFS('Assumption-Base'!$D$3:$D$32,'Assumption-Base'!$A$3:$A$32,$B252,'Assumption-Base'!$B$3:$B$32,$C252)</f>
        <v>4.4999999999999997E-3</v>
      </c>
      <c r="H252" s="94">
        <f t="shared" si="22"/>
        <v>36536.092041600001</v>
      </c>
      <c r="I252" s="92">
        <f>SUMIFS('Assumption-Base'!$E$3:$E$32,'Assumption-Base'!$A$3:$A$32,$B252,'Assumption-Base'!$B$3:$B$32,$C252)</f>
        <v>0.22</v>
      </c>
      <c r="J252" s="14">
        <f t="shared" si="23"/>
        <v>8037.9402491520004</v>
      </c>
      <c r="K252" s="95">
        <f>SUMIFS('Assumption-Base'!$F$3:$F$32,'Assumption-Base'!$A$3:$A$32,$B252,'Assumption-Base'!$B$3:$B$32,$C252)</f>
        <v>1.4999999999999999E-4</v>
      </c>
      <c r="L252" s="14">
        <f t="shared" si="24"/>
        <v>1217.86973472</v>
      </c>
      <c r="M252" s="94">
        <f t="shared" si="25"/>
        <v>27280.282057728</v>
      </c>
      <c r="N252" s="92">
        <f>SUMIFS('Assumption-Base'!$G$3:$G$32,'Assumption-Base'!$A$3:$A$32,$B252,'Assumption-Base'!$B$3:$B$32,$C252)</f>
        <v>0.4</v>
      </c>
      <c r="O252" s="14">
        <f t="shared" si="26"/>
        <v>14614.436816640002</v>
      </c>
      <c r="P252" s="94">
        <f t="shared" si="27"/>
        <v>12665.845241087998</v>
      </c>
    </row>
    <row r="253" spans="1:16" x14ac:dyDescent="0.35">
      <c r="A253" s="91" t="str">
        <f>LEFT('2025 actual v budget'!A253,4)&amp;"26"</f>
        <v>Sep-26</v>
      </c>
      <c r="B253" s="12" t="str">
        <f>'2025 actual v budget'!B253</f>
        <v>India</v>
      </c>
      <c r="C253" s="12" t="str">
        <f>'2025 actual v budget'!C253</f>
        <v>Cross-border Payouts</v>
      </c>
      <c r="D253" s="14">
        <f>'2025 actual v budget'!D253</f>
        <v>12103701.18</v>
      </c>
      <c r="E253" s="92">
        <f>SUMIFS('Assumption-Base'!$C$3:$C$32,'Assumption-Base'!$A$3:$A$32,$B253,'Assumption-Base'!$B$3:$B$32,$C253)</f>
        <v>0.12</v>
      </c>
      <c r="F253" s="14">
        <f t="shared" si="21"/>
        <v>13556145.321600001</v>
      </c>
      <c r="G253" s="93">
        <f>SUMIFS('Assumption-Base'!$D$3:$D$32,'Assumption-Base'!$A$3:$A$32,$B253,'Assumption-Base'!$B$3:$B$32,$C253)</f>
        <v>7.4999999999999997E-3</v>
      </c>
      <c r="H253" s="94">
        <f t="shared" si="22"/>
        <v>101671.08991200001</v>
      </c>
      <c r="I253" s="92">
        <f>SUMIFS('Assumption-Base'!$E$3:$E$32,'Assumption-Base'!$A$3:$A$32,$B253,'Assumption-Base'!$B$3:$B$32,$C253)</f>
        <v>0.35</v>
      </c>
      <c r="J253" s="14">
        <f t="shared" si="23"/>
        <v>35584.881469200001</v>
      </c>
      <c r="K253" s="95">
        <f>SUMIFS('Assumption-Base'!$F$3:$F$32,'Assumption-Base'!$A$3:$A$32,$B253,'Assumption-Base'!$B$3:$B$32,$C253)</f>
        <v>1.8000000000000001E-4</v>
      </c>
      <c r="L253" s="14">
        <f t="shared" si="24"/>
        <v>2440.1061578880003</v>
      </c>
      <c r="M253" s="94">
        <f t="shared" si="25"/>
        <v>63646.102284912005</v>
      </c>
      <c r="N253" s="92">
        <f>SUMIFS('Assumption-Base'!$G$3:$G$32,'Assumption-Base'!$A$3:$A$32,$B253,'Assumption-Base'!$B$3:$B$32,$C253)</f>
        <v>0.4</v>
      </c>
      <c r="O253" s="14">
        <f t="shared" si="26"/>
        <v>40668.43596480001</v>
      </c>
      <c r="P253" s="94">
        <f t="shared" si="27"/>
        <v>22977.666320111995</v>
      </c>
    </row>
    <row r="254" spans="1:16" x14ac:dyDescent="0.35">
      <c r="A254" s="91" t="str">
        <f>LEFT('2025 actual v budget'!A254,4)&amp;"26"</f>
        <v>Sep-26</v>
      </c>
      <c r="B254" s="12" t="str">
        <f>'2025 actual v budget'!B254</f>
        <v>India</v>
      </c>
      <c r="C254" s="12" t="str">
        <f>'2025 actual v budget'!C254</f>
        <v>FX Conversion</v>
      </c>
      <c r="D254" s="14">
        <f>'2025 actual v budget'!D254</f>
        <v>18866917.260000002</v>
      </c>
      <c r="E254" s="92">
        <f>SUMIFS('Assumption-Base'!$C$3:$C$32,'Assumption-Base'!$A$3:$A$32,$B254,'Assumption-Base'!$B$3:$B$32,$C254)</f>
        <v>0.12</v>
      </c>
      <c r="F254" s="14">
        <f t="shared" si="21"/>
        <v>21130947.331200004</v>
      </c>
      <c r="G254" s="93">
        <f>SUMIFS('Assumption-Base'!$D$3:$D$32,'Assumption-Base'!$A$3:$A$32,$B254,'Assumption-Base'!$B$3:$B$32,$C254)</f>
        <v>1.0500000000000001E-2</v>
      </c>
      <c r="H254" s="94">
        <f t="shared" si="22"/>
        <v>221874.94697760005</v>
      </c>
      <c r="I254" s="92">
        <f>SUMIFS('Assumption-Base'!$E$3:$E$32,'Assumption-Base'!$A$3:$A$32,$B254,'Assumption-Base'!$B$3:$B$32,$C254)</f>
        <v>0.28000000000000003</v>
      </c>
      <c r="J254" s="14">
        <f t="shared" si="23"/>
        <v>62124.985153728019</v>
      </c>
      <c r="K254" s="95">
        <f>SUMIFS('Assumption-Base'!$F$3:$F$32,'Assumption-Base'!$A$3:$A$32,$B254,'Assumption-Base'!$B$3:$B$32,$C254)</f>
        <v>1.8000000000000001E-4</v>
      </c>
      <c r="L254" s="14">
        <f t="shared" si="24"/>
        <v>3803.5705196160011</v>
      </c>
      <c r="M254" s="94">
        <f t="shared" si="25"/>
        <v>155946.39130425602</v>
      </c>
      <c r="N254" s="92">
        <f>SUMIFS('Assumption-Base'!$G$3:$G$32,'Assumption-Base'!$A$3:$A$32,$B254,'Assumption-Base'!$B$3:$B$32,$C254)</f>
        <v>0.4</v>
      </c>
      <c r="O254" s="14">
        <f t="shared" si="26"/>
        <v>88749.978791040019</v>
      </c>
      <c r="P254" s="94">
        <f t="shared" si="27"/>
        <v>67196.412513215997</v>
      </c>
    </row>
    <row r="255" spans="1:16" x14ac:dyDescent="0.35">
      <c r="A255" s="91" t="str">
        <f>LEFT('2025 actual v budget'!A255,4)&amp;"26"</f>
        <v>Sep-26</v>
      </c>
      <c r="B255" s="12" t="str">
        <f>'2025 actual v budget'!B255</f>
        <v>India</v>
      </c>
      <c r="C255" s="12" t="str">
        <f>'2025 actual v budget'!C255</f>
        <v>Stablecoin Settlement</v>
      </c>
      <c r="D255" s="14">
        <f>'2025 actual v budget'!D255</f>
        <v>28508862.050000001</v>
      </c>
      <c r="E255" s="92">
        <f>SUMIFS('Assumption-Base'!$C$3:$C$32,'Assumption-Base'!$A$3:$A$32,$B255,'Assumption-Base'!$B$3:$B$32,$C255)</f>
        <v>0.24</v>
      </c>
      <c r="F255" s="14">
        <f t="shared" si="21"/>
        <v>35350988.942000002</v>
      </c>
      <c r="G255" s="93">
        <f>SUMIFS('Assumption-Base'!$D$3:$D$32,'Assumption-Base'!$A$3:$A$32,$B255,'Assumption-Base'!$B$3:$B$32,$C255)</f>
        <v>6.4999999999999997E-3</v>
      </c>
      <c r="H255" s="94">
        <f t="shared" si="22"/>
        <v>229781.42812299999</v>
      </c>
      <c r="I255" s="92">
        <f>SUMIFS('Assumption-Base'!$E$3:$E$32,'Assumption-Base'!$A$3:$A$32,$B255,'Assumption-Base'!$B$3:$B$32,$C255)</f>
        <v>0.32</v>
      </c>
      <c r="J255" s="14">
        <f t="shared" si="23"/>
        <v>73530.056999359993</v>
      </c>
      <c r="K255" s="95">
        <f>SUMIFS('Assumption-Base'!$F$3:$F$32,'Assumption-Base'!$A$3:$A$32,$B255,'Assumption-Base'!$B$3:$B$32,$C255)</f>
        <v>1.8000000000000001E-4</v>
      </c>
      <c r="L255" s="14">
        <f t="shared" si="24"/>
        <v>6363.1780095600006</v>
      </c>
      <c r="M255" s="94">
        <f t="shared" si="25"/>
        <v>149888.19311407997</v>
      </c>
      <c r="N255" s="92">
        <f>SUMIFS('Assumption-Base'!$G$3:$G$32,'Assumption-Base'!$A$3:$A$32,$B255,'Assumption-Base'!$B$3:$B$32,$C255)</f>
        <v>0.4</v>
      </c>
      <c r="O255" s="14">
        <f t="shared" si="26"/>
        <v>91912.571249200002</v>
      </c>
      <c r="P255" s="94">
        <f t="shared" si="27"/>
        <v>57975.62186487997</v>
      </c>
    </row>
    <row r="256" spans="1:16" x14ac:dyDescent="0.35">
      <c r="A256" s="91" t="str">
        <f>LEFT('2025 actual v budget'!A256,4)&amp;"26"</f>
        <v>Sep-26</v>
      </c>
      <c r="B256" s="12" t="str">
        <f>'2025 actual v budget'!B256</f>
        <v>India</v>
      </c>
      <c r="C256" s="12" t="str">
        <f>'2025 actual v budget'!C256</f>
        <v>Treasury Yield</v>
      </c>
      <c r="D256" s="14">
        <f>'2025 actual v budget'!D256</f>
        <v>7730469.0700000003</v>
      </c>
      <c r="E256" s="92">
        <f>SUMIFS('Assumption-Base'!$C$3:$C$32,'Assumption-Base'!$A$3:$A$32,$B256,'Assumption-Base'!$B$3:$B$32,$C256)</f>
        <v>0.12</v>
      </c>
      <c r="F256" s="14">
        <f t="shared" si="21"/>
        <v>8658125.3584000003</v>
      </c>
      <c r="G256" s="93">
        <f>SUMIFS('Assumption-Base'!$D$3:$D$32,'Assumption-Base'!$A$3:$A$32,$B256,'Assumption-Base'!$B$3:$B$32,$C256)</f>
        <v>3.0000000000000001E-3</v>
      </c>
      <c r="H256" s="94">
        <f t="shared" si="22"/>
        <v>25974.376075200002</v>
      </c>
      <c r="I256" s="92">
        <f>SUMIFS('Assumption-Base'!$E$3:$E$32,'Assumption-Base'!$A$3:$A$32,$B256,'Assumption-Base'!$B$3:$B$32,$C256)</f>
        <v>0.18</v>
      </c>
      <c r="J256" s="14">
        <f t="shared" si="23"/>
        <v>4675.3876935360004</v>
      </c>
      <c r="K256" s="95">
        <f>SUMIFS('Assumption-Base'!$F$3:$F$32,'Assumption-Base'!$A$3:$A$32,$B256,'Assumption-Base'!$B$3:$B$32,$C256)</f>
        <v>1.8000000000000001E-4</v>
      </c>
      <c r="L256" s="14">
        <f t="shared" si="24"/>
        <v>1558.4625645120002</v>
      </c>
      <c r="M256" s="94">
        <f t="shared" si="25"/>
        <v>19740.525817152</v>
      </c>
      <c r="N256" s="92">
        <f>SUMIFS('Assumption-Base'!$G$3:$G$32,'Assumption-Base'!$A$3:$A$32,$B256,'Assumption-Base'!$B$3:$B$32,$C256)</f>
        <v>0.4</v>
      </c>
      <c r="O256" s="14">
        <f t="shared" si="26"/>
        <v>10389.750430080001</v>
      </c>
      <c r="P256" s="94">
        <f t="shared" si="27"/>
        <v>9350.7753870719989</v>
      </c>
    </row>
    <row r="257" spans="1:16" x14ac:dyDescent="0.35">
      <c r="A257" s="91" t="str">
        <f>LEFT('2025 actual v budget'!A257,4)&amp;"26"</f>
        <v>Sep-26</v>
      </c>
      <c r="B257" s="12" t="str">
        <f>'2025 actual v budget'!B257</f>
        <v>India</v>
      </c>
      <c r="C257" s="12" t="str">
        <f>'2025 actual v budget'!C257</f>
        <v>Virtual Accounts</v>
      </c>
      <c r="D257" s="14">
        <f>'2025 actual v budget'!D257</f>
        <v>11387703.16</v>
      </c>
      <c r="E257" s="92">
        <f>SUMIFS('Assumption-Base'!$C$3:$C$32,'Assumption-Base'!$A$3:$A$32,$B257,'Assumption-Base'!$B$3:$B$32,$C257)</f>
        <v>0.12</v>
      </c>
      <c r="F257" s="14">
        <f t="shared" si="21"/>
        <v>12754227.5392</v>
      </c>
      <c r="G257" s="93">
        <f>SUMIFS('Assumption-Base'!$D$3:$D$32,'Assumption-Base'!$A$3:$A$32,$B257,'Assumption-Base'!$B$3:$B$32,$C257)</f>
        <v>4.4999999999999997E-3</v>
      </c>
      <c r="H257" s="94">
        <f t="shared" si="22"/>
        <v>57394.023926399997</v>
      </c>
      <c r="I257" s="92">
        <f>SUMIFS('Assumption-Base'!$E$3:$E$32,'Assumption-Base'!$A$3:$A$32,$B257,'Assumption-Base'!$B$3:$B$32,$C257)</f>
        <v>0.22</v>
      </c>
      <c r="J257" s="14">
        <f t="shared" si="23"/>
        <v>12626.685263808</v>
      </c>
      <c r="K257" s="95">
        <f>SUMIFS('Assumption-Base'!$F$3:$F$32,'Assumption-Base'!$A$3:$A$32,$B257,'Assumption-Base'!$B$3:$B$32,$C257)</f>
        <v>1.8000000000000001E-4</v>
      </c>
      <c r="L257" s="14">
        <f t="shared" si="24"/>
        <v>2295.7609570560003</v>
      </c>
      <c r="M257" s="94">
        <f t="shared" si="25"/>
        <v>42471.577705535994</v>
      </c>
      <c r="N257" s="92">
        <f>SUMIFS('Assumption-Base'!$G$3:$G$32,'Assumption-Base'!$A$3:$A$32,$B257,'Assumption-Base'!$B$3:$B$32,$C257)</f>
        <v>0.4</v>
      </c>
      <c r="O257" s="14">
        <f t="shared" si="26"/>
        <v>22957.609570560002</v>
      </c>
      <c r="P257" s="94">
        <f t="shared" si="27"/>
        <v>19513.968134975992</v>
      </c>
    </row>
    <row r="258" spans="1:16" x14ac:dyDescent="0.35">
      <c r="A258" s="91" t="str">
        <f>LEFT('2025 actual v budget'!A258,4)&amp;"26"</f>
        <v>Sep-26</v>
      </c>
      <c r="B258" s="12" t="str">
        <f>'2025 actual v budget'!B258</f>
        <v>Mexico</v>
      </c>
      <c r="C258" s="12" t="str">
        <f>'2025 actual v budget'!C258</f>
        <v>Cross-border Payouts</v>
      </c>
      <c r="D258" s="14">
        <f>'2025 actual v budget'!D258</f>
        <v>14251837.970000001</v>
      </c>
      <c r="E258" s="92">
        <f>SUMIFS('Assumption-Base'!$C$3:$C$32,'Assumption-Base'!$A$3:$A$32,$B258,'Assumption-Base'!$B$3:$B$32,$C258)</f>
        <v>0.15</v>
      </c>
      <c r="F258" s="14">
        <f t="shared" si="21"/>
        <v>16389613.6655</v>
      </c>
      <c r="G258" s="93">
        <f>SUMIFS('Assumption-Base'!$D$3:$D$32,'Assumption-Base'!$A$3:$A$32,$B258,'Assumption-Base'!$B$3:$B$32,$C258)</f>
        <v>7.4999999999999997E-3</v>
      </c>
      <c r="H258" s="94">
        <f t="shared" si="22"/>
        <v>122922.10249125</v>
      </c>
      <c r="I258" s="92">
        <f>SUMIFS('Assumption-Base'!$E$3:$E$32,'Assumption-Base'!$A$3:$A$32,$B258,'Assumption-Base'!$B$3:$B$32,$C258)</f>
        <v>0.35</v>
      </c>
      <c r="J258" s="14">
        <f t="shared" si="23"/>
        <v>43022.735871937497</v>
      </c>
      <c r="K258" s="95">
        <f>SUMIFS('Assumption-Base'!$F$3:$F$32,'Assumption-Base'!$A$3:$A$32,$B258,'Assumption-Base'!$B$3:$B$32,$C258)</f>
        <v>8.0000000000000007E-5</v>
      </c>
      <c r="L258" s="14">
        <f t="shared" si="24"/>
        <v>1311.1690932400002</v>
      </c>
      <c r="M258" s="94">
        <f t="shared" si="25"/>
        <v>78588.197526072501</v>
      </c>
      <c r="N258" s="92">
        <f>SUMIFS('Assumption-Base'!$G$3:$G$32,'Assumption-Base'!$A$3:$A$32,$B258,'Assumption-Base'!$B$3:$B$32,$C258)</f>
        <v>0.4</v>
      </c>
      <c r="O258" s="14">
        <f t="shared" si="26"/>
        <v>49168.840996500003</v>
      </c>
      <c r="P258" s="94">
        <f t="shared" si="27"/>
        <v>29419.356529572498</v>
      </c>
    </row>
    <row r="259" spans="1:16" x14ac:dyDescent="0.35">
      <c r="A259" s="91" t="str">
        <f>LEFT('2025 actual v budget'!A259,4)&amp;"26"</f>
        <v>Sep-26</v>
      </c>
      <c r="B259" s="12" t="str">
        <f>'2025 actual v budget'!B259</f>
        <v>Mexico</v>
      </c>
      <c r="C259" s="12" t="str">
        <f>'2025 actual v budget'!C259</f>
        <v>FX Conversion</v>
      </c>
      <c r="D259" s="14">
        <f>'2025 actual v budget'!D259</f>
        <v>22211493.489999998</v>
      </c>
      <c r="E259" s="92">
        <f>SUMIFS('Assumption-Base'!$C$3:$C$32,'Assumption-Base'!$A$3:$A$32,$B259,'Assumption-Base'!$B$3:$B$32,$C259)</f>
        <v>0.15</v>
      </c>
      <c r="F259" s="14">
        <f t="shared" ref="F259:F322" si="28">D259*(1+E259)</f>
        <v>25543217.513499998</v>
      </c>
      <c r="G259" s="93">
        <f>SUMIFS('Assumption-Base'!$D$3:$D$32,'Assumption-Base'!$A$3:$A$32,$B259,'Assumption-Base'!$B$3:$B$32,$C259)</f>
        <v>1.0500000000000001E-2</v>
      </c>
      <c r="H259" s="94">
        <f t="shared" ref="H259:H322" si="29">F259*G259</f>
        <v>268203.78389174998</v>
      </c>
      <c r="I259" s="92">
        <f>SUMIFS('Assumption-Base'!$E$3:$E$32,'Assumption-Base'!$A$3:$A$32,$B259,'Assumption-Base'!$B$3:$B$32,$C259)</f>
        <v>0.28000000000000003</v>
      </c>
      <c r="J259" s="14">
        <f t="shared" ref="J259:J322" si="30">H259*I259</f>
        <v>75097.05948969</v>
      </c>
      <c r="K259" s="95">
        <f>SUMIFS('Assumption-Base'!$F$3:$F$32,'Assumption-Base'!$A$3:$A$32,$B259,'Assumption-Base'!$B$3:$B$32,$C259)</f>
        <v>8.0000000000000007E-5</v>
      </c>
      <c r="L259" s="14">
        <f t="shared" ref="L259:L322" si="31">F259*K259</f>
        <v>2043.45740108</v>
      </c>
      <c r="M259" s="94">
        <f t="shared" ref="M259:M322" si="32">H259-J259-L259</f>
        <v>191063.26700097998</v>
      </c>
      <c r="N259" s="92">
        <f>SUMIFS('Assumption-Base'!$G$3:$G$32,'Assumption-Base'!$A$3:$A$32,$B259,'Assumption-Base'!$B$3:$B$32,$C259)</f>
        <v>0.4</v>
      </c>
      <c r="O259" s="14">
        <f t="shared" ref="O259:O322" si="33">H259*N259</f>
        <v>107281.5135567</v>
      </c>
      <c r="P259" s="94">
        <f t="shared" ref="P259:P322" si="34">M259-O259</f>
        <v>83781.753444279981</v>
      </c>
    </row>
    <row r="260" spans="1:16" x14ac:dyDescent="0.35">
      <c r="A260" s="91" t="str">
        <f>LEFT('2025 actual v budget'!A260,4)&amp;"26"</f>
        <v>Sep-26</v>
      </c>
      <c r="B260" s="12" t="str">
        <f>'2025 actual v budget'!B260</f>
        <v>Mexico</v>
      </c>
      <c r="C260" s="12" t="str">
        <f>'2025 actual v budget'!C260</f>
        <v>Stablecoin Settlement</v>
      </c>
      <c r="D260" s="14">
        <f>'2025 actual v budget'!D260</f>
        <v>33568548.719999999</v>
      </c>
      <c r="E260" s="92">
        <f>SUMIFS('Assumption-Base'!$C$3:$C$32,'Assumption-Base'!$A$3:$A$32,$B260,'Assumption-Base'!$B$3:$B$32,$C260)</f>
        <v>0.3</v>
      </c>
      <c r="F260" s="14">
        <f t="shared" si="28"/>
        <v>43639113.336000003</v>
      </c>
      <c r="G260" s="93">
        <f>SUMIFS('Assumption-Base'!$D$3:$D$32,'Assumption-Base'!$A$3:$A$32,$B260,'Assumption-Base'!$B$3:$B$32,$C260)</f>
        <v>6.4999999999999997E-3</v>
      </c>
      <c r="H260" s="94">
        <f t="shared" si="29"/>
        <v>283654.236684</v>
      </c>
      <c r="I260" s="92">
        <f>SUMIFS('Assumption-Base'!$E$3:$E$32,'Assumption-Base'!$A$3:$A$32,$B260,'Assumption-Base'!$B$3:$B$32,$C260)</f>
        <v>0.32</v>
      </c>
      <c r="J260" s="14">
        <f t="shared" si="30"/>
        <v>90769.355738879996</v>
      </c>
      <c r="K260" s="95">
        <f>SUMIFS('Assumption-Base'!$F$3:$F$32,'Assumption-Base'!$A$3:$A$32,$B260,'Assumption-Base'!$B$3:$B$32,$C260)</f>
        <v>8.0000000000000007E-5</v>
      </c>
      <c r="L260" s="14">
        <f t="shared" si="31"/>
        <v>3491.1290668800007</v>
      </c>
      <c r="M260" s="94">
        <f t="shared" si="32"/>
        <v>189393.75187824</v>
      </c>
      <c r="N260" s="92">
        <f>SUMIFS('Assumption-Base'!$G$3:$G$32,'Assumption-Base'!$A$3:$A$32,$B260,'Assumption-Base'!$B$3:$B$32,$C260)</f>
        <v>0.4</v>
      </c>
      <c r="O260" s="14">
        <f t="shared" si="33"/>
        <v>113461.69467360001</v>
      </c>
      <c r="P260" s="94">
        <f t="shared" si="34"/>
        <v>75932.05720463999</v>
      </c>
    </row>
    <row r="261" spans="1:16" x14ac:dyDescent="0.35">
      <c r="A261" s="91" t="str">
        <f>LEFT('2025 actual v budget'!A261,4)&amp;"26"</f>
        <v>Sep-26</v>
      </c>
      <c r="B261" s="12" t="str">
        <f>'2025 actual v budget'!B261</f>
        <v>Mexico</v>
      </c>
      <c r="C261" s="12" t="str">
        <f>'2025 actual v budget'!C261</f>
        <v>Treasury Yield</v>
      </c>
      <c r="D261" s="14">
        <f>'2025 actual v budget'!D261</f>
        <v>9100864.8200000003</v>
      </c>
      <c r="E261" s="92">
        <f>SUMIFS('Assumption-Base'!$C$3:$C$32,'Assumption-Base'!$A$3:$A$32,$B261,'Assumption-Base'!$B$3:$B$32,$C261)</f>
        <v>0.15</v>
      </c>
      <c r="F261" s="14">
        <f t="shared" si="28"/>
        <v>10465994.543</v>
      </c>
      <c r="G261" s="93">
        <f>SUMIFS('Assumption-Base'!$D$3:$D$32,'Assumption-Base'!$A$3:$A$32,$B261,'Assumption-Base'!$B$3:$B$32,$C261)</f>
        <v>3.0000000000000001E-3</v>
      </c>
      <c r="H261" s="94">
        <f t="shared" si="29"/>
        <v>31397.983628999998</v>
      </c>
      <c r="I261" s="92">
        <f>SUMIFS('Assumption-Base'!$E$3:$E$32,'Assumption-Base'!$A$3:$A$32,$B261,'Assumption-Base'!$B$3:$B$32,$C261)</f>
        <v>0.18</v>
      </c>
      <c r="J261" s="14">
        <f t="shared" si="30"/>
        <v>5651.6370532199999</v>
      </c>
      <c r="K261" s="95">
        <f>SUMIFS('Assumption-Base'!$F$3:$F$32,'Assumption-Base'!$A$3:$A$32,$B261,'Assumption-Base'!$B$3:$B$32,$C261)</f>
        <v>8.0000000000000007E-5</v>
      </c>
      <c r="L261" s="14">
        <f t="shared" si="31"/>
        <v>837.27956344000006</v>
      </c>
      <c r="M261" s="94">
        <f t="shared" si="32"/>
        <v>24909.067012340001</v>
      </c>
      <c r="N261" s="92">
        <f>SUMIFS('Assumption-Base'!$G$3:$G$32,'Assumption-Base'!$A$3:$A$32,$B261,'Assumption-Base'!$B$3:$B$32,$C261)</f>
        <v>0.4</v>
      </c>
      <c r="O261" s="14">
        <f t="shared" si="33"/>
        <v>12559.1934516</v>
      </c>
      <c r="P261" s="94">
        <f t="shared" si="34"/>
        <v>12349.873560740001</v>
      </c>
    </row>
    <row r="262" spans="1:16" x14ac:dyDescent="0.35">
      <c r="A262" s="91" t="str">
        <f>LEFT('2025 actual v budget'!A262,4)&amp;"26"</f>
        <v>Sep-26</v>
      </c>
      <c r="B262" s="12" t="str">
        <f>'2025 actual v budget'!B262</f>
        <v>Mexico</v>
      </c>
      <c r="C262" s="12" t="str">
        <f>'2025 actual v budget'!C262</f>
        <v>Virtual Accounts</v>
      </c>
      <c r="D262" s="14">
        <f>'2025 actual v budget'!D262</f>
        <v>13406424.119999999</v>
      </c>
      <c r="E262" s="92">
        <f>SUMIFS('Assumption-Base'!$C$3:$C$32,'Assumption-Base'!$A$3:$A$32,$B262,'Assumption-Base'!$B$3:$B$32,$C262)</f>
        <v>0.15</v>
      </c>
      <c r="F262" s="14">
        <f t="shared" si="28"/>
        <v>15417387.737999998</v>
      </c>
      <c r="G262" s="93">
        <f>SUMIFS('Assumption-Base'!$D$3:$D$32,'Assumption-Base'!$A$3:$A$32,$B262,'Assumption-Base'!$B$3:$B$32,$C262)</f>
        <v>4.4999999999999997E-3</v>
      </c>
      <c r="H262" s="94">
        <f t="shared" si="29"/>
        <v>69378.244820999986</v>
      </c>
      <c r="I262" s="92">
        <f>SUMIFS('Assumption-Base'!$E$3:$E$32,'Assumption-Base'!$A$3:$A$32,$B262,'Assumption-Base'!$B$3:$B$32,$C262)</f>
        <v>0.22</v>
      </c>
      <c r="J262" s="14">
        <f t="shared" si="30"/>
        <v>15263.213860619997</v>
      </c>
      <c r="K262" s="95">
        <f>SUMIFS('Assumption-Base'!$F$3:$F$32,'Assumption-Base'!$A$3:$A$32,$B262,'Assumption-Base'!$B$3:$B$32,$C262)</f>
        <v>8.0000000000000007E-5</v>
      </c>
      <c r="L262" s="14">
        <f t="shared" si="31"/>
        <v>1233.3910190399999</v>
      </c>
      <c r="M262" s="94">
        <f t="shared" si="32"/>
        <v>52881.639941339992</v>
      </c>
      <c r="N262" s="92">
        <f>SUMIFS('Assumption-Base'!$G$3:$G$32,'Assumption-Base'!$A$3:$A$32,$B262,'Assumption-Base'!$B$3:$B$32,$C262)</f>
        <v>0.4</v>
      </c>
      <c r="O262" s="14">
        <f t="shared" si="33"/>
        <v>27751.297928399996</v>
      </c>
      <c r="P262" s="94">
        <f t="shared" si="34"/>
        <v>25130.342012939996</v>
      </c>
    </row>
    <row r="263" spans="1:16" x14ac:dyDescent="0.35">
      <c r="A263" s="91" t="str">
        <f>LEFT('2025 actual v budget'!A263,4)&amp;"26"</f>
        <v>Sep-26</v>
      </c>
      <c r="B263" s="12" t="str">
        <f>'2025 actual v budget'!B263</f>
        <v>Singapore</v>
      </c>
      <c r="C263" s="12" t="str">
        <f>'2025 actual v budget'!C263</f>
        <v>Cross-border Payouts</v>
      </c>
      <c r="D263" s="14">
        <f>'2025 actual v budget'!D263</f>
        <v>11109611.689999999</v>
      </c>
      <c r="E263" s="92">
        <f>SUMIFS('Assumption-Base'!$C$3:$C$32,'Assumption-Base'!$A$3:$A$32,$B263,'Assumption-Base'!$B$3:$B$32,$C263)</f>
        <v>0.05</v>
      </c>
      <c r="F263" s="14">
        <f t="shared" si="28"/>
        <v>11665092.274499999</v>
      </c>
      <c r="G263" s="93">
        <f>SUMIFS('Assumption-Base'!$D$3:$D$32,'Assumption-Base'!$A$3:$A$32,$B263,'Assumption-Base'!$B$3:$B$32,$C263)</f>
        <v>7.4999999999999997E-3</v>
      </c>
      <c r="H263" s="94">
        <f t="shared" si="29"/>
        <v>87488.192058749992</v>
      </c>
      <c r="I263" s="92">
        <f>SUMIFS('Assumption-Base'!$E$3:$E$32,'Assumption-Base'!$A$3:$A$32,$B263,'Assumption-Base'!$B$3:$B$32,$C263)</f>
        <v>0.35</v>
      </c>
      <c r="J263" s="14">
        <f t="shared" si="30"/>
        <v>30620.867220562493</v>
      </c>
      <c r="K263" s="95">
        <f>SUMIFS('Assumption-Base'!$F$3:$F$32,'Assumption-Base'!$A$3:$A$32,$B263,'Assumption-Base'!$B$3:$B$32,$C263)</f>
        <v>9.0000000000000006E-5</v>
      </c>
      <c r="L263" s="14">
        <f t="shared" si="31"/>
        <v>1049.8583047049999</v>
      </c>
      <c r="M263" s="94">
        <f t="shared" si="32"/>
        <v>55817.466533482504</v>
      </c>
      <c r="N263" s="92">
        <f>SUMIFS('Assumption-Base'!$G$3:$G$32,'Assumption-Base'!$A$3:$A$32,$B263,'Assumption-Base'!$B$3:$B$32,$C263)</f>
        <v>0.4</v>
      </c>
      <c r="O263" s="14">
        <f t="shared" si="33"/>
        <v>34995.276823499997</v>
      </c>
      <c r="P263" s="94">
        <f t="shared" si="34"/>
        <v>20822.189709982507</v>
      </c>
    </row>
    <row r="264" spans="1:16" x14ac:dyDescent="0.35">
      <c r="A264" s="91" t="str">
        <f>LEFT('2025 actual v budget'!A264,4)&amp;"26"</f>
        <v>Sep-26</v>
      </c>
      <c r="B264" s="12" t="str">
        <f>'2025 actual v budget'!B264</f>
        <v>Singapore</v>
      </c>
      <c r="C264" s="12" t="str">
        <f>'2025 actual v budget'!C264</f>
        <v>FX Conversion</v>
      </c>
      <c r="D264" s="14">
        <f>'2025 actual v budget'!D264</f>
        <v>17305089.09</v>
      </c>
      <c r="E264" s="92">
        <f>SUMIFS('Assumption-Base'!$C$3:$C$32,'Assumption-Base'!$A$3:$A$32,$B264,'Assumption-Base'!$B$3:$B$32,$C264)</f>
        <v>0.05</v>
      </c>
      <c r="F264" s="14">
        <f t="shared" si="28"/>
        <v>18170343.544500001</v>
      </c>
      <c r="G264" s="93">
        <f>SUMIFS('Assumption-Base'!$D$3:$D$32,'Assumption-Base'!$A$3:$A$32,$B264,'Assumption-Base'!$B$3:$B$32,$C264)</f>
        <v>1.0500000000000001E-2</v>
      </c>
      <c r="H264" s="94">
        <f t="shared" si="29"/>
        <v>190788.60721725001</v>
      </c>
      <c r="I264" s="92">
        <f>SUMIFS('Assumption-Base'!$E$3:$E$32,'Assumption-Base'!$A$3:$A$32,$B264,'Assumption-Base'!$B$3:$B$32,$C264)</f>
        <v>0.28000000000000003</v>
      </c>
      <c r="J264" s="14">
        <f t="shared" si="30"/>
        <v>53420.810020830009</v>
      </c>
      <c r="K264" s="95">
        <f>SUMIFS('Assumption-Base'!$F$3:$F$32,'Assumption-Base'!$A$3:$A$32,$B264,'Assumption-Base'!$B$3:$B$32,$C264)</f>
        <v>9.0000000000000006E-5</v>
      </c>
      <c r="L264" s="14">
        <f t="shared" si="31"/>
        <v>1635.3309190050002</v>
      </c>
      <c r="M264" s="94">
        <f t="shared" si="32"/>
        <v>135732.46627741499</v>
      </c>
      <c r="N264" s="92">
        <f>SUMIFS('Assumption-Base'!$G$3:$G$32,'Assumption-Base'!$A$3:$A$32,$B264,'Assumption-Base'!$B$3:$B$32,$C264)</f>
        <v>0.4</v>
      </c>
      <c r="O264" s="14">
        <f t="shared" si="33"/>
        <v>76315.442886900011</v>
      </c>
      <c r="P264" s="94">
        <f t="shared" si="34"/>
        <v>59417.02339051498</v>
      </c>
    </row>
    <row r="265" spans="1:16" x14ac:dyDescent="0.35">
      <c r="A265" s="91" t="str">
        <f>LEFT('2025 actual v budget'!A265,4)&amp;"26"</f>
        <v>Sep-26</v>
      </c>
      <c r="B265" s="12" t="str">
        <f>'2025 actual v budget'!B265</f>
        <v>Singapore</v>
      </c>
      <c r="C265" s="12" t="str">
        <f>'2025 actual v budget'!C265</f>
        <v>Stablecoin Settlement</v>
      </c>
      <c r="D265" s="14">
        <f>'2025 actual v budget'!D265</f>
        <v>26167399.760000002</v>
      </c>
      <c r="E265" s="92">
        <f>SUMIFS('Assumption-Base'!$C$3:$C$32,'Assumption-Base'!$A$3:$A$32,$B265,'Assumption-Base'!$B$3:$B$32,$C265)</f>
        <v>0.1</v>
      </c>
      <c r="F265" s="14">
        <f t="shared" si="28"/>
        <v>28784139.736000005</v>
      </c>
      <c r="G265" s="93">
        <f>SUMIFS('Assumption-Base'!$D$3:$D$32,'Assumption-Base'!$A$3:$A$32,$B265,'Assumption-Base'!$B$3:$B$32,$C265)</f>
        <v>6.4999999999999997E-3</v>
      </c>
      <c r="H265" s="94">
        <f t="shared" si="29"/>
        <v>187096.90828400003</v>
      </c>
      <c r="I265" s="92">
        <f>SUMIFS('Assumption-Base'!$E$3:$E$32,'Assumption-Base'!$A$3:$A$32,$B265,'Assumption-Base'!$B$3:$B$32,$C265)</f>
        <v>0.32</v>
      </c>
      <c r="J265" s="14">
        <f t="shared" si="30"/>
        <v>59871.010650880009</v>
      </c>
      <c r="K265" s="95">
        <f>SUMIFS('Assumption-Base'!$F$3:$F$32,'Assumption-Base'!$A$3:$A$32,$B265,'Assumption-Base'!$B$3:$B$32,$C265)</f>
        <v>9.0000000000000006E-5</v>
      </c>
      <c r="L265" s="14">
        <f t="shared" si="31"/>
        <v>2590.5725762400007</v>
      </c>
      <c r="M265" s="94">
        <f t="shared" si="32"/>
        <v>124635.32505688003</v>
      </c>
      <c r="N265" s="92">
        <f>SUMIFS('Assumption-Base'!$G$3:$G$32,'Assumption-Base'!$A$3:$A$32,$B265,'Assumption-Base'!$B$3:$B$32,$C265)</f>
        <v>0.4</v>
      </c>
      <c r="O265" s="14">
        <f t="shared" si="33"/>
        <v>74838.763313600022</v>
      </c>
      <c r="P265" s="94">
        <f t="shared" si="34"/>
        <v>49796.561743280006</v>
      </c>
    </row>
    <row r="266" spans="1:16" x14ac:dyDescent="0.35">
      <c r="A266" s="91" t="str">
        <f>LEFT('2025 actual v budget'!A266,4)&amp;"26"</f>
        <v>Sep-26</v>
      </c>
      <c r="B266" s="12" t="str">
        <f>'2025 actual v budget'!B266</f>
        <v>Singapore</v>
      </c>
      <c r="C266" s="12" t="str">
        <f>'2025 actual v budget'!C266</f>
        <v>Treasury Yield</v>
      </c>
      <c r="D266" s="14">
        <f>'2025 actual v budget'!D266</f>
        <v>7090530.7000000002</v>
      </c>
      <c r="E266" s="92">
        <f>SUMIFS('Assumption-Base'!$C$3:$C$32,'Assumption-Base'!$A$3:$A$32,$B266,'Assumption-Base'!$B$3:$B$32,$C266)</f>
        <v>0.05</v>
      </c>
      <c r="F266" s="14">
        <f t="shared" si="28"/>
        <v>7445057.2350000003</v>
      </c>
      <c r="G266" s="93">
        <f>SUMIFS('Assumption-Base'!$D$3:$D$32,'Assumption-Base'!$A$3:$A$32,$B266,'Assumption-Base'!$B$3:$B$32,$C266)</f>
        <v>3.0000000000000001E-3</v>
      </c>
      <c r="H266" s="94">
        <f t="shared" si="29"/>
        <v>22335.171705000001</v>
      </c>
      <c r="I266" s="92">
        <f>SUMIFS('Assumption-Base'!$E$3:$E$32,'Assumption-Base'!$A$3:$A$32,$B266,'Assumption-Base'!$B$3:$B$32,$C266)</f>
        <v>0.18</v>
      </c>
      <c r="J266" s="14">
        <f t="shared" si="30"/>
        <v>4020.3309069000002</v>
      </c>
      <c r="K266" s="95">
        <f>SUMIFS('Assumption-Base'!$F$3:$F$32,'Assumption-Base'!$A$3:$A$32,$B266,'Assumption-Base'!$B$3:$B$32,$C266)</f>
        <v>9.0000000000000006E-5</v>
      </c>
      <c r="L266" s="14">
        <f t="shared" si="31"/>
        <v>670.05515115000003</v>
      </c>
      <c r="M266" s="94">
        <f t="shared" si="32"/>
        <v>17644.78564695</v>
      </c>
      <c r="N266" s="92">
        <f>SUMIFS('Assumption-Base'!$G$3:$G$32,'Assumption-Base'!$A$3:$A$32,$B266,'Assumption-Base'!$B$3:$B$32,$C266)</f>
        <v>0.4</v>
      </c>
      <c r="O266" s="14">
        <f t="shared" si="33"/>
        <v>8934.068682000001</v>
      </c>
      <c r="P266" s="94">
        <f t="shared" si="34"/>
        <v>8710.7169649499992</v>
      </c>
    </row>
    <row r="267" spans="1:16" x14ac:dyDescent="0.35">
      <c r="A267" s="91" t="str">
        <f>LEFT('2025 actual v budget'!A267,4)&amp;"26"</f>
        <v>Sep-26</v>
      </c>
      <c r="B267" s="12" t="str">
        <f>'2025 actual v budget'!B267</f>
        <v>Singapore</v>
      </c>
      <c r="C267" s="12" t="str">
        <f>'2025 actual v budget'!C267</f>
        <v>Virtual Accounts</v>
      </c>
      <c r="D267" s="14">
        <f>'2025 actual v budget'!D267</f>
        <v>10445014.15</v>
      </c>
      <c r="E267" s="92">
        <f>SUMIFS('Assumption-Base'!$C$3:$C$32,'Assumption-Base'!$A$3:$A$32,$B267,'Assumption-Base'!$B$3:$B$32,$C267)</f>
        <v>0.05</v>
      </c>
      <c r="F267" s="14">
        <f t="shared" si="28"/>
        <v>10967264.8575</v>
      </c>
      <c r="G267" s="93">
        <f>SUMIFS('Assumption-Base'!$D$3:$D$32,'Assumption-Base'!$A$3:$A$32,$B267,'Assumption-Base'!$B$3:$B$32,$C267)</f>
        <v>4.4999999999999997E-3</v>
      </c>
      <c r="H267" s="94">
        <f t="shared" si="29"/>
        <v>49352.691858749997</v>
      </c>
      <c r="I267" s="92">
        <f>SUMIFS('Assumption-Base'!$E$3:$E$32,'Assumption-Base'!$A$3:$A$32,$B267,'Assumption-Base'!$B$3:$B$32,$C267)</f>
        <v>0.22</v>
      </c>
      <c r="J267" s="14">
        <f t="shared" si="30"/>
        <v>10857.592208925</v>
      </c>
      <c r="K267" s="95">
        <f>SUMIFS('Assumption-Base'!$F$3:$F$32,'Assumption-Base'!$A$3:$A$32,$B267,'Assumption-Base'!$B$3:$B$32,$C267)</f>
        <v>9.0000000000000006E-5</v>
      </c>
      <c r="L267" s="14">
        <f t="shared" si="31"/>
        <v>987.05383717500001</v>
      </c>
      <c r="M267" s="94">
        <f t="shared" si="32"/>
        <v>37508.045812649994</v>
      </c>
      <c r="N267" s="92">
        <f>SUMIFS('Assumption-Base'!$G$3:$G$32,'Assumption-Base'!$A$3:$A$32,$B267,'Assumption-Base'!$B$3:$B$32,$C267)</f>
        <v>0.4</v>
      </c>
      <c r="O267" s="14">
        <f t="shared" si="33"/>
        <v>19741.076743500002</v>
      </c>
      <c r="P267" s="94">
        <f t="shared" si="34"/>
        <v>17766.969069149993</v>
      </c>
    </row>
    <row r="268" spans="1:16" x14ac:dyDescent="0.35">
      <c r="A268" s="91" t="str">
        <f>LEFT('2025 actual v budget'!A268,4)&amp;"26"</f>
        <v>Sep-26</v>
      </c>
      <c r="B268" s="12" t="str">
        <f>'2025 actual v budget'!B268</f>
        <v>USA</v>
      </c>
      <c r="C268" s="12" t="str">
        <f>'2025 actual v budget'!C268</f>
        <v>Cross-border Payouts</v>
      </c>
      <c r="D268" s="14">
        <f>'2025 actual v budget'!D268</f>
        <v>26738288.43</v>
      </c>
      <c r="E268" s="92">
        <f>SUMIFS('Assumption-Base'!$C$3:$C$32,'Assumption-Base'!$A$3:$A$32,$B268,'Assumption-Base'!$B$3:$B$32,$C268)</f>
        <v>0.1</v>
      </c>
      <c r="F268" s="14">
        <f t="shared" si="28"/>
        <v>29412117.273000002</v>
      </c>
      <c r="G268" s="93">
        <f>SUMIFS('Assumption-Base'!$D$3:$D$32,'Assumption-Base'!$A$3:$A$32,$B268,'Assumption-Base'!$B$3:$B$32,$C268)</f>
        <v>7.4999999999999997E-3</v>
      </c>
      <c r="H268" s="94">
        <f t="shared" si="29"/>
        <v>220590.87954749999</v>
      </c>
      <c r="I268" s="92">
        <f>SUMIFS('Assumption-Base'!$E$3:$E$32,'Assumption-Base'!$A$3:$A$32,$B268,'Assumption-Base'!$B$3:$B$32,$C268)</f>
        <v>0.35</v>
      </c>
      <c r="J268" s="14">
        <f t="shared" si="30"/>
        <v>77206.807841624992</v>
      </c>
      <c r="K268" s="95">
        <f>SUMIFS('Assumption-Base'!$F$3:$F$32,'Assumption-Base'!$A$3:$A$32,$B268,'Assumption-Base'!$B$3:$B$32,$C268)</f>
        <v>2.0000000000000001E-4</v>
      </c>
      <c r="L268" s="14">
        <f t="shared" si="31"/>
        <v>5882.4234546000007</v>
      </c>
      <c r="M268" s="94">
        <f t="shared" si="32"/>
        <v>137501.64825127498</v>
      </c>
      <c r="N268" s="92">
        <f>SUMIFS('Assumption-Base'!$G$3:$G$32,'Assumption-Base'!$A$3:$A$32,$B268,'Assumption-Base'!$B$3:$B$32,$C268)</f>
        <v>0.4</v>
      </c>
      <c r="O268" s="14">
        <f t="shared" si="33"/>
        <v>88236.351819000003</v>
      </c>
      <c r="P268" s="94">
        <f t="shared" si="34"/>
        <v>49265.296432274976</v>
      </c>
    </row>
    <row r="269" spans="1:16" x14ac:dyDescent="0.35">
      <c r="A269" s="91" t="str">
        <f>LEFT('2025 actual v budget'!A269,4)&amp;"26"</f>
        <v>Sep-26</v>
      </c>
      <c r="B269" s="12" t="str">
        <f>'2025 actual v budget'!B269</f>
        <v>USA</v>
      </c>
      <c r="C269" s="12" t="str">
        <f>'2025 actual v budget'!C269</f>
        <v>FX Conversion</v>
      </c>
      <c r="D269" s="14">
        <f>'2025 actual v budget'!D269</f>
        <v>41641827.340000004</v>
      </c>
      <c r="E269" s="92">
        <f>SUMIFS('Assumption-Base'!$C$3:$C$32,'Assumption-Base'!$A$3:$A$32,$B269,'Assumption-Base'!$B$3:$B$32,$C269)</f>
        <v>0.1</v>
      </c>
      <c r="F269" s="14">
        <f t="shared" si="28"/>
        <v>45806010.074000008</v>
      </c>
      <c r="G269" s="93">
        <f>SUMIFS('Assumption-Base'!$D$3:$D$32,'Assumption-Base'!$A$3:$A$32,$B269,'Assumption-Base'!$B$3:$B$32,$C269)</f>
        <v>1.0500000000000001E-2</v>
      </c>
      <c r="H269" s="94">
        <f t="shared" si="29"/>
        <v>480963.10577700014</v>
      </c>
      <c r="I269" s="92">
        <f>SUMIFS('Assumption-Base'!$E$3:$E$32,'Assumption-Base'!$A$3:$A$32,$B269,'Assumption-Base'!$B$3:$B$32,$C269)</f>
        <v>0.28000000000000003</v>
      </c>
      <c r="J269" s="14">
        <f t="shared" si="30"/>
        <v>134669.66961756005</v>
      </c>
      <c r="K269" s="95">
        <f>SUMIFS('Assumption-Base'!$F$3:$F$32,'Assumption-Base'!$A$3:$A$32,$B269,'Assumption-Base'!$B$3:$B$32,$C269)</f>
        <v>2.0000000000000001E-4</v>
      </c>
      <c r="L269" s="14">
        <f t="shared" si="31"/>
        <v>9161.2020148000029</v>
      </c>
      <c r="M269" s="94">
        <f t="shared" si="32"/>
        <v>337132.2341446401</v>
      </c>
      <c r="N269" s="92">
        <f>SUMIFS('Assumption-Base'!$G$3:$G$32,'Assumption-Base'!$A$3:$A$32,$B269,'Assumption-Base'!$B$3:$B$32,$C269)</f>
        <v>0.4</v>
      </c>
      <c r="O269" s="14">
        <f t="shared" si="33"/>
        <v>192385.24231080007</v>
      </c>
      <c r="P269" s="94">
        <f t="shared" si="34"/>
        <v>144746.99183384003</v>
      </c>
    </row>
    <row r="270" spans="1:16" x14ac:dyDescent="0.35">
      <c r="A270" s="91" t="str">
        <f>LEFT('2025 actual v budget'!A270,4)&amp;"26"</f>
        <v>Sep-26</v>
      </c>
      <c r="B270" s="12" t="str">
        <f>'2025 actual v budget'!B270</f>
        <v>USA</v>
      </c>
      <c r="C270" s="12" t="str">
        <f>'2025 actual v budget'!C270</f>
        <v>Stablecoin Settlement</v>
      </c>
      <c r="D270" s="14">
        <f>'2025 actual v budget'!D270</f>
        <v>62978932.25</v>
      </c>
      <c r="E270" s="92">
        <f>SUMIFS('Assumption-Base'!$C$3:$C$32,'Assumption-Base'!$A$3:$A$32,$B270,'Assumption-Base'!$B$3:$B$32,$C270)</f>
        <v>0.2</v>
      </c>
      <c r="F270" s="14">
        <f t="shared" si="28"/>
        <v>75574718.700000003</v>
      </c>
      <c r="G270" s="93">
        <f>SUMIFS('Assumption-Base'!$D$3:$D$32,'Assumption-Base'!$A$3:$A$32,$B270,'Assumption-Base'!$B$3:$B$32,$C270)</f>
        <v>6.4999999999999997E-3</v>
      </c>
      <c r="H270" s="94">
        <f t="shared" si="29"/>
        <v>491235.67154999997</v>
      </c>
      <c r="I270" s="92">
        <f>SUMIFS('Assumption-Base'!$E$3:$E$32,'Assumption-Base'!$A$3:$A$32,$B270,'Assumption-Base'!$B$3:$B$32,$C270)</f>
        <v>0.32</v>
      </c>
      <c r="J270" s="14">
        <f t="shared" si="30"/>
        <v>157195.414896</v>
      </c>
      <c r="K270" s="95">
        <f>SUMIFS('Assumption-Base'!$F$3:$F$32,'Assumption-Base'!$A$3:$A$32,$B270,'Assumption-Base'!$B$3:$B$32,$C270)</f>
        <v>2.0000000000000001E-4</v>
      </c>
      <c r="L270" s="14">
        <f t="shared" si="31"/>
        <v>15114.943740000001</v>
      </c>
      <c r="M270" s="94">
        <f t="shared" si="32"/>
        <v>318925.31291399995</v>
      </c>
      <c r="N270" s="92">
        <f>SUMIFS('Assumption-Base'!$G$3:$G$32,'Assumption-Base'!$A$3:$A$32,$B270,'Assumption-Base'!$B$3:$B$32,$C270)</f>
        <v>0.4</v>
      </c>
      <c r="O270" s="14">
        <f t="shared" si="33"/>
        <v>196494.26861999999</v>
      </c>
      <c r="P270" s="94">
        <f t="shared" si="34"/>
        <v>122431.04429399996</v>
      </c>
    </row>
    <row r="271" spans="1:16" x14ac:dyDescent="0.35">
      <c r="A271" s="91" t="str">
        <f>LEFT('2025 actual v budget'!A271,4)&amp;"26"</f>
        <v>Sep-26</v>
      </c>
      <c r="B271" s="12" t="str">
        <f>'2025 actual v budget'!B271</f>
        <v>USA</v>
      </c>
      <c r="C271" s="12" t="str">
        <f>'2025 actual v budget'!C271</f>
        <v>Treasury Yield</v>
      </c>
      <c r="D271" s="14">
        <f>'2025 actual v budget'!D271</f>
        <v>17062186.370000001</v>
      </c>
      <c r="E271" s="92">
        <f>SUMIFS('Assumption-Base'!$C$3:$C$32,'Assumption-Base'!$A$3:$A$32,$B271,'Assumption-Base'!$B$3:$B$32,$C271)</f>
        <v>0.1</v>
      </c>
      <c r="F271" s="14">
        <f t="shared" si="28"/>
        <v>18768405.007000003</v>
      </c>
      <c r="G271" s="93">
        <f>SUMIFS('Assumption-Base'!$D$3:$D$32,'Assumption-Base'!$A$3:$A$32,$B271,'Assumption-Base'!$B$3:$B$32,$C271)</f>
        <v>3.0000000000000001E-3</v>
      </c>
      <c r="H271" s="94">
        <f t="shared" si="29"/>
        <v>56305.215021000011</v>
      </c>
      <c r="I271" s="92">
        <f>SUMIFS('Assumption-Base'!$E$3:$E$32,'Assumption-Base'!$A$3:$A$32,$B271,'Assumption-Base'!$B$3:$B$32,$C271)</f>
        <v>0.18</v>
      </c>
      <c r="J271" s="14">
        <f t="shared" si="30"/>
        <v>10134.938703780002</v>
      </c>
      <c r="K271" s="95">
        <f>SUMIFS('Assumption-Base'!$F$3:$F$32,'Assumption-Base'!$A$3:$A$32,$B271,'Assumption-Base'!$B$3:$B$32,$C271)</f>
        <v>2.0000000000000001E-4</v>
      </c>
      <c r="L271" s="14">
        <f t="shared" si="31"/>
        <v>3753.6810014000007</v>
      </c>
      <c r="M271" s="94">
        <f t="shared" si="32"/>
        <v>42416.595315820006</v>
      </c>
      <c r="N271" s="92">
        <f>SUMIFS('Assumption-Base'!$G$3:$G$32,'Assumption-Base'!$A$3:$A$32,$B271,'Assumption-Base'!$B$3:$B$32,$C271)</f>
        <v>0.4</v>
      </c>
      <c r="O271" s="14">
        <f t="shared" si="33"/>
        <v>22522.086008400005</v>
      </c>
      <c r="P271" s="94">
        <f t="shared" si="34"/>
        <v>19894.509307420001</v>
      </c>
    </row>
    <row r="272" spans="1:16" x14ac:dyDescent="0.35">
      <c r="A272" s="91" t="str">
        <f>LEFT('2025 actual v budget'!A272,4)&amp;"26"</f>
        <v>Sep-26</v>
      </c>
      <c r="B272" s="12" t="str">
        <f>'2025 actual v budget'!B272</f>
        <v>USA</v>
      </c>
      <c r="C272" s="12" t="str">
        <f>'2025 actual v budget'!C272</f>
        <v>Virtual Accounts</v>
      </c>
      <c r="D272" s="14">
        <f>'2025 actual v budget'!D272</f>
        <v>25134194.559999999</v>
      </c>
      <c r="E272" s="92">
        <f>SUMIFS('Assumption-Base'!$C$3:$C$32,'Assumption-Base'!$A$3:$A$32,$B272,'Assumption-Base'!$B$3:$B$32,$C272)</f>
        <v>0.1</v>
      </c>
      <c r="F272" s="14">
        <f t="shared" si="28"/>
        <v>27647614.015999999</v>
      </c>
      <c r="G272" s="93">
        <f>SUMIFS('Assumption-Base'!$D$3:$D$32,'Assumption-Base'!$A$3:$A$32,$B272,'Assumption-Base'!$B$3:$B$32,$C272)</f>
        <v>4.4999999999999997E-3</v>
      </c>
      <c r="H272" s="94">
        <f t="shared" si="29"/>
        <v>124414.26307199999</v>
      </c>
      <c r="I272" s="92">
        <f>SUMIFS('Assumption-Base'!$E$3:$E$32,'Assumption-Base'!$A$3:$A$32,$B272,'Assumption-Base'!$B$3:$B$32,$C272)</f>
        <v>0.22</v>
      </c>
      <c r="J272" s="14">
        <f t="shared" si="30"/>
        <v>27371.137875839999</v>
      </c>
      <c r="K272" s="95">
        <f>SUMIFS('Assumption-Base'!$F$3:$F$32,'Assumption-Base'!$A$3:$A$32,$B272,'Assumption-Base'!$B$3:$B$32,$C272)</f>
        <v>2.0000000000000001E-4</v>
      </c>
      <c r="L272" s="14">
        <f t="shared" si="31"/>
        <v>5529.5228032000005</v>
      </c>
      <c r="M272" s="94">
        <f t="shared" si="32"/>
        <v>91513.602392959991</v>
      </c>
      <c r="N272" s="92">
        <f>SUMIFS('Assumption-Base'!$G$3:$G$32,'Assumption-Base'!$A$3:$A$32,$B272,'Assumption-Base'!$B$3:$B$32,$C272)</f>
        <v>0.4</v>
      </c>
      <c r="O272" s="14">
        <f t="shared" si="33"/>
        <v>49765.705228799998</v>
      </c>
      <c r="P272" s="94">
        <f t="shared" si="34"/>
        <v>41747.897164159993</v>
      </c>
    </row>
    <row r="273" spans="1:16" x14ac:dyDescent="0.35">
      <c r="A273" s="96" t="str">
        <f>LEFT('2025 actual v budget'!A273,4)&amp;"26"</f>
        <v>Oct-26</v>
      </c>
      <c r="B273" s="17" t="str">
        <f>'2025 actual v budget'!B273</f>
        <v>Brazil</v>
      </c>
      <c r="C273" s="17" t="str">
        <f>'2025 actual v budget'!C273</f>
        <v>Cross-border Payouts</v>
      </c>
      <c r="D273" s="19">
        <f>'2025 actual v budget'!D273</f>
        <v>18261351.789999999</v>
      </c>
      <c r="E273" s="97">
        <f>SUMIFS('Assumption-Base'!$C$3:$C$32,'Assumption-Base'!$A$3:$A$32,$B273,'Assumption-Base'!$B$3:$B$32,$C273)</f>
        <v>0.2</v>
      </c>
      <c r="F273" s="19">
        <f t="shared" si="28"/>
        <v>21913622.147999998</v>
      </c>
      <c r="G273" s="98">
        <f>SUMIFS('Assumption-Base'!$D$3:$D$32,'Assumption-Base'!$A$3:$A$32,$B273,'Assumption-Base'!$B$3:$B$32,$C273)</f>
        <v>7.4999999999999997E-3</v>
      </c>
      <c r="H273" s="99">
        <f t="shared" si="29"/>
        <v>164352.16610999999</v>
      </c>
      <c r="I273" s="97">
        <f>SUMIFS('Assumption-Base'!$E$3:$E$32,'Assumption-Base'!$A$3:$A$32,$B273,'Assumption-Base'!$B$3:$B$32,$C273)</f>
        <v>0.35</v>
      </c>
      <c r="J273" s="19">
        <f t="shared" si="30"/>
        <v>57523.258138499994</v>
      </c>
      <c r="K273" s="100">
        <f>SUMIFS('Assumption-Base'!$F$3:$F$32,'Assumption-Base'!$A$3:$A$32,$B273,'Assumption-Base'!$B$3:$B$32,$C273)</f>
        <v>6.9999999999999994E-5</v>
      </c>
      <c r="L273" s="19">
        <f t="shared" si="31"/>
        <v>1533.9535503599998</v>
      </c>
      <c r="M273" s="99">
        <f t="shared" si="32"/>
        <v>105294.95442113999</v>
      </c>
      <c r="N273" s="97">
        <f>SUMIFS('Assumption-Base'!$G$3:$G$32,'Assumption-Base'!$A$3:$A$32,$B273,'Assumption-Base'!$B$3:$B$32,$C273)</f>
        <v>0.4</v>
      </c>
      <c r="O273" s="19">
        <f t="shared" si="33"/>
        <v>65740.866443999999</v>
      </c>
      <c r="P273" s="99">
        <f t="shared" si="34"/>
        <v>39554.087977139992</v>
      </c>
    </row>
    <row r="274" spans="1:16" x14ac:dyDescent="0.35">
      <c r="A274" s="96" t="str">
        <f>LEFT('2025 actual v budget'!A274,4)&amp;"26"</f>
        <v>Oct-26</v>
      </c>
      <c r="B274" s="17" t="str">
        <f>'2025 actual v budget'!B274</f>
        <v>Brazil</v>
      </c>
      <c r="C274" s="17" t="str">
        <f>'2025 actual v budget'!C274</f>
        <v>FX Conversion</v>
      </c>
      <c r="D274" s="19">
        <f>'2025 actual v budget'!D274</f>
        <v>28378221.93</v>
      </c>
      <c r="E274" s="97">
        <f>SUMIFS('Assumption-Base'!$C$3:$C$32,'Assumption-Base'!$A$3:$A$32,$B274,'Assumption-Base'!$B$3:$B$32,$C274)</f>
        <v>0.2</v>
      </c>
      <c r="F274" s="19">
        <f t="shared" si="28"/>
        <v>34053866.316</v>
      </c>
      <c r="G274" s="98">
        <f>SUMIFS('Assumption-Base'!$D$3:$D$32,'Assumption-Base'!$A$3:$A$32,$B274,'Assumption-Base'!$B$3:$B$32,$C274)</f>
        <v>1.0500000000000001E-2</v>
      </c>
      <c r="H274" s="99">
        <f t="shared" si="29"/>
        <v>357565.596318</v>
      </c>
      <c r="I274" s="97">
        <f>SUMIFS('Assumption-Base'!$E$3:$E$32,'Assumption-Base'!$A$3:$A$32,$B274,'Assumption-Base'!$B$3:$B$32,$C274)</f>
        <v>0.28000000000000003</v>
      </c>
      <c r="J274" s="19">
        <f t="shared" si="30"/>
        <v>100118.36696904001</v>
      </c>
      <c r="K274" s="100">
        <f>SUMIFS('Assumption-Base'!$F$3:$F$32,'Assumption-Base'!$A$3:$A$32,$B274,'Assumption-Base'!$B$3:$B$32,$C274)</f>
        <v>6.9999999999999994E-5</v>
      </c>
      <c r="L274" s="19">
        <f t="shared" si="31"/>
        <v>2383.7706421199996</v>
      </c>
      <c r="M274" s="99">
        <f t="shared" si="32"/>
        <v>255063.45870683997</v>
      </c>
      <c r="N274" s="97">
        <f>SUMIFS('Assumption-Base'!$G$3:$G$32,'Assumption-Base'!$A$3:$A$32,$B274,'Assumption-Base'!$B$3:$B$32,$C274)</f>
        <v>0.4</v>
      </c>
      <c r="O274" s="19">
        <f t="shared" si="33"/>
        <v>143026.23852720001</v>
      </c>
      <c r="P274" s="99">
        <f t="shared" si="34"/>
        <v>112037.22017963996</v>
      </c>
    </row>
    <row r="275" spans="1:16" x14ac:dyDescent="0.35">
      <c r="A275" s="96" t="str">
        <f>LEFT('2025 actual v budget'!A275,4)&amp;"26"</f>
        <v>Oct-26</v>
      </c>
      <c r="B275" s="17" t="str">
        <f>'2025 actual v budget'!B275</f>
        <v>Brazil</v>
      </c>
      <c r="C275" s="17" t="str">
        <f>'2025 actual v budget'!C275</f>
        <v>Stablecoin Settlement</v>
      </c>
      <c r="D275" s="19">
        <f>'2025 actual v budget'!D275</f>
        <v>43539070.280000001</v>
      </c>
      <c r="E275" s="97">
        <f>SUMIFS('Assumption-Base'!$C$3:$C$32,'Assumption-Base'!$A$3:$A$32,$B275,'Assumption-Base'!$B$3:$B$32,$C275)</f>
        <v>0.4</v>
      </c>
      <c r="F275" s="19">
        <f t="shared" si="28"/>
        <v>60954698.391999997</v>
      </c>
      <c r="G275" s="98">
        <f>SUMIFS('Assumption-Base'!$D$3:$D$32,'Assumption-Base'!$A$3:$A$32,$B275,'Assumption-Base'!$B$3:$B$32,$C275)</f>
        <v>6.4999999999999997E-3</v>
      </c>
      <c r="H275" s="99">
        <f t="shared" si="29"/>
        <v>396205.53954799997</v>
      </c>
      <c r="I275" s="97">
        <f>SUMIFS('Assumption-Base'!$E$3:$E$32,'Assumption-Base'!$A$3:$A$32,$B275,'Assumption-Base'!$B$3:$B$32,$C275)</f>
        <v>0.32</v>
      </c>
      <c r="J275" s="19">
        <f t="shared" si="30"/>
        <v>126785.77265535999</v>
      </c>
      <c r="K275" s="100">
        <f>SUMIFS('Assumption-Base'!$F$3:$F$32,'Assumption-Base'!$A$3:$A$32,$B275,'Assumption-Base'!$B$3:$B$32,$C275)</f>
        <v>6.9999999999999994E-5</v>
      </c>
      <c r="L275" s="19">
        <f t="shared" si="31"/>
        <v>4266.8288874399996</v>
      </c>
      <c r="M275" s="99">
        <f t="shared" si="32"/>
        <v>265152.93800520001</v>
      </c>
      <c r="N275" s="97">
        <f>SUMIFS('Assumption-Base'!$G$3:$G$32,'Assumption-Base'!$A$3:$A$32,$B275,'Assumption-Base'!$B$3:$B$32,$C275)</f>
        <v>0.4</v>
      </c>
      <c r="O275" s="19">
        <f t="shared" si="33"/>
        <v>158482.21581920001</v>
      </c>
      <c r="P275" s="99">
        <f t="shared" si="34"/>
        <v>106670.722186</v>
      </c>
    </row>
    <row r="276" spans="1:16" x14ac:dyDescent="0.35">
      <c r="A276" s="96" t="str">
        <f>LEFT('2025 actual v budget'!A276,4)&amp;"26"</f>
        <v>Oct-26</v>
      </c>
      <c r="B276" s="17" t="str">
        <f>'2025 actual v budget'!B276</f>
        <v>Brazil</v>
      </c>
      <c r="C276" s="17" t="str">
        <f>'2025 actual v budget'!C276</f>
        <v>Treasury Yield</v>
      </c>
      <c r="D276" s="19">
        <f>'2025 actual v budget'!D276</f>
        <v>11626198.689999999</v>
      </c>
      <c r="E276" s="97">
        <f>SUMIFS('Assumption-Base'!$C$3:$C$32,'Assumption-Base'!$A$3:$A$32,$B276,'Assumption-Base'!$B$3:$B$32,$C276)</f>
        <v>0.2</v>
      </c>
      <c r="F276" s="19">
        <f t="shared" si="28"/>
        <v>13951438.427999999</v>
      </c>
      <c r="G276" s="98">
        <f>SUMIFS('Assumption-Base'!$D$3:$D$32,'Assumption-Base'!$A$3:$A$32,$B276,'Assumption-Base'!$B$3:$B$32,$C276)</f>
        <v>3.0000000000000001E-3</v>
      </c>
      <c r="H276" s="99">
        <f t="shared" si="29"/>
        <v>41854.315283999997</v>
      </c>
      <c r="I276" s="97">
        <f>SUMIFS('Assumption-Base'!$E$3:$E$32,'Assumption-Base'!$A$3:$A$32,$B276,'Assumption-Base'!$B$3:$B$32,$C276)</f>
        <v>0.18</v>
      </c>
      <c r="J276" s="19">
        <f t="shared" si="30"/>
        <v>7533.7767511199991</v>
      </c>
      <c r="K276" s="100">
        <f>SUMIFS('Assumption-Base'!$F$3:$F$32,'Assumption-Base'!$A$3:$A$32,$B276,'Assumption-Base'!$B$3:$B$32,$C276)</f>
        <v>6.9999999999999994E-5</v>
      </c>
      <c r="L276" s="19">
        <f t="shared" si="31"/>
        <v>976.60068995999984</v>
      </c>
      <c r="M276" s="99">
        <f t="shared" si="32"/>
        <v>33343.937842919993</v>
      </c>
      <c r="N276" s="97">
        <f>SUMIFS('Assumption-Base'!$G$3:$G$32,'Assumption-Base'!$A$3:$A$32,$B276,'Assumption-Base'!$B$3:$B$32,$C276)</f>
        <v>0.4</v>
      </c>
      <c r="O276" s="19">
        <f t="shared" si="33"/>
        <v>16741.726113599998</v>
      </c>
      <c r="P276" s="99">
        <f t="shared" si="34"/>
        <v>16602.211729319995</v>
      </c>
    </row>
    <row r="277" spans="1:16" x14ac:dyDescent="0.35">
      <c r="A277" s="96" t="str">
        <f>LEFT('2025 actual v budget'!A277,4)&amp;"26"</f>
        <v>Oct-26</v>
      </c>
      <c r="B277" s="17" t="str">
        <f>'2025 actual v budget'!B277</f>
        <v>Brazil</v>
      </c>
      <c r="C277" s="17" t="str">
        <f>'2025 actual v budget'!C277</f>
        <v>Virtual Accounts</v>
      </c>
      <c r="D277" s="19">
        <f>'2025 actual v budget'!D277</f>
        <v>17692571.920000002</v>
      </c>
      <c r="E277" s="97">
        <f>SUMIFS('Assumption-Base'!$C$3:$C$32,'Assumption-Base'!$A$3:$A$32,$B277,'Assumption-Base'!$B$3:$B$32,$C277)</f>
        <v>0.2</v>
      </c>
      <c r="F277" s="19">
        <f t="shared" si="28"/>
        <v>21231086.304000001</v>
      </c>
      <c r="G277" s="98">
        <f>SUMIFS('Assumption-Base'!$D$3:$D$32,'Assumption-Base'!$A$3:$A$32,$B277,'Assumption-Base'!$B$3:$B$32,$C277)</f>
        <v>4.4999999999999997E-3</v>
      </c>
      <c r="H277" s="99">
        <f t="shared" si="29"/>
        <v>95539.888368</v>
      </c>
      <c r="I277" s="97">
        <f>SUMIFS('Assumption-Base'!$E$3:$E$32,'Assumption-Base'!$A$3:$A$32,$B277,'Assumption-Base'!$B$3:$B$32,$C277)</f>
        <v>0.22</v>
      </c>
      <c r="J277" s="19">
        <f t="shared" si="30"/>
        <v>21018.775440959998</v>
      </c>
      <c r="K277" s="100">
        <f>SUMIFS('Assumption-Base'!$F$3:$F$32,'Assumption-Base'!$A$3:$A$32,$B277,'Assumption-Base'!$B$3:$B$32,$C277)</f>
        <v>6.9999999999999994E-5</v>
      </c>
      <c r="L277" s="19">
        <f t="shared" si="31"/>
        <v>1486.1760412799999</v>
      </c>
      <c r="M277" s="99">
        <f t="shared" si="32"/>
        <v>73034.936885759991</v>
      </c>
      <c r="N277" s="97">
        <f>SUMIFS('Assumption-Base'!$G$3:$G$32,'Assumption-Base'!$A$3:$A$32,$B277,'Assumption-Base'!$B$3:$B$32,$C277)</f>
        <v>0.4</v>
      </c>
      <c r="O277" s="19">
        <f t="shared" si="33"/>
        <v>38215.955347200004</v>
      </c>
      <c r="P277" s="99">
        <f t="shared" si="34"/>
        <v>34818.981538559987</v>
      </c>
    </row>
    <row r="278" spans="1:16" x14ac:dyDescent="0.35">
      <c r="A278" s="96" t="str">
        <f>LEFT('2025 actual v budget'!A278,4)&amp;"26"</f>
        <v>Oct-26</v>
      </c>
      <c r="B278" s="17" t="str">
        <f>'2025 actual v budget'!B278</f>
        <v>Germany</v>
      </c>
      <c r="C278" s="17" t="str">
        <f>'2025 actual v budget'!C278</f>
        <v>Cross-border Payouts</v>
      </c>
      <c r="D278" s="19">
        <f>'2025 actual v budget'!D278</f>
        <v>8358312.8700000001</v>
      </c>
      <c r="E278" s="97">
        <f>SUMIFS('Assumption-Base'!$C$3:$C$32,'Assumption-Base'!$A$3:$A$32,$B278,'Assumption-Base'!$B$3:$B$32,$C278)</f>
        <v>0.06</v>
      </c>
      <c r="F278" s="19">
        <f t="shared" si="28"/>
        <v>8859811.6422000006</v>
      </c>
      <c r="G278" s="98">
        <f>SUMIFS('Assumption-Base'!$D$3:$D$32,'Assumption-Base'!$A$3:$A$32,$B278,'Assumption-Base'!$B$3:$B$32,$C278)</f>
        <v>7.4999999999999997E-3</v>
      </c>
      <c r="H278" s="99">
        <f t="shared" si="29"/>
        <v>66448.587316500008</v>
      </c>
      <c r="I278" s="97">
        <f>SUMIFS('Assumption-Base'!$E$3:$E$32,'Assumption-Base'!$A$3:$A$32,$B278,'Assumption-Base'!$B$3:$B$32,$C278)</f>
        <v>0.35</v>
      </c>
      <c r="J278" s="19">
        <f t="shared" si="30"/>
        <v>23257.005560775</v>
      </c>
      <c r="K278" s="100">
        <f>SUMIFS('Assumption-Base'!$F$3:$F$32,'Assumption-Base'!$A$3:$A$32,$B278,'Assumption-Base'!$B$3:$B$32,$C278)</f>
        <v>1.4999999999999999E-4</v>
      </c>
      <c r="L278" s="19">
        <f t="shared" si="31"/>
        <v>1328.9717463299999</v>
      </c>
      <c r="M278" s="99">
        <f t="shared" si="32"/>
        <v>41862.610009395015</v>
      </c>
      <c r="N278" s="97">
        <f>SUMIFS('Assumption-Base'!$G$3:$G$32,'Assumption-Base'!$A$3:$A$32,$B278,'Assumption-Base'!$B$3:$B$32,$C278)</f>
        <v>0.4</v>
      </c>
      <c r="O278" s="19">
        <f t="shared" si="33"/>
        <v>26579.434926600006</v>
      </c>
      <c r="P278" s="99">
        <f t="shared" si="34"/>
        <v>15283.175082795009</v>
      </c>
    </row>
    <row r="279" spans="1:16" x14ac:dyDescent="0.35">
      <c r="A279" s="96" t="str">
        <f>LEFT('2025 actual v budget'!A279,4)&amp;"26"</f>
        <v>Oct-26</v>
      </c>
      <c r="B279" s="17" t="str">
        <f>'2025 actual v budget'!B279</f>
        <v>Germany</v>
      </c>
      <c r="C279" s="17" t="str">
        <f>'2025 actual v budget'!C279</f>
        <v>FX Conversion</v>
      </c>
      <c r="D279" s="19">
        <f>'2025 actual v budget'!D279</f>
        <v>12978305.82</v>
      </c>
      <c r="E279" s="97">
        <f>SUMIFS('Assumption-Base'!$C$3:$C$32,'Assumption-Base'!$A$3:$A$32,$B279,'Assumption-Base'!$B$3:$B$32,$C279)</f>
        <v>0.06</v>
      </c>
      <c r="F279" s="19">
        <f t="shared" si="28"/>
        <v>13757004.169200001</v>
      </c>
      <c r="G279" s="98">
        <f>SUMIFS('Assumption-Base'!$D$3:$D$32,'Assumption-Base'!$A$3:$A$32,$B279,'Assumption-Base'!$B$3:$B$32,$C279)</f>
        <v>1.0500000000000001E-2</v>
      </c>
      <c r="H279" s="99">
        <f t="shared" si="29"/>
        <v>144448.54377660001</v>
      </c>
      <c r="I279" s="97">
        <f>SUMIFS('Assumption-Base'!$E$3:$E$32,'Assumption-Base'!$A$3:$A$32,$B279,'Assumption-Base'!$B$3:$B$32,$C279)</f>
        <v>0.28000000000000003</v>
      </c>
      <c r="J279" s="19">
        <f t="shared" si="30"/>
        <v>40445.592257448006</v>
      </c>
      <c r="K279" s="100">
        <f>SUMIFS('Assumption-Base'!$F$3:$F$32,'Assumption-Base'!$A$3:$A$32,$B279,'Assumption-Base'!$B$3:$B$32,$C279)</f>
        <v>1.4999999999999999E-4</v>
      </c>
      <c r="L279" s="19">
        <f t="shared" si="31"/>
        <v>2063.5506253799999</v>
      </c>
      <c r="M279" s="99">
        <f t="shared" si="32"/>
        <v>101939.40089377201</v>
      </c>
      <c r="N279" s="97">
        <f>SUMIFS('Assumption-Base'!$G$3:$G$32,'Assumption-Base'!$A$3:$A$32,$B279,'Assumption-Base'!$B$3:$B$32,$C279)</f>
        <v>0.4</v>
      </c>
      <c r="O279" s="19">
        <f t="shared" si="33"/>
        <v>57779.417510640007</v>
      </c>
      <c r="P279" s="99">
        <f t="shared" si="34"/>
        <v>44159.983383131999</v>
      </c>
    </row>
    <row r="280" spans="1:16" x14ac:dyDescent="0.35">
      <c r="A280" s="96" t="str">
        <f>LEFT('2025 actual v budget'!A280,4)&amp;"26"</f>
        <v>Oct-26</v>
      </c>
      <c r="B280" s="17" t="str">
        <f>'2025 actual v budget'!B280</f>
        <v>Germany</v>
      </c>
      <c r="C280" s="17" t="str">
        <f>'2025 actual v budget'!C280</f>
        <v>Stablecoin Settlement</v>
      </c>
      <c r="D280" s="19">
        <f>'2025 actual v budget'!D280</f>
        <v>19928052.18</v>
      </c>
      <c r="E280" s="97">
        <f>SUMIFS('Assumption-Base'!$C$3:$C$32,'Assumption-Base'!$A$3:$A$32,$B280,'Assumption-Base'!$B$3:$B$32,$C280)</f>
        <v>0.12</v>
      </c>
      <c r="F280" s="19">
        <f t="shared" si="28"/>
        <v>22319418.441600002</v>
      </c>
      <c r="G280" s="98">
        <f>SUMIFS('Assumption-Base'!$D$3:$D$32,'Assumption-Base'!$A$3:$A$32,$B280,'Assumption-Base'!$B$3:$B$32,$C280)</f>
        <v>6.4999999999999997E-3</v>
      </c>
      <c r="H280" s="99">
        <f t="shared" si="29"/>
        <v>145076.2198704</v>
      </c>
      <c r="I280" s="97">
        <f>SUMIFS('Assumption-Base'!$E$3:$E$32,'Assumption-Base'!$A$3:$A$32,$B280,'Assumption-Base'!$B$3:$B$32,$C280)</f>
        <v>0.32</v>
      </c>
      <c r="J280" s="19">
        <f t="shared" si="30"/>
        <v>46424.390358527999</v>
      </c>
      <c r="K280" s="100">
        <f>SUMIFS('Assumption-Base'!$F$3:$F$32,'Assumption-Base'!$A$3:$A$32,$B280,'Assumption-Base'!$B$3:$B$32,$C280)</f>
        <v>1.4999999999999999E-4</v>
      </c>
      <c r="L280" s="19">
        <f t="shared" si="31"/>
        <v>3347.9127662400001</v>
      </c>
      <c r="M280" s="99">
        <f t="shared" si="32"/>
        <v>95303.916745631999</v>
      </c>
      <c r="N280" s="97">
        <f>SUMIFS('Assumption-Base'!$G$3:$G$32,'Assumption-Base'!$A$3:$A$32,$B280,'Assumption-Base'!$B$3:$B$32,$C280)</f>
        <v>0.4</v>
      </c>
      <c r="O280" s="19">
        <f t="shared" si="33"/>
        <v>58030.487948160007</v>
      </c>
      <c r="P280" s="99">
        <f t="shared" si="34"/>
        <v>37273.428797471992</v>
      </c>
    </row>
    <row r="281" spans="1:16" x14ac:dyDescent="0.35">
      <c r="A281" s="96" t="str">
        <f>LEFT('2025 actual v budget'!A281,4)&amp;"26"</f>
        <v>Oct-26</v>
      </c>
      <c r="B281" s="17" t="str">
        <f>'2025 actual v budget'!B281</f>
        <v>Germany</v>
      </c>
      <c r="C281" s="17" t="str">
        <f>'2025 actual v budget'!C281</f>
        <v>Treasury Yield</v>
      </c>
      <c r="D281" s="19">
        <f>'2025 actual v budget'!D281</f>
        <v>5317047.79</v>
      </c>
      <c r="E281" s="97">
        <f>SUMIFS('Assumption-Base'!$C$3:$C$32,'Assumption-Base'!$A$3:$A$32,$B281,'Assumption-Base'!$B$3:$B$32,$C281)</f>
        <v>0.06</v>
      </c>
      <c r="F281" s="19">
        <f t="shared" si="28"/>
        <v>5636070.6573999999</v>
      </c>
      <c r="G281" s="98">
        <f>SUMIFS('Assumption-Base'!$D$3:$D$32,'Assumption-Base'!$A$3:$A$32,$B281,'Assumption-Base'!$B$3:$B$32,$C281)</f>
        <v>3.0000000000000001E-3</v>
      </c>
      <c r="H281" s="99">
        <f t="shared" si="29"/>
        <v>16908.211972199999</v>
      </c>
      <c r="I281" s="97">
        <f>SUMIFS('Assumption-Base'!$E$3:$E$32,'Assumption-Base'!$A$3:$A$32,$B281,'Assumption-Base'!$B$3:$B$32,$C281)</f>
        <v>0.18</v>
      </c>
      <c r="J281" s="19">
        <f t="shared" si="30"/>
        <v>3043.4781549959998</v>
      </c>
      <c r="K281" s="100">
        <f>SUMIFS('Assumption-Base'!$F$3:$F$32,'Assumption-Base'!$A$3:$A$32,$B281,'Assumption-Base'!$B$3:$B$32,$C281)</f>
        <v>1.4999999999999999E-4</v>
      </c>
      <c r="L281" s="19">
        <f t="shared" si="31"/>
        <v>845.41059860999997</v>
      </c>
      <c r="M281" s="99">
        <f t="shared" si="32"/>
        <v>13019.323218594</v>
      </c>
      <c r="N281" s="97">
        <f>SUMIFS('Assumption-Base'!$G$3:$G$32,'Assumption-Base'!$A$3:$A$32,$B281,'Assumption-Base'!$B$3:$B$32,$C281)</f>
        <v>0.4</v>
      </c>
      <c r="O281" s="19">
        <f t="shared" si="33"/>
        <v>6763.2847888799997</v>
      </c>
      <c r="P281" s="99">
        <f t="shared" si="34"/>
        <v>6256.0384297139999</v>
      </c>
    </row>
    <row r="282" spans="1:16" x14ac:dyDescent="0.35">
      <c r="A282" s="96" t="str">
        <f>LEFT('2025 actual v budget'!A282,4)&amp;"26"</f>
        <v>Oct-26</v>
      </c>
      <c r="B282" s="17" t="str">
        <f>'2025 actual v budget'!B282</f>
        <v>Germany</v>
      </c>
      <c r="C282" s="17" t="str">
        <f>'2025 actual v budget'!C282</f>
        <v>Virtual Accounts</v>
      </c>
      <c r="D282" s="19">
        <f>'2025 actual v budget'!D282</f>
        <v>8091402.2599999998</v>
      </c>
      <c r="E282" s="97">
        <f>SUMIFS('Assumption-Base'!$C$3:$C$32,'Assumption-Base'!$A$3:$A$32,$B282,'Assumption-Base'!$B$3:$B$32,$C282)</f>
        <v>0.06</v>
      </c>
      <c r="F282" s="19">
        <f t="shared" si="28"/>
        <v>8576886.3956000004</v>
      </c>
      <c r="G282" s="98">
        <f>SUMIFS('Assumption-Base'!$D$3:$D$32,'Assumption-Base'!$A$3:$A$32,$B282,'Assumption-Base'!$B$3:$B$32,$C282)</f>
        <v>4.4999999999999997E-3</v>
      </c>
      <c r="H282" s="99">
        <f t="shared" si="29"/>
        <v>38595.988780200001</v>
      </c>
      <c r="I282" s="97">
        <f>SUMIFS('Assumption-Base'!$E$3:$E$32,'Assumption-Base'!$A$3:$A$32,$B282,'Assumption-Base'!$B$3:$B$32,$C282)</f>
        <v>0.22</v>
      </c>
      <c r="J282" s="19">
        <f t="shared" si="30"/>
        <v>8491.1175316440003</v>
      </c>
      <c r="K282" s="100">
        <f>SUMIFS('Assumption-Base'!$F$3:$F$32,'Assumption-Base'!$A$3:$A$32,$B282,'Assumption-Base'!$B$3:$B$32,$C282)</f>
        <v>1.4999999999999999E-4</v>
      </c>
      <c r="L282" s="19">
        <f t="shared" si="31"/>
        <v>1286.5329593399999</v>
      </c>
      <c r="M282" s="99">
        <f t="shared" si="32"/>
        <v>28818.338289216004</v>
      </c>
      <c r="N282" s="97">
        <f>SUMIFS('Assumption-Base'!$G$3:$G$32,'Assumption-Base'!$A$3:$A$32,$B282,'Assumption-Base'!$B$3:$B$32,$C282)</f>
        <v>0.4</v>
      </c>
      <c r="O282" s="19">
        <f t="shared" si="33"/>
        <v>15438.395512080002</v>
      </c>
      <c r="P282" s="99">
        <f t="shared" si="34"/>
        <v>13379.942777136002</v>
      </c>
    </row>
    <row r="283" spans="1:16" x14ac:dyDescent="0.35">
      <c r="A283" s="96" t="str">
        <f>LEFT('2025 actual v budget'!A283,4)&amp;"26"</f>
        <v>Oct-26</v>
      </c>
      <c r="B283" s="17" t="str">
        <f>'2025 actual v budget'!B283</f>
        <v>India</v>
      </c>
      <c r="C283" s="17" t="str">
        <f>'2025 actual v budget'!C283</f>
        <v>Cross-border Payouts</v>
      </c>
      <c r="D283" s="19">
        <f>'2025 actual v budget'!D283</f>
        <v>12769594.460000001</v>
      </c>
      <c r="E283" s="97">
        <f>SUMIFS('Assumption-Base'!$C$3:$C$32,'Assumption-Base'!$A$3:$A$32,$B283,'Assumption-Base'!$B$3:$B$32,$C283)</f>
        <v>0.12</v>
      </c>
      <c r="F283" s="19">
        <f t="shared" si="28"/>
        <v>14301945.795200001</v>
      </c>
      <c r="G283" s="98">
        <f>SUMIFS('Assumption-Base'!$D$3:$D$32,'Assumption-Base'!$A$3:$A$32,$B283,'Assumption-Base'!$B$3:$B$32,$C283)</f>
        <v>7.4999999999999997E-3</v>
      </c>
      <c r="H283" s="99">
        <f t="shared" si="29"/>
        <v>107264.59346400001</v>
      </c>
      <c r="I283" s="97">
        <f>SUMIFS('Assumption-Base'!$E$3:$E$32,'Assumption-Base'!$A$3:$A$32,$B283,'Assumption-Base'!$B$3:$B$32,$C283)</f>
        <v>0.35</v>
      </c>
      <c r="J283" s="19">
        <f t="shared" si="30"/>
        <v>37542.6077124</v>
      </c>
      <c r="K283" s="100">
        <f>SUMIFS('Assumption-Base'!$F$3:$F$32,'Assumption-Base'!$A$3:$A$32,$B283,'Assumption-Base'!$B$3:$B$32,$C283)</f>
        <v>1.8000000000000001E-4</v>
      </c>
      <c r="L283" s="19">
        <f t="shared" si="31"/>
        <v>2574.3502431360002</v>
      </c>
      <c r="M283" s="99">
        <f t="shared" si="32"/>
        <v>67147.635508464009</v>
      </c>
      <c r="N283" s="97">
        <f>SUMIFS('Assumption-Base'!$G$3:$G$32,'Assumption-Base'!$A$3:$A$32,$B283,'Assumption-Base'!$B$3:$B$32,$C283)</f>
        <v>0.4</v>
      </c>
      <c r="O283" s="19">
        <f t="shared" si="33"/>
        <v>42905.837385600003</v>
      </c>
      <c r="P283" s="99">
        <f t="shared" si="34"/>
        <v>24241.798122864006</v>
      </c>
    </row>
    <row r="284" spans="1:16" x14ac:dyDescent="0.35">
      <c r="A284" s="96" t="str">
        <f>LEFT('2025 actual v budget'!A284,4)&amp;"26"</f>
        <v>Oct-26</v>
      </c>
      <c r="B284" s="17" t="str">
        <f>'2025 actual v budget'!B284</f>
        <v>India</v>
      </c>
      <c r="C284" s="17" t="str">
        <f>'2025 actual v budget'!C284</f>
        <v>FX Conversion</v>
      </c>
      <c r="D284" s="19">
        <f>'2025 actual v budget'!D284</f>
        <v>19851844.579999998</v>
      </c>
      <c r="E284" s="97">
        <f>SUMIFS('Assumption-Base'!$C$3:$C$32,'Assumption-Base'!$A$3:$A$32,$B284,'Assumption-Base'!$B$3:$B$32,$C284)</f>
        <v>0.12</v>
      </c>
      <c r="F284" s="19">
        <f t="shared" si="28"/>
        <v>22234065.9296</v>
      </c>
      <c r="G284" s="98">
        <f>SUMIFS('Assumption-Base'!$D$3:$D$32,'Assumption-Base'!$A$3:$A$32,$B284,'Assumption-Base'!$B$3:$B$32,$C284)</f>
        <v>1.0500000000000001E-2</v>
      </c>
      <c r="H284" s="99">
        <f t="shared" si="29"/>
        <v>233457.69226080002</v>
      </c>
      <c r="I284" s="97">
        <f>SUMIFS('Assumption-Base'!$E$3:$E$32,'Assumption-Base'!$A$3:$A$32,$B284,'Assumption-Base'!$B$3:$B$32,$C284)</f>
        <v>0.28000000000000003</v>
      </c>
      <c r="J284" s="19">
        <f t="shared" si="30"/>
        <v>65368.153833024007</v>
      </c>
      <c r="K284" s="100">
        <f>SUMIFS('Assumption-Base'!$F$3:$F$32,'Assumption-Base'!$A$3:$A$32,$B284,'Assumption-Base'!$B$3:$B$32,$C284)</f>
        <v>1.8000000000000001E-4</v>
      </c>
      <c r="L284" s="19">
        <f t="shared" si="31"/>
        <v>4002.1318673280002</v>
      </c>
      <c r="M284" s="99">
        <f t="shared" si="32"/>
        <v>164087.40656044803</v>
      </c>
      <c r="N284" s="97">
        <f>SUMIFS('Assumption-Base'!$G$3:$G$32,'Assumption-Base'!$A$3:$A$32,$B284,'Assumption-Base'!$B$3:$B$32,$C284)</f>
        <v>0.4</v>
      </c>
      <c r="O284" s="19">
        <f t="shared" si="33"/>
        <v>93383.076904320013</v>
      </c>
      <c r="P284" s="99">
        <f t="shared" si="34"/>
        <v>70704.329656128015</v>
      </c>
    </row>
    <row r="285" spans="1:16" x14ac:dyDescent="0.35">
      <c r="A285" s="96" t="str">
        <f>LEFT('2025 actual v budget'!A285,4)&amp;"26"</f>
        <v>Oct-26</v>
      </c>
      <c r="B285" s="17" t="str">
        <f>'2025 actual v budget'!B285</f>
        <v>India</v>
      </c>
      <c r="C285" s="17" t="str">
        <f>'2025 actual v budget'!C285</f>
        <v>Stablecoin Settlement</v>
      </c>
      <c r="D285" s="19">
        <f>'2025 actual v budget'!D285</f>
        <v>30445515.59</v>
      </c>
      <c r="E285" s="97">
        <f>SUMIFS('Assumption-Base'!$C$3:$C$32,'Assumption-Base'!$A$3:$A$32,$B285,'Assumption-Base'!$B$3:$B$32,$C285)</f>
        <v>0.24</v>
      </c>
      <c r="F285" s="19">
        <f t="shared" si="28"/>
        <v>37752439.331600003</v>
      </c>
      <c r="G285" s="98">
        <f>SUMIFS('Assumption-Base'!$D$3:$D$32,'Assumption-Base'!$A$3:$A$32,$B285,'Assumption-Base'!$B$3:$B$32,$C285)</f>
        <v>6.4999999999999997E-3</v>
      </c>
      <c r="H285" s="99">
        <f t="shared" si="29"/>
        <v>245390.8556554</v>
      </c>
      <c r="I285" s="97">
        <f>SUMIFS('Assumption-Base'!$E$3:$E$32,'Assumption-Base'!$A$3:$A$32,$B285,'Assumption-Base'!$B$3:$B$32,$C285)</f>
        <v>0.32</v>
      </c>
      <c r="J285" s="19">
        <f t="shared" si="30"/>
        <v>78525.073809727997</v>
      </c>
      <c r="K285" s="100">
        <f>SUMIFS('Assumption-Base'!$F$3:$F$32,'Assumption-Base'!$A$3:$A$32,$B285,'Assumption-Base'!$B$3:$B$32,$C285)</f>
        <v>1.8000000000000001E-4</v>
      </c>
      <c r="L285" s="19">
        <f t="shared" si="31"/>
        <v>6795.4390796880007</v>
      </c>
      <c r="M285" s="99">
        <f t="shared" si="32"/>
        <v>160070.34276598401</v>
      </c>
      <c r="N285" s="97">
        <f>SUMIFS('Assumption-Base'!$G$3:$G$32,'Assumption-Base'!$A$3:$A$32,$B285,'Assumption-Base'!$B$3:$B$32,$C285)</f>
        <v>0.4</v>
      </c>
      <c r="O285" s="19">
        <f t="shared" si="33"/>
        <v>98156.342262160004</v>
      </c>
      <c r="P285" s="99">
        <f t="shared" si="34"/>
        <v>61914.000503824005</v>
      </c>
    </row>
    <row r="286" spans="1:16" x14ac:dyDescent="0.35">
      <c r="A286" s="96" t="str">
        <f>LEFT('2025 actual v budget'!A286,4)&amp;"26"</f>
        <v>Oct-26</v>
      </c>
      <c r="B286" s="17" t="str">
        <f>'2025 actual v budget'!B286</f>
        <v>India</v>
      </c>
      <c r="C286" s="17" t="str">
        <f>'2025 actual v budget'!C286</f>
        <v>Treasury Yield</v>
      </c>
      <c r="D286" s="19">
        <f>'2025 actual v budget'!D286</f>
        <v>8133049.7000000002</v>
      </c>
      <c r="E286" s="97">
        <f>SUMIFS('Assumption-Base'!$C$3:$C$32,'Assumption-Base'!$A$3:$A$32,$B286,'Assumption-Base'!$B$3:$B$32,$C286)</f>
        <v>0.12</v>
      </c>
      <c r="F286" s="19">
        <f t="shared" si="28"/>
        <v>9109015.6640000008</v>
      </c>
      <c r="G286" s="98">
        <f>SUMIFS('Assumption-Base'!$D$3:$D$32,'Assumption-Base'!$A$3:$A$32,$B286,'Assumption-Base'!$B$3:$B$32,$C286)</f>
        <v>3.0000000000000001E-3</v>
      </c>
      <c r="H286" s="99">
        <f t="shared" si="29"/>
        <v>27327.046992000003</v>
      </c>
      <c r="I286" s="97">
        <f>SUMIFS('Assumption-Base'!$E$3:$E$32,'Assumption-Base'!$A$3:$A$32,$B286,'Assumption-Base'!$B$3:$B$32,$C286)</f>
        <v>0.18</v>
      </c>
      <c r="J286" s="19">
        <f t="shared" si="30"/>
        <v>4918.8684585600004</v>
      </c>
      <c r="K286" s="100">
        <f>SUMIFS('Assumption-Base'!$F$3:$F$32,'Assumption-Base'!$A$3:$A$32,$B286,'Assumption-Base'!$B$3:$B$32,$C286)</f>
        <v>1.8000000000000001E-4</v>
      </c>
      <c r="L286" s="19">
        <f t="shared" si="31"/>
        <v>1639.6228195200003</v>
      </c>
      <c r="M286" s="99">
        <f t="shared" si="32"/>
        <v>20768.555713920003</v>
      </c>
      <c r="N286" s="97">
        <f>SUMIFS('Assumption-Base'!$G$3:$G$32,'Assumption-Base'!$A$3:$A$32,$B286,'Assumption-Base'!$B$3:$B$32,$C286)</f>
        <v>0.4</v>
      </c>
      <c r="O286" s="19">
        <f t="shared" si="33"/>
        <v>10930.818796800002</v>
      </c>
      <c r="P286" s="99">
        <f t="shared" si="34"/>
        <v>9837.7369171200007</v>
      </c>
    </row>
    <row r="287" spans="1:16" x14ac:dyDescent="0.35">
      <c r="A287" s="96" t="str">
        <f>LEFT('2025 actual v budget'!A287,4)&amp;"26"</f>
        <v>Oct-26</v>
      </c>
      <c r="B287" s="17" t="str">
        <f>'2025 actual v budget'!B287</f>
        <v>India</v>
      </c>
      <c r="C287" s="17" t="str">
        <f>'2025 actual v budget'!C287</f>
        <v>Virtual Accounts</v>
      </c>
      <c r="D287" s="19">
        <f>'2025 actual v budget'!D287</f>
        <v>12376751.039999999</v>
      </c>
      <c r="E287" s="97">
        <f>SUMIFS('Assumption-Base'!$C$3:$C$32,'Assumption-Base'!$A$3:$A$32,$B287,'Assumption-Base'!$B$3:$B$32,$C287)</f>
        <v>0.12</v>
      </c>
      <c r="F287" s="19">
        <f t="shared" si="28"/>
        <v>13861961.164799999</v>
      </c>
      <c r="G287" s="98">
        <f>SUMIFS('Assumption-Base'!$D$3:$D$32,'Assumption-Base'!$A$3:$A$32,$B287,'Assumption-Base'!$B$3:$B$32,$C287)</f>
        <v>4.4999999999999997E-3</v>
      </c>
      <c r="H287" s="99">
        <f t="shared" si="29"/>
        <v>62378.825241599996</v>
      </c>
      <c r="I287" s="97">
        <f>SUMIFS('Assumption-Base'!$E$3:$E$32,'Assumption-Base'!$A$3:$A$32,$B287,'Assumption-Base'!$B$3:$B$32,$C287)</f>
        <v>0.22</v>
      </c>
      <c r="J287" s="19">
        <f t="shared" si="30"/>
        <v>13723.341553151999</v>
      </c>
      <c r="K287" s="100">
        <f>SUMIFS('Assumption-Base'!$F$3:$F$32,'Assumption-Base'!$A$3:$A$32,$B287,'Assumption-Base'!$B$3:$B$32,$C287)</f>
        <v>1.8000000000000001E-4</v>
      </c>
      <c r="L287" s="19">
        <f t="shared" si="31"/>
        <v>2495.1530096639999</v>
      </c>
      <c r="M287" s="99">
        <f t="shared" si="32"/>
        <v>46160.330678783997</v>
      </c>
      <c r="N287" s="97">
        <f>SUMIFS('Assumption-Base'!$G$3:$G$32,'Assumption-Base'!$A$3:$A$32,$B287,'Assumption-Base'!$B$3:$B$32,$C287)</f>
        <v>0.4</v>
      </c>
      <c r="O287" s="19">
        <f t="shared" si="33"/>
        <v>24951.530096639999</v>
      </c>
      <c r="P287" s="99">
        <f t="shared" si="34"/>
        <v>21208.800582143998</v>
      </c>
    </row>
    <row r="288" spans="1:16" x14ac:dyDescent="0.35">
      <c r="A288" s="96" t="str">
        <f>LEFT('2025 actual v budget'!A288,4)&amp;"26"</f>
        <v>Oct-26</v>
      </c>
      <c r="B288" s="17" t="str">
        <f>'2025 actual v budget'!B288</f>
        <v>Mexico</v>
      </c>
      <c r="C288" s="17" t="str">
        <f>'2025 actual v budget'!C288</f>
        <v>Cross-border Payouts</v>
      </c>
      <c r="D288" s="19">
        <f>'2025 actual v budget'!D288</f>
        <v>14965977.970000001</v>
      </c>
      <c r="E288" s="97">
        <f>SUMIFS('Assumption-Base'!$C$3:$C$32,'Assumption-Base'!$A$3:$A$32,$B288,'Assumption-Base'!$B$3:$B$32,$C288)</f>
        <v>0.15</v>
      </c>
      <c r="F288" s="19">
        <f t="shared" si="28"/>
        <v>17210874.6655</v>
      </c>
      <c r="G288" s="98">
        <f>SUMIFS('Assumption-Base'!$D$3:$D$32,'Assumption-Base'!$A$3:$A$32,$B288,'Assumption-Base'!$B$3:$B$32,$C288)</f>
        <v>7.4999999999999997E-3</v>
      </c>
      <c r="H288" s="99">
        <f t="shared" si="29"/>
        <v>129081.55999124999</v>
      </c>
      <c r="I288" s="97">
        <f>SUMIFS('Assumption-Base'!$E$3:$E$32,'Assumption-Base'!$A$3:$A$32,$B288,'Assumption-Base'!$B$3:$B$32,$C288)</f>
        <v>0.35</v>
      </c>
      <c r="J288" s="19">
        <f t="shared" si="30"/>
        <v>45178.545996937493</v>
      </c>
      <c r="K288" s="100">
        <f>SUMIFS('Assumption-Base'!$F$3:$F$32,'Assumption-Base'!$A$3:$A$32,$B288,'Assumption-Base'!$B$3:$B$32,$C288)</f>
        <v>8.0000000000000007E-5</v>
      </c>
      <c r="L288" s="19">
        <f t="shared" si="31"/>
        <v>1376.86997324</v>
      </c>
      <c r="M288" s="99">
        <f t="shared" si="32"/>
        <v>82526.144021072498</v>
      </c>
      <c r="N288" s="97">
        <f>SUMIFS('Assumption-Base'!$G$3:$G$32,'Assumption-Base'!$A$3:$A$32,$B288,'Assumption-Base'!$B$3:$B$32,$C288)</f>
        <v>0.4</v>
      </c>
      <c r="O288" s="19">
        <f t="shared" si="33"/>
        <v>51632.623996499999</v>
      </c>
      <c r="P288" s="99">
        <f t="shared" si="34"/>
        <v>30893.520024572499</v>
      </c>
    </row>
    <row r="289" spans="1:16" x14ac:dyDescent="0.35">
      <c r="A289" s="96" t="str">
        <f>LEFT('2025 actual v budget'!A289,4)&amp;"26"</f>
        <v>Oct-26</v>
      </c>
      <c r="B289" s="17" t="str">
        <f>'2025 actual v budget'!B289</f>
        <v>Mexico</v>
      </c>
      <c r="C289" s="17" t="str">
        <f>'2025 actual v budget'!C289</f>
        <v>FX Conversion</v>
      </c>
      <c r="D289" s="19">
        <f>'2025 actual v budget'!D289</f>
        <v>23261810.469999999</v>
      </c>
      <c r="E289" s="97">
        <f>SUMIFS('Assumption-Base'!$C$3:$C$32,'Assumption-Base'!$A$3:$A$32,$B289,'Assumption-Base'!$B$3:$B$32,$C289)</f>
        <v>0.15</v>
      </c>
      <c r="F289" s="19">
        <f t="shared" si="28"/>
        <v>26751082.040499996</v>
      </c>
      <c r="G289" s="98">
        <f>SUMIFS('Assumption-Base'!$D$3:$D$32,'Assumption-Base'!$A$3:$A$32,$B289,'Assumption-Base'!$B$3:$B$32,$C289)</f>
        <v>1.0500000000000001E-2</v>
      </c>
      <c r="H289" s="99">
        <f t="shared" si="29"/>
        <v>280886.36142524995</v>
      </c>
      <c r="I289" s="97">
        <f>SUMIFS('Assumption-Base'!$E$3:$E$32,'Assumption-Base'!$A$3:$A$32,$B289,'Assumption-Base'!$B$3:$B$32,$C289)</f>
        <v>0.28000000000000003</v>
      </c>
      <c r="J289" s="19">
        <f t="shared" si="30"/>
        <v>78648.181199069993</v>
      </c>
      <c r="K289" s="100">
        <f>SUMIFS('Assumption-Base'!$F$3:$F$32,'Assumption-Base'!$A$3:$A$32,$B289,'Assumption-Base'!$B$3:$B$32,$C289)</f>
        <v>8.0000000000000007E-5</v>
      </c>
      <c r="L289" s="19">
        <f t="shared" si="31"/>
        <v>2140.08656324</v>
      </c>
      <c r="M289" s="99">
        <f t="shared" si="32"/>
        <v>200098.09366293994</v>
      </c>
      <c r="N289" s="97">
        <f>SUMIFS('Assumption-Base'!$G$3:$G$32,'Assumption-Base'!$A$3:$A$32,$B289,'Assumption-Base'!$B$3:$B$32,$C289)</f>
        <v>0.4</v>
      </c>
      <c r="O289" s="19">
        <f t="shared" si="33"/>
        <v>112354.54457009998</v>
      </c>
      <c r="P289" s="99">
        <f t="shared" si="34"/>
        <v>87743.549092839952</v>
      </c>
    </row>
    <row r="290" spans="1:16" x14ac:dyDescent="0.35">
      <c r="A290" s="96" t="str">
        <f>LEFT('2025 actual v budget'!A290,4)&amp;"26"</f>
        <v>Oct-26</v>
      </c>
      <c r="B290" s="17" t="str">
        <f>'2025 actual v budget'!B290</f>
        <v>Mexico</v>
      </c>
      <c r="C290" s="17" t="str">
        <f>'2025 actual v budget'!C290</f>
        <v>Stablecoin Settlement</v>
      </c>
      <c r="D290" s="19">
        <f>'2025 actual v budget'!D290</f>
        <v>35682175.890000001</v>
      </c>
      <c r="E290" s="97">
        <f>SUMIFS('Assumption-Base'!$C$3:$C$32,'Assumption-Base'!$A$3:$A$32,$B290,'Assumption-Base'!$B$3:$B$32,$C290)</f>
        <v>0.3</v>
      </c>
      <c r="F290" s="19">
        <f t="shared" si="28"/>
        <v>46386828.657000005</v>
      </c>
      <c r="G290" s="98">
        <f>SUMIFS('Assumption-Base'!$D$3:$D$32,'Assumption-Base'!$A$3:$A$32,$B290,'Assumption-Base'!$B$3:$B$32,$C290)</f>
        <v>6.4999999999999997E-3</v>
      </c>
      <c r="H290" s="99">
        <f t="shared" si="29"/>
        <v>301514.38627050002</v>
      </c>
      <c r="I290" s="97">
        <f>SUMIFS('Assumption-Base'!$E$3:$E$32,'Assumption-Base'!$A$3:$A$32,$B290,'Assumption-Base'!$B$3:$B$32,$C290)</f>
        <v>0.32</v>
      </c>
      <c r="J290" s="19">
        <f t="shared" si="30"/>
        <v>96484.603606560006</v>
      </c>
      <c r="K290" s="100">
        <f>SUMIFS('Assumption-Base'!$F$3:$F$32,'Assumption-Base'!$A$3:$A$32,$B290,'Assumption-Base'!$B$3:$B$32,$C290)</f>
        <v>8.0000000000000007E-5</v>
      </c>
      <c r="L290" s="19">
        <f t="shared" si="31"/>
        <v>3710.9462925600005</v>
      </c>
      <c r="M290" s="99">
        <f t="shared" si="32"/>
        <v>201318.83637138002</v>
      </c>
      <c r="N290" s="97">
        <f>SUMIFS('Assumption-Base'!$G$3:$G$32,'Assumption-Base'!$A$3:$A$32,$B290,'Assumption-Base'!$B$3:$B$32,$C290)</f>
        <v>0.4</v>
      </c>
      <c r="O290" s="19">
        <f t="shared" si="33"/>
        <v>120605.75450820001</v>
      </c>
      <c r="P290" s="99">
        <f t="shared" si="34"/>
        <v>80713.081863180007</v>
      </c>
    </row>
    <row r="291" spans="1:16" x14ac:dyDescent="0.35">
      <c r="A291" s="96" t="str">
        <f>LEFT('2025 actual v budget'!A291,4)&amp;"26"</f>
        <v>Oct-26</v>
      </c>
      <c r="B291" s="17" t="str">
        <f>'2025 actual v budget'!B291</f>
        <v>Mexico</v>
      </c>
      <c r="C291" s="17" t="str">
        <f>'2025 actual v budget'!C291</f>
        <v>Treasury Yield</v>
      </c>
      <c r="D291" s="19">
        <f>'2025 actual v budget'!D291</f>
        <v>9530069.6099999994</v>
      </c>
      <c r="E291" s="97">
        <f>SUMIFS('Assumption-Base'!$C$3:$C$32,'Assumption-Base'!$A$3:$A$32,$B291,'Assumption-Base'!$B$3:$B$32,$C291)</f>
        <v>0.15</v>
      </c>
      <c r="F291" s="19">
        <f t="shared" si="28"/>
        <v>10959580.051499998</v>
      </c>
      <c r="G291" s="98">
        <f>SUMIFS('Assumption-Base'!$D$3:$D$32,'Assumption-Base'!$A$3:$A$32,$B291,'Assumption-Base'!$B$3:$B$32,$C291)</f>
        <v>3.0000000000000001E-3</v>
      </c>
      <c r="H291" s="99">
        <f t="shared" si="29"/>
        <v>32878.740154499996</v>
      </c>
      <c r="I291" s="97">
        <f>SUMIFS('Assumption-Base'!$E$3:$E$32,'Assumption-Base'!$A$3:$A$32,$B291,'Assumption-Base'!$B$3:$B$32,$C291)</f>
        <v>0.18</v>
      </c>
      <c r="J291" s="19">
        <f t="shared" si="30"/>
        <v>5918.1732278099989</v>
      </c>
      <c r="K291" s="100">
        <f>SUMIFS('Assumption-Base'!$F$3:$F$32,'Assumption-Base'!$A$3:$A$32,$B291,'Assumption-Base'!$B$3:$B$32,$C291)</f>
        <v>8.0000000000000007E-5</v>
      </c>
      <c r="L291" s="19">
        <f t="shared" si="31"/>
        <v>876.76640411999995</v>
      </c>
      <c r="M291" s="99">
        <f t="shared" si="32"/>
        <v>26083.800522569996</v>
      </c>
      <c r="N291" s="97">
        <f>SUMIFS('Assumption-Base'!$G$3:$G$32,'Assumption-Base'!$A$3:$A$32,$B291,'Assumption-Base'!$B$3:$B$32,$C291)</f>
        <v>0.4</v>
      </c>
      <c r="O291" s="19">
        <f t="shared" si="33"/>
        <v>13151.496061799999</v>
      </c>
      <c r="P291" s="99">
        <f t="shared" si="34"/>
        <v>12932.304460769998</v>
      </c>
    </row>
    <row r="292" spans="1:16" x14ac:dyDescent="0.35">
      <c r="A292" s="96" t="str">
        <f>LEFT('2025 actual v budget'!A292,4)&amp;"26"</f>
        <v>Oct-26</v>
      </c>
      <c r="B292" s="17" t="str">
        <f>'2025 actual v budget'!B292</f>
        <v>Mexico</v>
      </c>
      <c r="C292" s="17" t="str">
        <f>'2025 actual v budget'!C292</f>
        <v>Virtual Accounts</v>
      </c>
      <c r="D292" s="19">
        <f>'2025 actual v budget'!D292</f>
        <v>14502714.640000001</v>
      </c>
      <c r="E292" s="97">
        <f>SUMIFS('Assumption-Base'!$C$3:$C$32,'Assumption-Base'!$A$3:$A$32,$B292,'Assumption-Base'!$B$3:$B$32,$C292)</f>
        <v>0.15</v>
      </c>
      <c r="F292" s="19">
        <f t="shared" si="28"/>
        <v>16678121.835999999</v>
      </c>
      <c r="G292" s="98">
        <f>SUMIFS('Assumption-Base'!$D$3:$D$32,'Assumption-Base'!$A$3:$A$32,$B292,'Assumption-Base'!$B$3:$B$32,$C292)</f>
        <v>4.4999999999999997E-3</v>
      </c>
      <c r="H292" s="99">
        <f t="shared" si="29"/>
        <v>75051.548261999997</v>
      </c>
      <c r="I292" s="97">
        <f>SUMIFS('Assumption-Base'!$E$3:$E$32,'Assumption-Base'!$A$3:$A$32,$B292,'Assumption-Base'!$B$3:$B$32,$C292)</f>
        <v>0.22</v>
      </c>
      <c r="J292" s="19">
        <f t="shared" si="30"/>
        <v>16511.340617639999</v>
      </c>
      <c r="K292" s="100">
        <f>SUMIFS('Assumption-Base'!$F$3:$F$32,'Assumption-Base'!$A$3:$A$32,$B292,'Assumption-Base'!$B$3:$B$32,$C292)</f>
        <v>8.0000000000000007E-5</v>
      </c>
      <c r="L292" s="19">
        <f t="shared" si="31"/>
        <v>1334.24974688</v>
      </c>
      <c r="M292" s="99">
        <f t="shared" si="32"/>
        <v>57205.957897479995</v>
      </c>
      <c r="N292" s="97">
        <f>SUMIFS('Assumption-Base'!$G$3:$G$32,'Assumption-Base'!$A$3:$A$32,$B292,'Assumption-Base'!$B$3:$B$32,$C292)</f>
        <v>0.4</v>
      </c>
      <c r="O292" s="19">
        <f t="shared" si="33"/>
        <v>30020.619304799999</v>
      </c>
      <c r="P292" s="99">
        <f t="shared" si="34"/>
        <v>27185.338592679997</v>
      </c>
    </row>
    <row r="293" spans="1:16" x14ac:dyDescent="0.35">
      <c r="A293" s="96" t="str">
        <f>LEFT('2025 actual v budget'!A293,4)&amp;"26"</f>
        <v>Oct-26</v>
      </c>
      <c r="B293" s="17" t="str">
        <f>'2025 actual v budget'!B293</f>
        <v>Singapore</v>
      </c>
      <c r="C293" s="17" t="str">
        <f>'2025 actual v budget'!C293</f>
        <v>Cross-border Payouts</v>
      </c>
      <c r="D293" s="19">
        <f>'2025 actual v budget'!D293</f>
        <v>11502752.810000001</v>
      </c>
      <c r="E293" s="97">
        <f>SUMIFS('Assumption-Base'!$C$3:$C$32,'Assumption-Base'!$A$3:$A$32,$B293,'Assumption-Base'!$B$3:$B$32,$C293)</f>
        <v>0.05</v>
      </c>
      <c r="F293" s="19">
        <f t="shared" si="28"/>
        <v>12077890.4505</v>
      </c>
      <c r="G293" s="98">
        <f>SUMIFS('Assumption-Base'!$D$3:$D$32,'Assumption-Base'!$A$3:$A$32,$B293,'Assumption-Base'!$B$3:$B$32,$C293)</f>
        <v>7.4999999999999997E-3</v>
      </c>
      <c r="H293" s="99">
        <f t="shared" si="29"/>
        <v>90584.178378750003</v>
      </c>
      <c r="I293" s="97">
        <f>SUMIFS('Assumption-Base'!$E$3:$E$32,'Assumption-Base'!$A$3:$A$32,$B293,'Assumption-Base'!$B$3:$B$32,$C293)</f>
        <v>0.35</v>
      </c>
      <c r="J293" s="19">
        <f t="shared" si="30"/>
        <v>31704.462432562497</v>
      </c>
      <c r="K293" s="100">
        <f>SUMIFS('Assumption-Base'!$F$3:$F$32,'Assumption-Base'!$A$3:$A$32,$B293,'Assumption-Base'!$B$3:$B$32,$C293)</f>
        <v>9.0000000000000006E-5</v>
      </c>
      <c r="L293" s="19">
        <f t="shared" si="31"/>
        <v>1087.010140545</v>
      </c>
      <c r="M293" s="99">
        <f t="shared" si="32"/>
        <v>57792.705805642508</v>
      </c>
      <c r="N293" s="97">
        <f>SUMIFS('Assumption-Base'!$G$3:$G$32,'Assumption-Base'!$A$3:$A$32,$B293,'Assumption-Base'!$B$3:$B$32,$C293)</f>
        <v>0.4</v>
      </c>
      <c r="O293" s="19">
        <f t="shared" si="33"/>
        <v>36233.671351500001</v>
      </c>
      <c r="P293" s="99">
        <f t="shared" si="34"/>
        <v>21559.034454142507</v>
      </c>
    </row>
    <row r="294" spans="1:16" x14ac:dyDescent="0.35">
      <c r="A294" s="96" t="str">
        <f>LEFT('2025 actual v budget'!A294,4)&amp;"26"</f>
        <v>Oct-26</v>
      </c>
      <c r="B294" s="17" t="str">
        <f>'2025 actual v budget'!B294</f>
        <v>Singapore</v>
      </c>
      <c r="C294" s="17" t="str">
        <f>'2025 actual v budget'!C294</f>
        <v>FX Conversion</v>
      </c>
      <c r="D294" s="19">
        <f>'2025 actual v budget'!D294</f>
        <v>17868137.359999999</v>
      </c>
      <c r="E294" s="97">
        <f>SUMIFS('Assumption-Base'!$C$3:$C$32,'Assumption-Base'!$A$3:$A$32,$B294,'Assumption-Base'!$B$3:$B$32,$C294)</f>
        <v>0.05</v>
      </c>
      <c r="F294" s="19">
        <f t="shared" si="28"/>
        <v>18761544.228</v>
      </c>
      <c r="G294" s="98">
        <f>SUMIFS('Assumption-Base'!$D$3:$D$32,'Assumption-Base'!$A$3:$A$32,$B294,'Assumption-Base'!$B$3:$B$32,$C294)</f>
        <v>1.0500000000000001E-2</v>
      </c>
      <c r="H294" s="99">
        <f t="shared" si="29"/>
        <v>196996.21439400001</v>
      </c>
      <c r="I294" s="97">
        <f>SUMIFS('Assumption-Base'!$E$3:$E$32,'Assumption-Base'!$A$3:$A$32,$B294,'Assumption-Base'!$B$3:$B$32,$C294)</f>
        <v>0.28000000000000003</v>
      </c>
      <c r="J294" s="19">
        <f t="shared" si="30"/>
        <v>55158.940030320009</v>
      </c>
      <c r="K294" s="100">
        <f>SUMIFS('Assumption-Base'!$F$3:$F$32,'Assumption-Base'!$A$3:$A$32,$B294,'Assumption-Base'!$B$3:$B$32,$C294)</f>
        <v>9.0000000000000006E-5</v>
      </c>
      <c r="L294" s="19">
        <f t="shared" si="31"/>
        <v>1688.5389805200002</v>
      </c>
      <c r="M294" s="99">
        <f t="shared" si="32"/>
        <v>140148.73538315998</v>
      </c>
      <c r="N294" s="97">
        <f>SUMIFS('Assumption-Base'!$G$3:$G$32,'Assumption-Base'!$A$3:$A$32,$B294,'Assumption-Base'!$B$3:$B$32,$C294)</f>
        <v>0.4</v>
      </c>
      <c r="O294" s="19">
        <f t="shared" si="33"/>
        <v>78798.485757600007</v>
      </c>
      <c r="P294" s="99">
        <f t="shared" si="34"/>
        <v>61350.249625559969</v>
      </c>
    </row>
    <row r="295" spans="1:16" x14ac:dyDescent="0.35">
      <c r="A295" s="96" t="str">
        <f>LEFT('2025 actual v budget'!A295,4)&amp;"26"</f>
        <v>Oct-26</v>
      </c>
      <c r="B295" s="17" t="str">
        <f>'2025 actual v budget'!B295</f>
        <v>Singapore</v>
      </c>
      <c r="C295" s="17" t="str">
        <f>'2025 actual v budget'!C295</f>
        <v>Stablecoin Settlement</v>
      </c>
      <c r="D295" s="19">
        <f>'2025 actual v budget'!D295</f>
        <v>27425087.07</v>
      </c>
      <c r="E295" s="97">
        <f>SUMIFS('Assumption-Base'!$C$3:$C$32,'Assumption-Base'!$A$3:$A$32,$B295,'Assumption-Base'!$B$3:$B$32,$C295)</f>
        <v>0.1</v>
      </c>
      <c r="F295" s="19">
        <f t="shared" si="28"/>
        <v>30167595.777000003</v>
      </c>
      <c r="G295" s="98">
        <f>SUMIFS('Assumption-Base'!$D$3:$D$32,'Assumption-Base'!$A$3:$A$32,$B295,'Assumption-Base'!$B$3:$B$32,$C295)</f>
        <v>6.4999999999999997E-3</v>
      </c>
      <c r="H295" s="99">
        <f t="shared" si="29"/>
        <v>196089.3725505</v>
      </c>
      <c r="I295" s="97">
        <f>SUMIFS('Assumption-Base'!$E$3:$E$32,'Assumption-Base'!$A$3:$A$32,$B295,'Assumption-Base'!$B$3:$B$32,$C295)</f>
        <v>0.32</v>
      </c>
      <c r="J295" s="19">
        <f t="shared" si="30"/>
        <v>62748.599216160001</v>
      </c>
      <c r="K295" s="100">
        <f>SUMIFS('Assumption-Base'!$F$3:$F$32,'Assumption-Base'!$A$3:$A$32,$B295,'Assumption-Base'!$B$3:$B$32,$C295)</f>
        <v>9.0000000000000006E-5</v>
      </c>
      <c r="L295" s="19">
        <f t="shared" si="31"/>
        <v>2715.0836199300006</v>
      </c>
      <c r="M295" s="99">
        <f t="shared" si="32"/>
        <v>130625.68971441002</v>
      </c>
      <c r="N295" s="97">
        <f>SUMIFS('Assumption-Base'!$G$3:$G$32,'Assumption-Base'!$A$3:$A$32,$B295,'Assumption-Base'!$B$3:$B$32,$C295)</f>
        <v>0.4</v>
      </c>
      <c r="O295" s="19">
        <f t="shared" si="33"/>
        <v>78435.749020200004</v>
      </c>
      <c r="P295" s="99">
        <f t="shared" si="34"/>
        <v>52189.940694210018</v>
      </c>
    </row>
    <row r="296" spans="1:16" x14ac:dyDescent="0.35">
      <c r="A296" s="96" t="str">
        <f>LEFT('2025 actual v budget'!A296,4)&amp;"26"</f>
        <v>Oct-26</v>
      </c>
      <c r="B296" s="17" t="str">
        <f>'2025 actual v budget'!B296</f>
        <v>Singapore</v>
      </c>
      <c r="C296" s="17" t="str">
        <f>'2025 actual v budget'!C296</f>
        <v>Treasury Yield</v>
      </c>
      <c r="D296" s="19">
        <f>'2025 actual v budget'!D296</f>
        <v>7320349.9400000004</v>
      </c>
      <c r="E296" s="97">
        <f>SUMIFS('Assumption-Base'!$C$3:$C$32,'Assumption-Base'!$A$3:$A$32,$B296,'Assumption-Base'!$B$3:$B$32,$C296)</f>
        <v>0.05</v>
      </c>
      <c r="F296" s="19">
        <f t="shared" si="28"/>
        <v>7686367.4370000008</v>
      </c>
      <c r="G296" s="98">
        <f>SUMIFS('Assumption-Base'!$D$3:$D$32,'Assumption-Base'!$A$3:$A$32,$B296,'Assumption-Base'!$B$3:$B$32,$C296)</f>
        <v>3.0000000000000001E-3</v>
      </c>
      <c r="H296" s="99">
        <f t="shared" si="29"/>
        <v>23059.102311000002</v>
      </c>
      <c r="I296" s="97">
        <f>SUMIFS('Assumption-Base'!$E$3:$E$32,'Assumption-Base'!$A$3:$A$32,$B296,'Assumption-Base'!$B$3:$B$32,$C296)</f>
        <v>0.18</v>
      </c>
      <c r="J296" s="19">
        <f t="shared" si="30"/>
        <v>4150.63841598</v>
      </c>
      <c r="K296" s="100">
        <f>SUMIFS('Assumption-Base'!$F$3:$F$32,'Assumption-Base'!$A$3:$A$32,$B296,'Assumption-Base'!$B$3:$B$32,$C296)</f>
        <v>9.0000000000000006E-5</v>
      </c>
      <c r="L296" s="19">
        <f t="shared" si="31"/>
        <v>691.77306933000011</v>
      </c>
      <c r="M296" s="99">
        <f t="shared" si="32"/>
        <v>18216.690825690002</v>
      </c>
      <c r="N296" s="97">
        <f>SUMIFS('Assumption-Base'!$G$3:$G$32,'Assumption-Base'!$A$3:$A$32,$B296,'Assumption-Base'!$B$3:$B$32,$C296)</f>
        <v>0.4</v>
      </c>
      <c r="O296" s="19">
        <f t="shared" si="33"/>
        <v>9223.6409244000006</v>
      </c>
      <c r="P296" s="99">
        <f t="shared" si="34"/>
        <v>8993.0499012900018</v>
      </c>
    </row>
    <row r="297" spans="1:16" x14ac:dyDescent="0.35">
      <c r="A297" s="96" t="str">
        <f>LEFT('2025 actual v budget'!A297,4)&amp;"26"</f>
        <v>Oct-26</v>
      </c>
      <c r="B297" s="17" t="str">
        <f>'2025 actual v budget'!B297</f>
        <v>Singapore</v>
      </c>
      <c r="C297" s="17" t="str">
        <f>'2025 actual v budget'!C297</f>
        <v>Virtual Accounts</v>
      </c>
      <c r="D297" s="19">
        <f>'2025 actual v budget'!D297</f>
        <v>11139996.93</v>
      </c>
      <c r="E297" s="97">
        <f>SUMIFS('Assumption-Base'!$C$3:$C$32,'Assumption-Base'!$A$3:$A$32,$B297,'Assumption-Base'!$B$3:$B$32,$C297)</f>
        <v>0.05</v>
      </c>
      <c r="F297" s="19">
        <f t="shared" si="28"/>
        <v>11696996.7765</v>
      </c>
      <c r="G297" s="98">
        <f>SUMIFS('Assumption-Base'!$D$3:$D$32,'Assumption-Base'!$A$3:$A$32,$B297,'Assumption-Base'!$B$3:$B$32,$C297)</f>
        <v>4.4999999999999997E-3</v>
      </c>
      <c r="H297" s="99">
        <f t="shared" si="29"/>
        <v>52636.485494249995</v>
      </c>
      <c r="I297" s="97">
        <f>SUMIFS('Assumption-Base'!$E$3:$E$32,'Assumption-Base'!$A$3:$A$32,$B297,'Assumption-Base'!$B$3:$B$32,$C297)</f>
        <v>0.22</v>
      </c>
      <c r="J297" s="19">
        <f t="shared" si="30"/>
        <v>11580.026808735</v>
      </c>
      <c r="K297" s="100">
        <f>SUMIFS('Assumption-Base'!$F$3:$F$32,'Assumption-Base'!$A$3:$A$32,$B297,'Assumption-Base'!$B$3:$B$32,$C297)</f>
        <v>9.0000000000000006E-5</v>
      </c>
      <c r="L297" s="19">
        <f t="shared" si="31"/>
        <v>1052.7297098850001</v>
      </c>
      <c r="M297" s="99">
        <f t="shared" si="32"/>
        <v>40003.728975629994</v>
      </c>
      <c r="N297" s="97">
        <f>SUMIFS('Assumption-Base'!$G$3:$G$32,'Assumption-Base'!$A$3:$A$32,$B297,'Assumption-Base'!$B$3:$B$32,$C297)</f>
        <v>0.4</v>
      </c>
      <c r="O297" s="19">
        <f t="shared" si="33"/>
        <v>21054.5941977</v>
      </c>
      <c r="P297" s="99">
        <f t="shared" si="34"/>
        <v>18949.134777929994</v>
      </c>
    </row>
    <row r="298" spans="1:16" x14ac:dyDescent="0.35">
      <c r="A298" s="96" t="str">
        <f>LEFT('2025 actual v budget'!A298,4)&amp;"26"</f>
        <v>Oct-26</v>
      </c>
      <c r="B298" s="17" t="str">
        <f>'2025 actual v budget'!B298</f>
        <v>USA</v>
      </c>
      <c r="C298" s="17" t="str">
        <f>'2025 actual v budget'!C298</f>
        <v>Cross-border Payouts</v>
      </c>
      <c r="D298" s="19">
        <f>'2025 actual v budget'!D298</f>
        <v>27553282.859999999</v>
      </c>
      <c r="E298" s="97">
        <f>SUMIFS('Assumption-Base'!$C$3:$C$32,'Assumption-Base'!$A$3:$A$32,$B298,'Assumption-Base'!$B$3:$B$32,$C298)</f>
        <v>0.1</v>
      </c>
      <c r="F298" s="19">
        <f t="shared" si="28"/>
        <v>30308611.146000002</v>
      </c>
      <c r="G298" s="98">
        <f>SUMIFS('Assumption-Base'!$D$3:$D$32,'Assumption-Base'!$A$3:$A$32,$B298,'Assumption-Base'!$B$3:$B$32,$C298)</f>
        <v>7.4999999999999997E-3</v>
      </c>
      <c r="H298" s="99">
        <f t="shared" si="29"/>
        <v>227314.583595</v>
      </c>
      <c r="I298" s="97">
        <f>SUMIFS('Assumption-Base'!$E$3:$E$32,'Assumption-Base'!$A$3:$A$32,$B298,'Assumption-Base'!$B$3:$B$32,$C298)</f>
        <v>0.35</v>
      </c>
      <c r="J298" s="19">
        <f t="shared" si="30"/>
        <v>79560.104258249994</v>
      </c>
      <c r="K298" s="100">
        <f>SUMIFS('Assumption-Base'!$F$3:$F$32,'Assumption-Base'!$A$3:$A$32,$B298,'Assumption-Base'!$B$3:$B$32,$C298)</f>
        <v>2.0000000000000001E-4</v>
      </c>
      <c r="L298" s="19">
        <f t="shared" si="31"/>
        <v>6061.7222292000006</v>
      </c>
      <c r="M298" s="99">
        <f t="shared" si="32"/>
        <v>141692.75710754999</v>
      </c>
      <c r="N298" s="97">
        <f>SUMIFS('Assumption-Base'!$G$3:$G$32,'Assumption-Base'!$A$3:$A$32,$B298,'Assumption-Base'!$B$3:$B$32,$C298)</f>
        <v>0.4</v>
      </c>
      <c r="O298" s="19">
        <f t="shared" si="33"/>
        <v>90925.833438000001</v>
      </c>
      <c r="P298" s="99">
        <f t="shared" si="34"/>
        <v>50766.923669549986</v>
      </c>
    </row>
    <row r="299" spans="1:16" x14ac:dyDescent="0.35">
      <c r="A299" s="96" t="str">
        <f>LEFT('2025 actual v budget'!A299,4)&amp;"26"</f>
        <v>Oct-26</v>
      </c>
      <c r="B299" s="17" t="str">
        <f>'2025 actual v budget'!B299</f>
        <v>USA</v>
      </c>
      <c r="C299" s="17" t="str">
        <f>'2025 actual v budget'!C299</f>
        <v>FX Conversion</v>
      </c>
      <c r="D299" s="19">
        <f>'2025 actual v budget'!D299</f>
        <v>42791963.399999999</v>
      </c>
      <c r="E299" s="97">
        <f>SUMIFS('Assumption-Base'!$C$3:$C$32,'Assumption-Base'!$A$3:$A$32,$B299,'Assumption-Base'!$B$3:$B$32,$C299)</f>
        <v>0.1</v>
      </c>
      <c r="F299" s="19">
        <f t="shared" si="28"/>
        <v>47071159.740000002</v>
      </c>
      <c r="G299" s="98">
        <f>SUMIFS('Assumption-Base'!$D$3:$D$32,'Assumption-Base'!$A$3:$A$32,$B299,'Assumption-Base'!$B$3:$B$32,$C299)</f>
        <v>1.0500000000000001E-2</v>
      </c>
      <c r="H299" s="99">
        <f t="shared" si="29"/>
        <v>494247.17727000004</v>
      </c>
      <c r="I299" s="97">
        <f>SUMIFS('Assumption-Base'!$E$3:$E$32,'Assumption-Base'!$A$3:$A$32,$B299,'Assumption-Base'!$B$3:$B$32,$C299)</f>
        <v>0.28000000000000003</v>
      </c>
      <c r="J299" s="19">
        <f t="shared" si="30"/>
        <v>138389.20963560001</v>
      </c>
      <c r="K299" s="100">
        <f>SUMIFS('Assumption-Base'!$F$3:$F$32,'Assumption-Base'!$A$3:$A$32,$B299,'Assumption-Base'!$B$3:$B$32,$C299)</f>
        <v>2.0000000000000001E-4</v>
      </c>
      <c r="L299" s="19">
        <f t="shared" si="31"/>
        <v>9414.2319480000006</v>
      </c>
      <c r="M299" s="99">
        <f t="shared" si="32"/>
        <v>346443.73568639997</v>
      </c>
      <c r="N299" s="97">
        <f>SUMIFS('Assumption-Base'!$G$3:$G$32,'Assumption-Base'!$A$3:$A$32,$B299,'Assumption-Base'!$B$3:$B$32,$C299)</f>
        <v>0.4</v>
      </c>
      <c r="O299" s="19">
        <f t="shared" si="33"/>
        <v>197698.87090800004</v>
      </c>
      <c r="P299" s="99">
        <f t="shared" si="34"/>
        <v>148744.86477839993</v>
      </c>
    </row>
    <row r="300" spans="1:16" x14ac:dyDescent="0.35">
      <c r="A300" s="96" t="str">
        <f>LEFT('2025 actual v budget'!A300,4)&amp;"26"</f>
        <v>Oct-26</v>
      </c>
      <c r="B300" s="17" t="str">
        <f>'2025 actual v budget'!B300</f>
        <v>USA</v>
      </c>
      <c r="C300" s="17" t="str">
        <f>'2025 actual v budget'!C300</f>
        <v>Stablecoin Settlement</v>
      </c>
      <c r="D300" s="19">
        <f>'2025 actual v budget'!D300</f>
        <v>65693073.140000001</v>
      </c>
      <c r="E300" s="97">
        <f>SUMIFS('Assumption-Base'!$C$3:$C$32,'Assumption-Base'!$A$3:$A$32,$B300,'Assumption-Base'!$B$3:$B$32,$C300)</f>
        <v>0.2</v>
      </c>
      <c r="F300" s="19">
        <f t="shared" si="28"/>
        <v>78831687.767999992</v>
      </c>
      <c r="G300" s="98">
        <f>SUMIFS('Assumption-Base'!$D$3:$D$32,'Assumption-Base'!$A$3:$A$32,$B300,'Assumption-Base'!$B$3:$B$32,$C300)</f>
        <v>6.4999999999999997E-3</v>
      </c>
      <c r="H300" s="99">
        <f t="shared" si="29"/>
        <v>512405.97049199993</v>
      </c>
      <c r="I300" s="97">
        <f>SUMIFS('Assumption-Base'!$E$3:$E$32,'Assumption-Base'!$A$3:$A$32,$B300,'Assumption-Base'!$B$3:$B$32,$C300)</f>
        <v>0.32</v>
      </c>
      <c r="J300" s="19">
        <f t="shared" si="30"/>
        <v>163969.91055743999</v>
      </c>
      <c r="K300" s="100">
        <f>SUMIFS('Assumption-Base'!$F$3:$F$32,'Assumption-Base'!$A$3:$A$32,$B300,'Assumption-Base'!$B$3:$B$32,$C300)</f>
        <v>2.0000000000000001E-4</v>
      </c>
      <c r="L300" s="19">
        <f t="shared" si="31"/>
        <v>15766.337553599999</v>
      </c>
      <c r="M300" s="99">
        <f t="shared" si="32"/>
        <v>332669.72238095995</v>
      </c>
      <c r="N300" s="97">
        <f>SUMIFS('Assumption-Base'!$G$3:$G$32,'Assumption-Base'!$A$3:$A$32,$B300,'Assumption-Base'!$B$3:$B$32,$C300)</f>
        <v>0.4</v>
      </c>
      <c r="O300" s="19">
        <f t="shared" si="33"/>
        <v>204962.38819679999</v>
      </c>
      <c r="P300" s="99">
        <f t="shared" si="34"/>
        <v>127707.33418415996</v>
      </c>
    </row>
    <row r="301" spans="1:16" x14ac:dyDescent="0.35">
      <c r="A301" s="96" t="str">
        <f>LEFT('2025 actual v budget'!A301,4)&amp;"26"</f>
        <v>Oct-26</v>
      </c>
      <c r="B301" s="17" t="str">
        <f>'2025 actual v budget'!B301</f>
        <v>USA</v>
      </c>
      <c r="C301" s="17" t="str">
        <f>'2025 actual v budget'!C301</f>
        <v>Treasury Yield</v>
      </c>
      <c r="D301" s="19">
        <f>'2025 actual v budget'!D301</f>
        <v>17531326.32</v>
      </c>
      <c r="E301" s="97">
        <f>SUMIFS('Assumption-Base'!$C$3:$C$32,'Assumption-Base'!$A$3:$A$32,$B301,'Assumption-Base'!$B$3:$B$32,$C301)</f>
        <v>0.1</v>
      </c>
      <c r="F301" s="19">
        <f t="shared" si="28"/>
        <v>19284458.952000003</v>
      </c>
      <c r="G301" s="98">
        <f>SUMIFS('Assumption-Base'!$D$3:$D$32,'Assumption-Base'!$A$3:$A$32,$B301,'Assumption-Base'!$B$3:$B$32,$C301)</f>
        <v>3.0000000000000001E-3</v>
      </c>
      <c r="H301" s="99">
        <f t="shared" si="29"/>
        <v>57853.37685600001</v>
      </c>
      <c r="I301" s="97">
        <f>SUMIFS('Assumption-Base'!$E$3:$E$32,'Assumption-Base'!$A$3:$A$32,$B301,'Assumption-Base'!$B$3:$B$32,$C301)</f>
        <v>0.18</v>
      </c>
      <c r="J301" s="19">
        <f t="shared" si="30"/>
        <v>10413.607834080001</v>
      </c>
      <c r="K301" s="100">
        <f>SUMIFS('Assumption-Base'!$F$3:$F$32,'Assumption-Base'!$A$3:$A$32,$B301,'Assumption-Base'!$B$3:$B$32,$C301)</f>
        <v>2.0000000000000001E-4</v>
      </c>
      <c r="L301" s="19">
        <f t="shared" si="31"/>
        <v>3856.8917904000009</v>
      </c>
      <c r="M301" s="99">
        <f t="shared" si="32"/>
        <v>43582.877231520004</v>
      </c>
      <c r="N301" s="97">
        <f>SUMIFS('Assumption-Base'!$G$3:$G$32,'Assumption-Base'!$A$3:$A$32,$B301,'Assumption-Base'!$B$3:$B$32,$C301)</f>
        <v>0.4</v>
      </c>
      <c r="O301" s="19">
        <f t="shared" si="33"/>
        <v>23141.350742400005</v>
      </c>
      <c r="P301" s="99">
        <f t="shared" si="34"/>
        <v>20441.526489119999</v>
      </c>
    </row>
    <row r="302" spans="1:16" x14ac:dyDescent="0.35">
      <c r="A302" s="96" t="str">
        <f>LEFT('2025 actual v budget'!A302,4)&amp;"26"</f>
        <v>Oct-26</v>
      </c>
      <c r="B302" s="17" t="str">
        <f>'2025 actual v budget'!B302</f>
        <v>USA</v>
      </c>
      <c r="C302" s="17" t="str">
        <f>'2025 actual v budget'!C302</f>
        <v>Virtual Accounts</v>
      </c>
      <c r="D302" s="19">
        <f>'2025 actual v budget'!D302</f>
        <v>26678905.100000001</v>
      </c>
      <c r="E302" s="97">
        <f>SUMIFS('Assumption-Base'!$C$3:$C$32,'Assumption-Base'!$A$3:$A$32,$B302,'Assumption-Base'!$B$3:$B$32,$C302)</f>
        <v>0.1</v>
      </c>
      <c r="F302" s="19">
        <f t="shared" si="28"/>
        <v>29346795.610000003</v>
      </c>
      <c r="G302" s="98">
        <f>SUMIFS('Assumption-Base'!$D$3:$D$32,'Assumption-Base'!$A$3:$A$32,$B302,'Assumption-Base'!$B$3:$B$32,$C302)</f>
        <v>4.4999999999999997E-3</v>
      </c>
      <c r="H302" s="99">
        <f t="shared" si="29"/>
        <v>132060.58024499999</v>
      </c>
      <c r="I302" s="97">
        <f>SUMIFS('Assumption-Base'!$E$3:$E$32,'Assumption-Base'!$A$3:$A$32,$B302,'Assumption-Base'!$B$3:$B$32,$C302)</f>
        <v>0.22</v>
      </c>
      <c r="J302" s="19">
        <f t="shared" si="30"/>
        <v>29053.327653899996</v>
      </c>
      <c r="K302" s="100">
        <f>SUMIFS('Assumption-Base'!$F$3:$F$32,'Assumption-Base'!$A$3:$A$32,$B302,'Assumption-Base'!$B$3:$B$32,$C302)</f>
        <v>2.0000000000000001E-4</v>
      </c>
      <c r="L302" s="19">
        <f t="shared" si="31"/>
        <v>5869.3591220000008</v>
      </c>
      <c r="M302" s="99">
        <f t="shared" si="32"/>
        <v>97137.893469100003</v>
      </c>
      <c r="N302" s="97">
        <f>SUMIFS('Assumption-Base'!$G$3:$G$32,'Assumption-Base'!$A$3:$A$32,$B302,'Assumption-Base'!$B$3:$B$32,$C302)</f>
        <v>0.4</v>
      </c>
      <c r="O302" s="19">
        <f t="shared" si="33"/>
        <v>52824.232098</v>
      </c>
      <c r="P302" s="99">
        <f t="shared" si="34"/>
        <v>44313.661371100003</v>
      </c>
    </row>
    <row r="303" spans="1:16" x14ac:dyDescent="0.35">
      <c r="A303" s="91" t="str">
        <f>LEFT('2025 actual v budget'!A303,4)&amp;"26"</f>
        <v>Nov-26</v>
      </c>
      <c r="B303" s="12" t="str">
        <f>'2025 actual v budget'!B303</f>
        <v>Brazil</v>
      </c>
      <c r="C303" s="12" t="str">
        <f>'2025 actual v budget'!C303</f>
        <v>Cross-border Payouts</v>
      </c>
      <c r="D303" s="14">
        <f>'2025 actual v budget'!D303</f>
        <v>19320462.440000001</v>
      </c>
      <c r="E303" s="92">
        <f>SUMIFS('Assumption-Base'!$C$3:$C$32,'Assumption-Base'!$A$3:$A$32,$B303,'Assumption-Base'!$B$3:$B$32,$C303)</f>
        <v>0.2</v>
      </c>
      <c r="F303" s="14">
        <f t="shared" si="28"/>
        <v>23184554.927999999</v>
      </c>
      <c r="G303" s="93">
        <f>SUMIFS('Assumption-Base'!$D$3:$D$32,'Assumption-Base'!$A$3:$A$32,$B303,'Assumption-Base'!$B$3:$B$32,$C303)</f>
        <v>7.4999999999999997E-3</v>
      </c>
      <c r="H303" s="94">
        <f t="shared" si="29"/>
        <v>173884.16196</v>
      </c>
      <c r="I303" s="92">
        <f>SUMIFS('Assumption-Base'!$E$3:$E$32,'Assumption-Base'!$A$3:$A$32,$B303,'Assumption-Base'!$B$3:$B$32,$C303)</f>
        <v>0.35</v>
      </c>
      <c r="J303" s="14">
        <f t="shared" si="30"/>
        <v>60859.456685999998</v>
      </c>
      <c r="K303" s="95">
        <f>SUMIFS('Assumption-Base'!$F$3:$F$32,'Assumption-Base'!$A$3:$A$32,$B303,'Assumption-Base'!$B$3:$B$32,$C303)</f>
        <v>6.9999999999999994E-5</v>
      </c>
      <c r="L303" s="14">
        <f t="shared" si="31"/>
        <v>1622.9188449599999</v>
      </c>
      <c r="M303" s="94">
        <f t="shared" si="32"/>
        <v>111401.78642904</v>
      </c>
      <c r="N303" s="92">
        <f>SUMIFS('Assumption-Base'!$G$3:$G$32,'Assumption-Base'!$A$3:$A$32,$B303,'Assumption-Base'!$B$3:$B$32,$C303)</f>
        <v>0.4</v>
      </c>
      <c r="O303" s="14">
        <f t="shared" si="33"/>
        <v>69553.664784000008</v>
      </c>
      <c r="P303" s="94">
        <f t="shared" si="34"/>
        <v>41848.121645039995</v>
      </c>
    </row>
    <row r="304" spans="1:16" x14ac:dyDescent="0.35">
      <c r="A304" s="91" t="str">
        <f>LEFT('2025 actual v budget'!A304,4)&amp;"26"</f>
        <v>Nov-26</v>
      </c>
      <c r="B304" s="12" t="str">
        <f>'2025 actual v budget'!B304</f>
        <v>Brazil</v>
      </c>
      <c r="C304" s="12" t="str">
        <f>'2025 actual v budget'!C304</f>
        <v>FX Conversion</v>
      </c>
      <c r="D304" s="14">
        <f>'2025 actual v budget'!D304</f>
        <v>29577049.48</v>
      </c>
      <c r="E304" s="92">
        <f>SUMIFS('Assumption-Base'!$C$3:$C$32,'Assumption-Base'!$A$3:$A$32,$B304,'Assumption-Base'!$B$3:$B$32,$C304)</f>
        <v>0.2</v>
      </c>
      <c r="F304" s="14">
        <f t="shared" si="28"/>
        <v>35492459.376000002</v>
      </c>
      <c r="G304" s="93">
        <f>SUMIFS('Assumption-Base'!$D$3:$D$32,'Assumption-Base'!$A$3:$A$32,$B304,'Assumption-Base'!$B$3:$B$32,$C304)</f>
        <v>1.0500000000000001E-2</v>
      </c>
      <c r="H304" s="94">
        <f t="shared" si="29"/>
        <v>372670.82344800007</v>
      </c>
      <c r="I304" s="92">
        <f>SUMIFS('Assumption-Base'!$E$3:$E$32,'Assumption-Base'!$A$3:$A$32,$B304,'Assumption-Base'!$B$3:$B$32,$C304)</f>
        <v>0.28000000000000003</v>
      </c>
      <c r="J304" s="14">
        <f t="shared" si="30"/>
        <v>104347.83056544003</v>
      </c>
      <c r="K304" s="95">
        <f>SUMIFS('Assumption-Base'!$F$3:$F$32,'Assumption-Base'!$A$3:$A$32,$B304,'Assumption-Base'!$B$3:$B$32,$C304)</f>
        <v>6.9999999999999994E-5</v>
      </c>
      <c r="L304" s="14">
        <f t="shared" si="31"/>
        <v>2484.4721563200001</v>
      </c>
      <c r="M304" s="94">
        <f t="shared" si="32"/>
        <v>265838.52072624001</v>
      </c>
      <c r="N304" s="92">
        <f>SUMIFS('Assumption-Base'!$G$3:$G$32,'Assumption-Base'!$A$3:$A$32,$B304,'Assumption-Base'!$B$3:$B$32,$C304)</f>
        <v>0.4</v>
      </c>
      <c r="O304" s="14">
        <f t="shared" si="33"/>
        <v>149068.32937920003</v>
      </c>
      <c r="P304" s="94">
        <f t="shared" si="34"/>
        <v>116770.19134703997</v>
      </c>
    </row>
    <row r="305" spans="1:16" x14ac:dyDescent="0.35">
      <c r="A305" s="91" t="str">
        <f>LEFT('2025 actual v budget'!A305,4)&amp;"26"</f>
        <v>Nov-26</v>
      </c>
      <c r="B305" s="12" t="str">
        <f>'2025 actual v budget'!B305</f>
        <v>Brazil</v>
      </c>
      <c r="C305" s="12" t="str">
        <f>'2025 actual v budget'!C305</f>
        <v>Stablecoin Settlement</v>
      </c>
      <c r="D305" s="14">
        <f>'2025 actual v budget'!D305</f>
        <v>46921613.289999999</v>
      </c>
      <c r="E305" s="92">
        <f>SUMIFS('Assumption-Base'!$C$3:$C$32,'Assumption-Base'!$A$3:$A$32,$B305,'Assumption-Base'!$B$3:$B$32,$C305)</f>
        <v>0.4</v>
      </c>
      <c r="F305" s="14">
        <f t="shared" si="28"/>
        <v>65690258.605999991</v>
      </c>
      <c r="G305" s="93">
        <f>SUMIFS('Assumption-Base'!$D$3:$D$32,'Assumption-Base'!$A$3:$A$32,$B305,'Assumption-Base'!$B$3:$B$32,$C305)</f>
        <v>6.4999999999999997E-3</v>
      </c>
      <c r="H305" s="94">
        <f t="shared" si="29"/>
        <v>426986.68093899993</v>
      </c>
      <c r="I305" s="92">
        <f>SUMIFS('Assumption-Base'!$E$3:$E$32,'Assumption-Base'!$A$3:$A$32,$B305,'Assumption-Base'!$B$3:$B$32,$C305)</f>
        <v>0.32</v>
      </c>
      <c r="J305" s="14">
        <f t="shared" si="30"/>
        <v>136635.73790047999</v>
      </c>
      <c r="K305" s="95">
        <f>SUMIFS('Assumption-Base'!$F$3:$F$32,'Assumption-Base'!$A$3:$A$32,$B305,'Assumption-Base'!$B$3:$B$32,$C305)</f>
        <v>6.9999999999999994E-5</v>
      </c>
      <c r="L305" s="14">
        <f t="shared" si="31"/>
        <v>4598.3181024199994</v>
      </c>
      <c r="M305" s="94">
        <f t="shared" si="32"/>
        <v>285752.62493609992</v>
      </c>
      <c r="N305" s="92">
        <f>SUMIFS('Assumption-Base'!$G$3:$G$32,'Assumption-Base'!$A$3:$A$32,$B305,'Assumption-Base'!$B$3:$B$32,$C305)</f>
        <v>0.4</v>
      </c>
      <c r="O305" s="14">
        <f t="shared" si="33"/>
        <v>170794.67237559997</v>
      </c>
      <c r="P305" s="94">
        <f t="shared" si="34"/>
        <v>114957.95256049995</v>
      </c>
    </row>
    <row r="306" spans="1:16" x14ac:dyDescent="0.35">
      <c r="A306" s="91" t="str">
        <f>LEFT('2025 actual v budget'!A306,4)&amp;"26"</f>
        <v>Nov-26</v>
      </c>
      <c r="B306" s="12" t="str">
        <f>'2025 actual v budget'!B306</f>
        <v>Brazil</v>
      </c>
      <c r="C306" s="12" t="str">
        <f>'2025 actual v budget'!C306</f>
        <v>Treasury Yield</v>
      </c>
      <c r="D306" s="14">
        <f>'2025 actual v budget'!D306</f>
        <v>12308888.470000001</v>
      </c>
      <c r="E306" s="92">
        <f>SUMIFS('Assumption-Base'!$C$3:$C$32,'Assumption-Base'!$A$3:$A$32,$B306,'Assumption-Base'!$B$3:$B$32,$C306)</f>
        <v>0.2</v>
      </c>
      <c r="F306" s="14">
        <f t="shared" si="28"/>
        <v>14770666.164000001</v>
      </c>
      <c r="G306" s="93">
        <f>SUMIFS('Assumption-Base'!$D$3:$D$32,'Assumption-Base'!$A$3:$A$32,$B306,'Assumption-Base'!$B$3:$B$32,$C306)</f>
        <v>3.0000000000000001E-3</v>
      </c>
      <c r="H306" s="94">
        <f t="shared" si="29"/>
        <v>44311.998492000006</v>
      </c>
      <c r="I306" s="92">
        <f>SUMIFS('Assumption-Base'!$E$3:$E$32,'Assumption-Base'!$A$3:$A$32,$B306,'Assumption-Base'!$B$3:$B$32,$C306)</f>
        <v>0.18</v>
      </c>
      <c r="J306" s="14">
        <f t="shared" si="30"/>
        <v>7976.159728560001</v>
      </c>
      <c r="K306" s="95">
        <f>SUMIFS('Assumption-Base'!$F$3:$F$32,'Assumption-Base'!$A$3:$A$32,$B306,'Assumption-Base'!$B$3:$B$32,$C306)</f>
        <v>6.9999999999999994E-5</v>
      </c>
      <c r="L306" s="14">
        <f t="shared" si="31"/>
        <v>1033.94663148</v>
      </c>
      <c r="M306" s="94">
        <f t="shared" si="32"/>
        <v>35301.892131960005</v>
      </c>
      <c r="N306" s="92">
        <f>SUMIFS('Assumption-Base'!$G$3:$G$32,'Assumption-Base'!$A$3:$A$32,$B306,'Assumption-Base'!$B$3:$B$32,$C306)</f>
        <v>0.4</v>
      </c>
      <c r="O306" s="14">
        <f t="shared" si="33"/>
        <v>17724.799396800005</v>
      </c>
      <c r="P306" s="94">
        <f t="shared" si="34"/>
        <v>17577.09273516</v>
      </c>
    </row>
    <row r="307" spans="1:16" x14ac:dyDescent="0.35">
      <c r="A307" s="91" t="str">
        <f>LEFT('2025 actual v budget'!A307,4)&amp;"26"</f>
        <v>Nov-26</v>
      </c>
      <c r="B307" s="12" t="str">
        <f>'2025 actual v budget'!B307</f>
        <v>Brazil</v>
      </c>
      <c r="C307" s="12" t="str">
        <f>'2025 actual v budget'!C307</f>
        <v>Virtual Accounts</v>
      </c>
      <c r="D307" s="14">
        <f>'2025 actual v budget'!D307</f>
        <v>19090682.280000001</v>
      </c>
      <c r="E307" s="92">
        <f>SUMIFS('Assumption-Base'!$C$3:$C$32,'Assumption-Base'!$A$3:$A$32,$B307,'Assumption-Base'!$B$3:$B$32,$C307)</f>
        <v>0.2</v>
      </c>
      <c r="F307" s="14">
        <f t="shared" si="28"/>
        <v>22908818.736000001</v>
      </c>
      <c r="G307" s="93">
        <f>SUMIFS('Assumption-Base'!$D$3:$D$32,'Assumption-Base'!$A$3:$A$32,$B307,'Assumption-Base'!$B$3:$B$32,$C307)</f>
        <v>4.4999999999999997E-3</v>
      </c>
      <c r="H307" s="94">
        <f t="shared" si="29"/>
        <v>103089.684312</v>
      </c>
      <c r="I307" s="92">
        <f>SUMIFS('Assumption-Base'!$E$3:$E$32,'Assumption-Base'!$A$3:$A$32,$B307,'Assumption-Base'!$B$3:$B$32,$C307)</f>
        <v>0.22</v>
      </c>
      <c r="J307" s="14">
        <f t="shared" si="30"/>
        <v>22679.73054864</v>
      </c>
      <c r="K307" s="95">
        <f>SUMIFS('Assumption-Base'!$F$3:$F$32,'Assumption-Base'!$A$3:$A$32,$B307,'Assumption-Base'!$B$3:$B$32,$C307)</f>
        <v>6.9999999999999994E-5</v>
      </c>
      <c r="L307" s="14">
        <f t="shared" si="31"/>
        <v>1603.6173115199999</v>
      </c>
      <c r="M307" s="94">
        <f t="shared" si="32"/>
        <v>78806.336451840005</v>
      </c>
      <c r="N307" s="92">
        <f>SUMIFS('Assumption-Base'!$G$3:$G$32,'Assumption-Base'!$A$3:$A$32,$B307,'Assumption-Base'!$B$3:$B$32,$C307)</f>
        <v>0.4</v>
      </c>
      <c r="O307" s="14">
        <f t="shared" si="33"/>
        <v>41235.873724800003</v>
      </c>
      <c r="P307" s="94">
        <f t="shared" si="34"/>
        <v>37570.462727040001</v>
      </c>
    </row>
    <row r="308" spans="1:16" x14ac:dyDescent="0.35">
      <c r="A308" s="91" t="str">
        <f>LEFT('2025 actual v budget'!A308,4)&amp;"26"</f>
        <v>Nov-26</v>
      </c>
      <c r="B308" s="12" t="str">
        <f>'2025 actual v budget'!B308</f>
        <v>Germany</v>
      </c>
      <c r="C308" s="12" t="str">
        <f>'2025 actual v budget'!C308</f>
        <v>Cross-border Payouts</v>
      </c>
      <c r="D308" s="14">
        <f>'2025 actual v budget'!D308</f>
        <v>8677006.0500000007</v>
      </c>
      <c r="E308" s="92">
        <f>SUMIFS('Assumption-Base'!$C$3:$C$32,'Assumption-Base'!$A$3:$A$32,$B308,'Assumption-Base'!$B$3:$B$32,$C308)</f>
        <v>0.06</v>
      </c>
      <c r="F308" s="14">
        <f t="shared" si="28"/>
        <v>9197626.4130000006</v>
      </c>
      <c r="G308" s="93">
        <f>SUMIFS('Assumption-Base'!$D$3:$D$32,'Assumption-Base'!$A$3:$A$32,$B308,'Assumption-Base'!$B$3:$B$32,$C308)</f>
        <v>7.4999999999999997E-3</v>
      </c>
      <c r="H308" s="94">
        <f t="shared" si="29"/>
        <v>68982.198097500004</v>
      </c>
      <c r="I308" s="92">
        <f>SUMIFS('Assumption-Base'!$E$3:$E$32,'Assumption-Base'!$A$3:$A$32,$B308,'Assumption-Base'!$B$3:$B$32,$C308)</f>
        <v>0.35</v>
      </c>
      <c r="J308" s="14">
        <f t="shared" si="30"/>
        <v>24143.769334125001</v>
      </c>
      <c r="K308" s="95">
        <f>SUMIFS('Assumption-Base'!$F$3:$F$32,'Assumption-Base'!$A$3:$A$32,$B308,'Assumption-Base'!$B$3:$B$32,$C308)</f>
        <v>1.4999999999999999E-4</v>
      </c>
      <c r="L308" s="14">
        <f t="shared" si="31"/>
        <v>1379.6439619499999</v>
      </c>
      <c r="M308" s="94">
        <f t="shared" si="32"/>
        <v>43458.784801425005</v>
      </c>
      <c r="N308" s="92">
        <f>SUMIFS('Assumption-Base'!$G$3:$G$32,'Assumption-Base'!$A$3:$A$32,$B308,'Assumption-Base'!$B$3:$B$32,$C308)</f>
        <v>0.4</v>
      </c>
      <c r="O308" s="14">
        <f t="shared" si="33"/>
        <v>27592.879239000002</v>
      </c>
      <c r="P308" s="94">
        <f t="shared" si="34"/>
        <v>15865.905562425003</v>
      </c>
    </row>
    <row r="309" spans="1:16" x14ac:dyDescent="0.35">
      <c r="A309" s="91" t="str">
        <f>LEFT('2025 actual v budget'!A309,4)&amp;"26"</f>
        <v>Nov-26</v>
      </c>
      <c r="B309" s="12" t="str">
        <f>'2025 actual v budget'!B309</f>
        <v>Germany</v>
      </c>
      <c r="C309" s="12" t="str">
        <f>'2025 actual v budget'!C309</f>
        <v>FX Conversion</v>
      </c>
      <c r="D309" s="14">
        <f>'2025 actual v budget'!D309</f>
        <v>13271351.279999999</v>
      </c>
      <c r="E309" s="92">
        <f>SUMIFS('Assumption-Base'!$C$3:$C$32,'Assumption-Base'!$A$3:$A$32,$B309,'Assumption-Base'!$B$3:$B$32,$C309)</f>
        <v>0.06</v>
      </c>
      <c r="F309" s="14">
        <f t="shared" si="28"/>
        <v>14067632.356799999</v>
      </c>
      <c r="G309" s="93">
        <f>SUMIFS('Assumption-Base'!$D$3:$D$32,'Assumption-Base'!$A$3:$A$32,$B309,'Assumption-Base'!$B$3:$B$32,$C309)</f>
        <v>1.0500000000000001E-2</v>
      </c>
      <c r="H309" s="94">
        <f t="shared" si="29"/>
        <v>147710.1397464</v>
      </c>
      <c r="I309" s="92">
        <f>SUMIFS('Assumption-Base'!$E$3:$E$32,'Assumption-Base'!$A$3:$A$32,$B309,'Assumption-Base'!$B$3:$B$32,$C309)</f>
        <v>0.28000000000000003</v>
      </c>
      <c r="J309" s="14">
        <f t="shared" si="30"/>
        <v>41358.839128992004</v>
      </c>
      <c r="K309" s="95">
        <f>SUMIFS('Assumption-Base'!$F$3:$F$32,'Assumption-Base'!$A$3:$A$32,$B309,'Assumption-Base'!$B$3:$B$32,$C309)</f>
        <v>1.4999999999999999E-4</v>
      </c>
      <c r="L309" s="14">
        <f t="shared" si="31"/>
        <v>2110.1448535199997</v>
      </c>
      <c r="M309" s="94">
        <f t="shared" si="32"/>
        <v>104241.155763888</v>
      </c>
      <c r="N309" s="92">
        <f>SUMIFS('Assumption-Base'!$G$3:$G$32,'Assumption-Base'!$A$3:$A$32,$B309,'Assumption-Base'!$B$3:$B$32,$C309)</f>
        <v>0.4</v>
      </c>
      <c r="O309" s="14">
        <f t="shared" si="33"/>
        <v>59084.055898560007</v>
      </c>
      <c r="P309" s="94">
        <f t="shared" si="34"/>
        <v>45157.099865327997</v>
      </c>
    </row>
    <row r="310" spans="1:16" x14ac:dyDescent="0.35">
      <c r="A310" s="91" t="str">
        <f>LEFT('2025 actual v budget'!A310,4)&amp;"26"</f>
        <v>Nov-26</v>
      </c>
      <c r="B310" s="12" t="str">
        <f>'2025 actual v budget'!B310</f>
        <v>Germany</v>
      </c>
      <c r="C310" s="12" t="str">
        <f>'2025 actual v budget'!C310</f>
        <v>Stablecoin Settlement</v>
      </c>
      <c r="D310" s="14">
        <f>'2025 actual v budget'!D310</f>
        <v>21072949.149999999</v>
      </c>
      <c r="E310" s="92">
        <f>SUMIFS('Assumption-Base'!$C$3:$C$32,'Assumption-Base'!$A$3:$A$32,$B310,'Assumption-Base'!$B$3:$B$32,$C310)</f>
        <v>0.12</v>
      </c>
      <c r="F310" s="14">
        <f t="shared" si="28"/>
        <v>23601703.048</v>
      </c>
      <c r="G310" s="93">
        <f>SUMIFS('Assumption-Base'!$D$3:$D$32,'Assumption-Base'!$A$3:$A$32,$B310,'Assumption-Base'!$B$3:$B$32,$C310)</f>
        <v>6.4999999999999997E-3</v>
      </c>
      <c r="H310" s="94">
        <f t="shared" si="29"/>
        <v>153411.069812</v>
      </c>
      <c r="I310" s="92">
        <f>SUMIFS('Assumption-Base'!$E$3:$E$32,'Assumption-Base'!$A$3:$A$32,$B310,'Assumption-Base'!$B$3:$B$32,$C310)</f>
        <v>0.32</v>
      </c>
      <c r="J310" s="14">
        <f t="shared" si="30"/>
        <v>49091.542339840002</v>
      </c>
      <c r="K310" s="95">
        <f>SUMIFS('Assumption-Base'!$F$3:$F$32,'Assumption-Base'!$A$3:$A$32,$B310,'Assumption-Base'!$B$3:$B$32,$C310)</f>
        <v>1.4999999999999999E-4</v>
      </c>
      <c r="L310" s="14">
        <f t="shared" si="31"/>
        <v>3540.2554571999999</v>
      </c>
      <c r="M310" s="94">
        <f t="shared" si="32"/>
        <v>100779.27201496001</v>
      </c>
      <c r="N310" s="92">
        <f>SUMIFS('Assumption-Base'!$G$3:$G$32,'Assumption-Base'!$A$3:$A$32,$B310,'Assumption-Base'!$B$3:$B$32,$C310)</f>
        <v>0.4</v>
      </c>
      <c r="O310" s="14">
        <f t="shared" si="33"/>
        <v>61364.427924800002</v>
      </c>
      <c r="P310" s="94">
        <f t="shared" si="34"/>
        <v>39414.844090160004</v>
      </c>
    </row>
    <row r="311" spans="1:16" x14ac:dyDescent="0.35">
      <c r="A311" s="91" t="str">
        <f>LEFT('2025 actual v budget'!A311,4)&amp;"26"</f>
        <v>Nov-26</v>
      </c>
      <c r="B311" s="12" t="str">
        <f>'2025 actual v budget'!B311</f>
        <v>Germany</v>
      </c>
      <c r="C311" s="12" t="str">
        <f>'2025 actual v budget'!C311</f>
        <v>Treasury Yield</v>
      </c>
      <c r="D311" s="14">
        <f>'2025 actual v budget'!D311</f>
        <v>5523052.0199999996</v>
      </c>
      <c r="E311" s="92">
        <f>SUMIFS('Assumption-Base'!$C$3:$C$32,'Assumption-Base'!$A$3:$A$32,$B311,'Assumption-Base'!$B$3:$B$32,$C311)</f>
        <v>0.06</v>
      </c>
      <c r="F311" s="14">
        <f t="shared" si="28"/>
        <v>5854435.1411999995</v>
      </c>
      <c r="G311" s="93">
        <f>SUMIFS('Assumption-Base'!$D$3:$D$32,'Assumption-Base'!$A$3:$A$32,$B311,'Assumption-Base'!$B$3:$B$32,$C311)</f>
        <v>3.0000000000000001E-3</v>
      </c>
      <c r="H311" s="94">
        <f t="shared" si="29"/>
        <v>17563.305423599999</v>
      </c>
      <c r="I311" s="92">
        <f>SUMIFS('Assumption-Base'!$E$3:$E$32,'Assumption-Base'!$A$3:$A$32,$B311,'Assumption-Base'!$B$3:$B$32,$C311)</f>
        <v>0.18</v>
      </c>
      <c r="J311" s="14">
        <f t="shared" si="30"/>
        <v>3161.3949762479997</v>
      </c>
      <c r="K311" s="95">
        <f>SUMIFS('Assumption-Base'!$F$3:$F$32,'Assumption-Base'!$A$3:$A$32,$B311,'Assumption-Base'!$B$3:$B$32,$C311)</f>
        <v>1.4999999999999999E-4</v>
      </c>
      <c r="L311" s="14">
        <f t="shared" si="31"/>
        <v>878.16527117999988</v>
      </c>
      <c r="M311" s="94">
        <f t="shared" si="32"/>
        <v>13523.745176171999</v>
      </c>
      <c r="N311" s="92">
        <f>SUMIFS('Assumption-Base'!$G$3:$G$32,'Assumption-Base'!$A$3:$A$32,$B311,'Assumption-Base'!$B$3:$B$32,$C311)</f>
        <v>0.4</v>
      </c>
      <c r="O311" s="14">
        <f t="shared" si="33"/>
        <v>7025.3221694399999</v>
      </c>
      <c r="P311" s="94">
        <f t="shared" si="34"/>
        <v>6498.4230067319986</v>
      </c>
    </row>
    <row r="312" spans="1:16" x14ac:dyDescent="0.35">
      <c r="A312" s="91" t="str">
        <f>LEFT('2025 actual v budget'!A312,4)&amp;"26"</f>
        <v>Nov-26</v>
      </c>
      <c r="B312" s="12" t="str">
        <f>'2025 actual v budget'!B312</f>
        <v>Germany</v>
      </c>
      <c r="C312" s="12" t="str">
        <f>'2025 actual v budget'!C312</f>
        <v>Virtual Accounts</v>
      </c>
      <c r="D312" s="14">
        <f>'2025 actual v budget'!D312</f>
        <v>8566072.5199999996</v>
      </c>
      <c r="E312" s="92">
        <f>SUMIFS('Assumption-Base'!$C$3:$C$32,'Assumption-Base'!$A$3:$A$32,$B312,'Assumption-Base'!$B$3:$B$32,$C312)</f>
        <v>0.06</v>
      </c>
      <c r="F312" s="14">
        <f t="shared" si="28"/>
        <v>9080036.8712000009</v>
      </c>
      <c r="G312" s="93">
        <f>SUMIFS('Assumption-Base'!$D$3:$D$32,'Assumption-Base'!$A$3:$A$32,$B312,'Assumption-Base'!$B$3:$B$32,$C312)</f>
        <v>4.4999999999999997E-3</v>
      </c>
      <c r="H312" s="94">
        <f t="shared" si="29"/>
        <v>40860.165920400003</v>
      </c>
      <c r="I312" s="92">
        <f>SUMIFS('Assumption-Base'!$E$3:$E$32,'Assumption-Base'!$A$3:$A$32,$B312,'Assumption-Base'!$B$3:$B$32,$C312)</f>
        <v>0.22</v>
      </c>
      <c r="J312" s="14">
        <f t="shared" si="30"/>
        <v>8989.236502488</v>
      </c>
      <c r="K312" s="95">
        <f>SUMIFS('Assumption-Base'!$F$3:$F$32,'Assumption-Base'!$A$3:$A$32,$B312,'Assumption-Base'!$B$3:$B$32,$C312)</f>
        <v>1.4999999999999999E-4</v>
      </c>
      <c r="L312" s="14">
        <f t="shared" si="31"/>
        <v>1362.00553068</v>
      </c>
      <c r="M312" s="94">
        <f t="shared" si="32"/>
        <v>30508.923887232006</v>
      </c>
      <c r="N312" s="92">
        <f>SUMIFS('Assumption-Base'!$G$3:$G$32,'Assumption-Base'!$A$3:$A$32,$B312,'Assumption-Base'!$B$3:$B$32,$C312)</f>
        <v>0.4</v>
      </c>
      <c r="O312" s="14">
        <f t="shared" si="33"/>
        <v>16344.066368160002</v>
      </c>
      <c r="P312" s="94">
        <f t="shared" si="34"/>
        <v>14164.857519072004</v>
      </c>
    </row>
    <row r="313" spans="1:16" x14ac:dyDescent="0.35">
      <c r="A313" s="91" t="str">
        <f>LEFT('2025 actual v budget'!A313,4)&amp;"26"</f>
        <v>Nov-26</v>
      </c>
      <c r="B313" s="12" t="str">
        <f>'2025 actual v budget'!B313</f>
        <v>India</v>
      </c>
      <c r="C313" s="12" t="str">
        <f>'2025 actual v budget'!C313</f>
        <v>Cross-border Payouts</v>
      </c>
      <c r="D313" s="14">
        <f>'2025 actual v budget'!D313</f>
        <v>13637053.859999999</v>
      </c>
      <c r="E313" s="92">
        <f>SUMIFS('Assumption-Base'!$C$3:$C$32,'Assumption-Base'!$A$3:$A$32,$B313,'Assumption-Base'!$B$3:$B$32,$C313)</f>
        <v>0.12</v>
      </c>
      <c r="F313" s="14">
        <f t="shared" si="28"/>
        <v>15273500.3232</v>
      </c>
      <c r="G313" s="93">
        <f>SUMIFS('Assumption-Base'!$D$3:$D$32,'Assumption-Base'!$A$3:$A$32,$B313,'Assumption-Base'!$B$3:$B$32,$C313)</f>
        <v>7.4999999999999997E-3</v>
      </c>
      <c r="H313" s="94">
        <f t="shared" si="29"/>
        <v>114551.25242400001</v>
      </c>
      <c r="I313" s="92">
        <f>SUMIFS('Assumption-Base'!$E$3:$E$32,'Assumption-Base'!$A$3:$A$32,$B313,'Assumption-Base'!$B$3:$B$32,$C313)</f>
        <v>0.35</v>
      </c>
      <c r="J313" s="14">
        <f t="shared" si="30"/>
        <v>40092.938348399999</v>
      </c>
      <c r="K313" s="95">
        <f>SUMIFS('Assumption-Base'!$F$3:$F$32,'Assumption-Base'!$A$3:$A$32,$B313,'Assumption-Base'!$B$3:$B$32,$C313)</f>
        <v>1.8000000000000001E-4</v>
      </c>
      <c r="L313" s="14">
        <f t="shared" si="31"/>
        <v>2749.2300581760001</v>
      </c>
      <c r="M313" s="94">
        <f t="shared" si="32"/>
        <v>71709.084017424</v>
      </c>
      <c r="N313" s="92">
        <f>SUMIFS('Assumption-Base'!$G$3:$G$32,'Assumption-Base'!$A$3:$A$32,$B313,'Assumption-Base'!$B$3:$B$32,$C313)</f>
        <v>0.4</v>
      </c>
      <c r="O313" s="14">
        <f t="shared" si="33"/>
        <v>45820.500969600005</v>
      </c>
      <c r="P313" s="94">
        <f t="shared" si="34"/>
        <v>25888.583047823995</v>
      </c>
    </row>
    <row r="314" spans="1:16" x14ac:dyDescent="0.35">
      <c r="A314" s="91" t="str">
        <f>LEFT('2025 actual v budget'!A314,4)&amp;"26"</f>
        <v>Nov-26</v>
      </c>
      <c r="B314" s="12" t="str">
        <f>'2025 actual v budget'!B314</f>
        <v>India</v>
      </c>
      <c r="C314" s="12" t="str">
        <f>'2025 actual v budget'!C314</f>
        <v>FX Conversion</v>
      </c>
      <c r="D314" s="14">
        <f>'2025 actual v budget'!D314</f>
        <v>20885671.640000001</v>
      </c>
      <c r="E314" s="92">
        <f>SUMIFS('Assumption-Base'!$C$3:$C$32,'Assumption-Base'!$A$3:$A$32,$B314,'Assumption-Base'!$B$3:$B$32,$C314)</f>
        <v>0.12</v>
      </c>
      <c r="F314" s="14">
        <f t="shared" si="28"/>
        <v>23391952.236800004</v>
      </c>
      <c r="G314" s="93">
        <f>SUMIFS('Assumption-Base'!$D$3:$D$32,'Assumption-Base'!$A$3:$A$32,$B314,'Assumption-Base'!$B$3:$B$32,$C314)</f>
        <v>1.0500000000000001E-2</v>
      </c>
      <c r="H314" s="94">
        <f t="shared" si="29"/>
        <v>245615.49848640006</v>
      </c>
      <c r="I314" s="92">
        <f>SUMIFS('Assumption-Base'!$E$3:$E$32,'Assumption-Base'!$A$3:$A$32,$B314,'Assumption-Base'!$B$3:$B$32,$C314)</f>
        <v>0.28000000000000003</v>
      </c>
      <c r="J314" s="14">
        <f t="shared" si="30"/>
        <v>68772.339576192026</v>
      </c>
      <c r="K314" s="95">
        <f>SUMIFS('Assumption-Base'!$F$3:$F$32,'Assumption-Base'!$A$3:$A$32,$B314,'Assumption-Base'!$B$3:$B$32,$C314)</f>
        <v>1.8000000000000001E-4</v>
      </c>
      <c r="L314" s="14">
        <f t="shared" si="31"/>
        <v>4210.5514026240007</v>
      </c>
      <c r="M314" s="94">
        <f t="shared" si="32"/>
        <v>172632.60750758403</v>
      </c>
      <c r="N314" s="92">
        <f>SUMIFS('Assumption-Base'!$G$3:$G$32,'Assumption-Base'!$A$3:$A$32,$B314,'Assumption-Base'!$B$3:$B$32,$C314)</f>
        <v>0.4</v>
      </c>
      <c r="O314" s="14">
        <f t="shared" si="33"/>
        <v>98246.199394560026</v>
      </c>
      <c r="P314" s="94">
        <f t="shared" si="34"/>
        <v>74386.408113024008</v>
      </c>
    </row>
    <row r="315" spans="1:16" x14ac:dyDescent="0.35">
      <c r="A315" s="91" t="str">
        <f>LEFT('2025 actual v budget'!A315,4)&amp;"26"</f>
        <v>Nov-26</v>
      </c>
      <c r="B315" s="12" t="str">
        <f>'2025 actual v budget'!B315</f>
        <v>India</v>
      </c>
      <c r="C315" s="12" t="str">
        <f>'2025 actual v budget'!C315</f>
        <v>Stablecoin Settlement</v>
      </c>
      <c r="D315" s="14">
        <f>'2025 actual v budget'!D315</f>
        <v>33118905.379999999</v>
      </c>
      <c r="E315" s="92">
        <f>SUMIFS('Assumption-Base'!$C$3:$C$32,'Assumption-Base'!$A$3:$A$32,$B315,'Assumption-Base'!$B$3:$B$32,$C315)</f>
        <v>0.24</v>
      </c>
      <c r="F315" s="14">
        <f t="shared" si="28"/>
        <v>41067442.6712</v>
      </c>
      <c r="G315" s="93">
        <f>SUMIFS('Assumption-Base'!$D$3:$D$32,'Assumption-Base'!$A$3:$A$32,$B315,'Assumption-Base'!$B$3:$B$32,$C315)</f>
        <v>6.4999999999999997E-3</v>
      </c>
      <c r="H315" s="94">
        <f t="shared" si="29"/>
        <v>266938.37736280001</v>
      </c>
      <c r="I315" s="92">
        <f>SUMIFS('Assumption-Base'!$E$3:$E$32,'Assumption-Base'!$A$3:$A$32,$B315,'Assumption-Base'!$B$3:$B$32,$C315)</f>
        <v>0.32</v>
      </c>
      <c r="J315" s="14">
        <f t="shared" si="30"/>
        <v>85420.280756096006</v>
      </c>
      <c r="K315" s="95">
        <f>SUMIFS('Assumption-Base'!$F$3:$F$32,'Assumption-Base'!$A$3:$A$32,$B315,'Assumption-Base'!$B$3:$B$32,$C315)</f>
        <v>1.8000000000000001E-4</v>
      </c>
      <c r="L315" s="14">
        <f t="shared" si="31"/>
        <v>7392.1396808160007</v>
      </c>
      <c r="M315" s="94">
        <f t="shared" si="32"/>
        <v>174125.95692588799</v>
      </c>
      <c r="N315" s="92">
        <f>SUMIFS('Assumption-Base'!$G$3:$G$32,'Assumption-Base'!$A$3:$A$32,$B315,'Assumption-Base'!$B$3:$B$32,$C315)</f>
        <v>0.4</v>
      </c>
      <c r="O315" s="14">
        <f t="shared" si="33"/>
        <v>106775.35094512001</v>
      </c>
      <c r="P315" s="94">
        <f t="shared" si="34"/>
        <v>67350.605980767985</v>
      </c>
    </row>
    <row r="316" spans="1:16" x14ac:dyDescent="0.35">
      <c r="A316" s="91" t="str">
        <f>LEFT('2025 actual v budget'!A316,4)&amp;"26"</f>
        <v>Nov-26</v>
      </c>
      <c r="B316" s="12" t="str">
        <f>'2025 actual v budget'!B316</f>
        <v>India</v>
      </c>
      <c r="C316" s="12" t="str">
        <f>'2025 actual v budget'!C316</f>
        <v>Treasury Yield</v>
      </c>
      <c r="D316" s="14">
        <f>'2025 actual v budget'!D316</f>
        <v>8691854.2300000004</v>
      </c>
      <c r="E316" s="92">
        <f>SUMIFS('Assumption-Base'!$C$3:$C$32,'Assumption-Base'!$A$3:$A$32,$B316,'Assumption-Base'!$B$3:$B$32,$C316)</f>
        <v>0.12</v>
      </c>
      <c r="F316" s="14">
        <f t="shared" si="28"/>
        <v>9734876.7376000006</v>
      </c>
      <c r="G316" s="93">
        <f>SUMIFS('Assumption-Base'!$D$3:$D$32,'Assumption-Base'!$A$3:$A$32,$B316,'Assumption-Base'!$B$3:$B$32,$C316)</f>
        <v>3.0000000000000001E-3</v>
      </c>
      <c r="H316" s="94">
        <f t="shared" si="29"/>
        <v>29204.630212800002</v>
      </c>
      <c r="I316" s="92">
        <f>SUMIFS('Assumption-Base'!$E$3:$E$32,'Assumption-Base'!$A$3:$A$32,$B316,'Assumption-Base'!$B$3:$B$32,$C316)</f>
        <v>0.18</v>
      </c>
      <c r="J316" s="14">
        <f t="shared" si="30"/>
        <v>5256.8334383040001</v>
      </c>
      <c r="K316" s="95">
        <f>SUMIFS('Assumption-Base'!$F$3:$F$32,'Assumption-Base'!$A$3:$A$32,$B316,'Assumption-Base'!$B$3:$B$32,$C316)</f>
        <v>1.8000000000000001E-4</v>
      </c>
      <c r="L316" s="14">
        <f t="shared" si="31"/>
        <v>1752.2778127680001</v>
      </c>
      <c r="M316" s="94">
        <f t="shared" si="32"/>
        <v>22195.518961728005</v>
      </c>
      <c r="N316" s="92">
        <f>SUMIFS('Assumption-Base'!$G$3:$G$32,'Assumption-Base'!$A$3:$A$32,$B316,'Assumption-Base'!$B$3:$B$32,$C316)</f>
        <v>0.4</v>
      </c>
      <c r="O316" s="14">
        <f t="shared" si="33"/>
        <v>11681.852085120001</v>
      </c>
      <c r="P316" s="94">
        <f t="shared" si="34"/>
        <v>10513.666876608004</v>
      </c>
    </row>
    <row r="317" spans="1:16" x14ac:dyDescent="0.35">
      <c r="A317" s="91" t="str">
        <f>LEFT('2025 actual v budget'!A317,4)&amp;"26"</f>
        <v>Nov-26</v>
      </c>
      <c r="B317" s="12" t="str">
        <f>'2025 actual v budget'!B317</f>
        <v>India</v>
      </c>
      <c r="C317" s="12" t="str">
        <f>'2025 actual v budget'!C317</f>
        <v>Virtual Accounts</v>
      </c>
      <c r="D317" s="14">
        <f>'2025 actual v budget'!D317</f>
        <v>13480780.83</v>
      </c>
      <c r="E317" s="92">
        <f>SUMIFS('Assumption-Base'!$C$3:$C$32,'Assumption-Base'!$A$3:$A$32,$B317,'Assumption-Base'!$B$3:$B$32,$C317)</f>
        <v>0.12</v>
      </c>
      <c r="F317" s="14">
        <f t="shared" si="28"/>
        <v>15098474.529600002</v>
      </c>
      <c r="G317" s="93">
        <f>SUMIFS('Assumption-Base'!$D$3:$D$32,'Assumption-Base'!$A$3:$A$32,$B317,'Assumption-Base'!$B$3:$B$32,$C317)</f>
        <v>4.4999999999999997E-3</v>
      </c>
      <c r="H317" s="94">
        <f t="shared" si="29"/>
        <v>67943.135383200002</v>
      </c>
      <c r="I317" s="92">
        <f>SUMIFS('Assumption-Base'!$E$3:$E$32,'Assumption-Base'!$A$3:$A$32,$B317,'Assumption-Base'!$B$3:$B$32,$C317)</f>
        <v>0.22</v>
      </c>
      <c r="J317" s="14">
        <f t="shared" si="30"/>
        <v>14947.489784304</v>
      </c>
      <c r="K317" s="95">
        <f>SUMIFS('Assumption-Base'!$F$3:$F$32,'Assumption-Base'!$A$3:$A$32,$B317,'Assumption-Base'!$B$3:$B$32,$C317)</f>
        <v>1.8000000000000001E-4</v>
      </c>
      <c r="L317" s="14">
        <f t="shared" si="31"/>
        <v>2717.7254153280005</v>
      </c>
      <c r="M317" s="94">
        <f t="shared" si="32"/>
        <v>50277.920183568</v>
      </c>
      <c r="N317" s="92">
        <f>SUMIFS('Assumption-Base'!$G$3:$G$32,'Assumption-Base'!$A$3:$A$32,$B317,'Assumption-Base'!$B$3:$B$32,$C317)</f>
        <v>0.4</v>
      </c>
      <c r="O317" s="14">
        <f t="shared" si="33"/>
        <v>27177.254153280002</v>
      </c>
      <c r="P317" s="94">
        <f t="shared" si="34"/>
        <v>23100.666030287997</v>
      </c>
    </row>
    <row r="318" spans="1:16" x14ac:dyDescent="0.35">
      <c r="A318" s="91" t="str">
        <f>LEFT('2025 actual v budget'!A318,4)&amp;"26"</f>
        <v>Nov-26</v>
      </c>
      <c r="B318" s="12" t="str">
        <f>'2025 actual v budget'!B318</f>
        <v>Mexico</v>
      </c>
      <c r="C318" s="12" t="str">
        <f>'2025 actual v budget'!C318</f>
        <v>Cross-border Payouts</v>
      </c>
      <c r="D318" s="14">
        <f>'2025 actual v budget'!D318</f>
        <v>15908303.42</v>
      </c>
      <c r="E318" s="92">
        <f>SUMIFS('Assumption-Base'!$C$3:$C$32,'Assumption-Base'!$A$3:$A$32,$B318,'Assumption-Base'!$B$3:$B$32,$C318)</f>
        <v>0.15</v>
      </c>
      <c r="F318" s="14">
        <f t="shared" si="28"/>
        <v>18294548.932999998</v>
      </c>
      <c r="G318" s="93">
        <f>SUMIFS('Assumption-Base'!$D$3:$D$32,'Assumption-Base'!$A$3:$A$32,$B318,'Assumption-Base'!$B$3:$B$32,$C318)</f>
        <v>7.4999999999999997E-3</v>
      </c>
      <c r="H318" s="94">
        <f t="shared" si="29"/>
        <v>137209.11699749998</v>
      </c>
      <c r="I318" s="92">
        <f>SUMIFS('Assumption-Base'!$E$3:$E$32,'Assumption-Base'!$A$3:$A$32,$B318,'Assumption-Base'!$B$3:$B$32,$C318)</f>
        <v>0.35</v>
      </c>
      <c r="J318" s="14">
        <f t="shared" si="30"/>
        <v>48023.19094912499</v>
      </c>
      <c r="K318" s="95">
        <f>SUMIFS('Assumption-Base'!$F$3:$F$32,'Assumption-Base'!$A$3:$A$32,$B318,'Assumption-Base'!$B$3:$B$32,$C318)</f>
        <v>8.0000000000000007E-5</v>
      </c>
      <c r="L318" s="14">
        <f t="shared" si="31"/>
        <v>1463.5639146399999</v>
      </c>
      <c r="M318" s="94">
        <f t="shared" si="32"/>
        <v>87722.36213373499</v>
      </c>
      <c r="N318" s="92">
        <f>SUMIFS('Assumption-Base'!$G$3:$G$32,'Assumption-Base'!$A$3:$A$32,$B318,'Assumption-Base'!$B$3:$B$32,$C318)</f>
        <v>0.4</v>
      </c>
      <c r="O318" s="14">
        <f t="shared" si="33"/>
        <v>54883.646798999995</v>
      </c>
      <c r="P318" s="94">
        <f t="shared" si="34"/>
        <v>32838.715334734996</v>
      </c>
    </row>
    <row r="319" spans="1:16" x14ac:dyDescent="0.35">
      <c r="A319" s="91" t="str">
        <f>LEFT('2025 actual v budget'!A319,4)&amp;"26"</f>
        <v>Nov-26</v>
      </c>
      <c r="B319" s="12" t="str">
        <f>'2025 actual v budget'!B319</f>
        <v>Mexico</v>
      </c>
      <c r="C319" s="12" t="str">
        <f>'2025 actual v budget'!C319</f>
        <v>FX Conversion</v>
      </c>
      <c r="D319" s="14">
        <f>'2025 actual v budget'!D319</f>
        <v>24358857.93</v>
      </c>
      <c r="E319" s="92">
        <f>SUMIFS('Assumption-Base'!$C$3:$C$32,'Assumption-Base'!$A$3:$A$32,$B319,'Assumption-Base'!$B$3:$B$32,$C319)</f>
        <v>0.15</v>
      </c>
      <c r="F319" s="14">
        <f t="shared" si="28"/>
        <v>28012686.619499996</v>
      </c>
      <c r="G319" s="93">
        <f>SUMIFS('Assumption-Base'!$D$3:$D$32,'Assumption-Base'!$A$3:$A$32,$B319,'Assumption-Base'!$B$3:$B$32,$C319)</f>
        <v>1.0500000000000001E-2</v>
      </c>
      <c r="H319" s="94">
        <f t="shared" si="29"/>
        <v>294133.20950474998</v>
      </c>
      <c r="I319" s="92">
        <f>SUMIFS('Assumption-Base'!$E$3:$E$32,'Assumption-Base'!$A$3:$A$32,$B319,'Assumption-Base'!$B$3:$B$32,$C319)</f>
        <v>0.28000000000000003</v>
      </c>
      <c r="J319" s="14">
        <f t="shared" si="30"/>
        <v>82357.298661330002</v>
      </c>
      <c r="K319" s="95">
        <f>SUMIFS('Assumption-Base'!$F$3:$F$32,'Assumption-Base'!$A$3:$A$32,$B319,'Assumption-Base'!$B$3:$B$32,$C319)</f>
        <v>8.0000000000000007E-5</v>
      </c>
      <c r="L319" s="14">
        <f t="shared" si="31"/>
        <v>2241.0149295599999</v>
      </c>
      <c r="M319" s="94">
        <f t="shared" si="32"/>
        <v>209534.89591385995</v>
      </c>
      <c r="N319" s="92">
        <f>SUMIFS('Assumption-Base'!$G$3:$G$32,'Assumption-Base'!$A$3:$A$32,$B319,'Assumption-Base'!$B$3:$B$32,$C319)</f>
        <v>0.4</v>
      </c>
      <c r="O319" s="14">
        <f t="shared" si="33"/>
        <v>117653.28380189999</v>
      </c>
      <c r="P319" s="94">
        <f t="shared" si="34"/>
        <v>91881.612111959956</v>
      </c>
    </row>
    <row r="320" spans="1:16" x14ac:dyDescent="0.35">
      <c r="A320" s="91" t="str">
        <f>LEFT('2025 actual v budget'!A320,4)&amp;"26"</f>
        <v>Nov-26</v>
      </c>
      <c r="B320" s="12" t="str">
        <f>'2025 actual v budget'!B320</f>
        <v>Mexico</v>
      </c>
      <c r="C320" s="12" t="str">
        <f>'2025 actual v budget'!C320</f>
        <v>Stablecoin Settlement</v>
      </c>
      <c r="D320" s="14">
        <f>'2025 actual v budget'!D320</f>
        <v>38634854.810000002</v>
      </c>
      <c r="E320" s="92">
        <f>SUMIFS('Assumption-Base'!$C$3:$C$32,'Assumption-Base'!$A$3:$A$32,$B320,'Assumption-Base'!$B$3:$B$32,$C320)</f>
        <v>0.3</v>
      </c>
      <c r="F320" s="14">
        <f t="shared" si="28"/>
        <v>50225311.253000006</v>
      </c>
      <c r="G320" s="93">
        <f>SUMIFS('Assumption-Base'!$D$3:$D$32,'Assumption-Base'!$A$3:$A$32,$B320,'Assumption-Base'!$B$3:$B$32,$C320)</f>
        <v>6.4999999999999997E-3</v>
      </c>
      <c r="H320" s="94">
        <f t="shared" si="29"/>
        <v>326464.52314450004</v>
      </c>
      <c r="I320" s="92">
        <f>SUMIFS('Assumption-Base'!$E$3:$E$32,'Assumption-Base'!$A$3:$A$32,$B320,'Assumption-Base'!$B$3:$B$32,$C320)</f>
        <v>0.32</v>
      </c>
      <c r="J320" s="14">
        <f t="shared" si="30"/>
        <v>104468.64740624001</v>
      </c>
      <c r="K320" s="95">
        <f>SUMIFS('Assumption-Base'!$F$3:$F$32,'Assumption-Base'!$A$3:$A$32,$B320,'Assumption-Base'!$B$3:$B$32,$C320)</f>
        <v>8.0000000000000007E-5</v>
      </c>
      <c r="L320" s="14">
        <f t="shared" si="31"/>
        <v>4018.024900240001</v>
      </c>
      <c r="M320" s="94">
        <f t="shared" si="32"/>
        <v>217977.85083802004</v>
      </c>
      <c r="N320" s="92">
        <f>SUMIFS('Assumption-Base'!$G$3:$G$32,'Assumption-Base'!$A$3:$A$32,$B320,'Assumption-Base'!$B$3:$B$32,$C320)</f>
        <v>0.4</v>
      </c>
      <c r="O320" s="14">
        <f t="shared" si="33"/>
        <v>130585.80925780002</v>
      </c>
      <c r="P320" s="94">
        <f t="shared" si="34"/>
        <v>87392.041580220015</v>
      </c>
    </row>
    <row r="321" spans="1:16" x14ac:dyDescent="0.35">
      <c r="A321" s="91" t="str">
        <f>LEFT('2025 actual v budget'!A321,4)&amp;"26"</f>
        <v>Nov-26</v>
      </c>
      <c r="B321" s="12" t="str">
        <f>'2025 actual v budget'!B321</f>
        <v>Mexico</v>
      </c>
      <c r="C321" s="12" t="str">
        <f>'2025 actual v budget'!C321</f>
        <v>Treasury Yield</v>
      </c>
      <c r="D321" s="14">
        <f>'2025 actual v budget'!D321</f>
        <v>10137267.6</v>
      </c>
      <c r="E321" s="92">
        <f>SUMIFS('Assumption-Base'!$C$3:$C$32,'Assumption-Base'!$A$3:$A$32,$B321,'Assumption-Base'!$B$3:$B$32,$C321)</f>
        <v>0.15</v>
      </c>
      <c r="F321" s="14">
        <f t="shared" si="28"/>
        <v>11657857.739999998</v>
      </c>
      <c r="G321" s="93">
        <f>SUMIFS('Assumption-Base'!$D$3:$D$32,'Assumption-Base'!$A$3:$A$32,$B321,'Assumption-Base'!$B$3:$B$32,$C321)</f>
        <v>3.0000000000000001E-3</v>
      </c>
      <c r="H321" s="94">
        <f t="shared" si="29"/>
        <v>34973.573219999998</v>
      </c>
      <c r="I321" s="92">
        <f>SUMIFS('Assumption-Base'!$E$3:$E$32,'Assumption-Base'!$A$3:$A$32,$B321,'Assumption-Base'!$B$3:$B$32,$C321)</f>
        <v>0.18</v>
      </c>
      <c r="J321" s="14">
        <f t="shared" si="30"/>
        <v>6295.2431795999992</v>
      </c>
      <c r="K321" s="95">
        <f>SUMIFS('Assumption-Base'!$F$3:$F$32,'Assumption-Base'!$A$3:$A$32,$B321,'Assumption-Base'!$B$3:$B$32,$C321)</f>
        <v>8.0000000000000007E-5</v>
      </c>
      <c r="L321" s="14">
        <f t="shared" si="31"/>
        <v>932.62861919999989</v>
      </c>
      <c r="M321" s="94">
        <f t="shared" si="32"/>
        <v>27745.701421199999</v>
      </c>
      <c r="N321" s="92">
        <f>SUMIFS('Assumption-Base'!$G$3:$G$32,'Assumption-Base'!$A$3:$A$32,$B321,'Assumption-Base'!$B$3:$B$32,$C321)</f>
        <v>0.4</v>
      </c>
      <c r="O321" s="14">
        <f t="shared" si="33"/>
        <v>13989.429287999999</v>
      </c>
      <c r="P321" s="94">
        <f t="shared" si="34"/>
        <v>13756.2721332</v>
      </c>
    </row>
    <row r="322" spans="1:16" x14ac:dyDescent="0.35">
      <c r="A322" s="91" t="str">
        <f>LEFT('2025 actual v budget'!A322,4)&amp;"26"</f>
        <v>Nov-26</v>
      </c>
      <c r="B322" s="12" t="str">
        <f>'2025 actual v budget'!B322</f>
        <v>Mexico</v>
      </c>
      <c r="C322" s="12" t="str">
        <f>'2025 actual v budget'!C322</f>
        <v>Virtual Accounts</v>
      </c>
      <c r="D322" s="14">
        <f>'2025 actual v budget'!D322</f>
        <v>15722569.550000001</v>
      </c>
      <c r="E322" s="92">
        <f>SUMIFS('Assumption-Base'!$C$3:$C$32,'Assumption-Base'!$A$3:$A$32,$B322,'Assumption-Base'!$B$3:$B$32,$C322)</f>
        <v>0.15</v>
      </c>
      <c r="F322" s="14">
        <f t="shared" si="28"/>
        <v>18080954.982499998</v>
      </c>
      <c r="G322" s="93">
        <f>SUMIFS('Assumption-Base'!$D$3:$D$32,'Assumption-Base'!$A$3:$A$32,$B322,'Assumption-Base'!$B$3:$B$32,$C322)</f>
        <v>4.4999999999999997E-3</v>
      </c>
      <c r="H322" s="94">
        <f t="shared" si="29"/>
        <v>81364.297421249983</v>
      </c>
      <c r="I322" s="92">
        <f>SUMIFS('Assumption-Base'!$E$3:$E$32,'Assumption-Base'!$A$3:$A$32,$B322,'Assumption-Base'!$B$3:$B$32,$C322)</f>
        <v>0.22</v>
      </c>
      <c r="J322" s="14">
        <f t="shared" si="30"/>
        <v>17900.145432674995</v>
      </c>
      <c r="K322" s="95">
        <f>SUMIFS('Assumption-Base'!$F$3:$F$32,'Assumption-Base'!$A$3:$A$32,$B322,'Assumption-Base'!$B$3:$B$32,$C322)</f>
        <v>8.0000000000000007E-5</v>
      </c>
      <c r="L322" s="14">
        <f t="shared" si="31"/>
        <v>1446.4763986</v>
      </c>
      <c r="M322" s="94">
        <f t="shared" si="32"/>
        <v>62017.675589974984</v>
      </c>
      <c r="N322" s="92">
        <f>SUMIFS('Assumption-Base'!$G$3:$G$32,'Assumption-Base'!$A$3:$A$32,$B322,'Assumption-Base'!$B$3:$B$32,$C322)</f>
        <v>0.4</v>
      </c>
      <c r="O322" s="14">
        <f t="shared" si="33"/>
        <v>32545.718968499994</v>
      </c>
      <c r="P322" s="94">
        <f t="shared" si="34"/>
        <v>29471.95662147499</v>
      </c>
    </row>
    <row r="323" spans="1:16" x14ac:dyDescent="0.35">
      <c r="A323" s="91" t="str">
        <f>LEFT('2025 actual v budget'!A323,4)&amp;"26"</f>
        <v>Nov-26</v>
      </c>
      <c r="B323" s="12" t="str">
        <f>'2025 actual v budget'!B323</f>
        <v>Singapore</v>
      </c>
      <c r="C323" s="12" t="str">
        <f>'2025 actual v budget'!C323</f>
        <v>Cross-border Payouts</v>
      </c>
      <c r="D323" s="14">
        <f>'2025 actual v budget'!D323</f>
        <v>12055611.189999999</v>
      </c>
      <c r="E323" s="92">
        <f>SUMIFS('Assumption-Base'!$C$3:$C$32,'Assumption-Base'!$A$3:$A$32,$B323,'Assumption-Base'!$B$3:$B$32,$C323)</f>
        <v>0.05</v>
      </c>
      <c r="F323" s="14">
        <f t="shared" ref="F323:F386" si="35">D323*(1+E323)</f>
        <v>12658391.749500001</v>
      </c>
      <c r="G323" s="93">
        <f>SUMIFS('Assumption-Base'!$D$3:$D$32,'Assumption-Base'!$A$3:$A$32,$B323,'Assumption-Base'!$B$3:$B$32,$C323)</f>
        <v>7.4999999999999997E-3</v>
      </c>
      <c r="H323" s="94">
        <f t="shared" ref="H323:H386" si="36">F323*G323</f>
        <v>94937.938121250001</v>
      </c>
      <c r="I323" s="92">
        <f>SUMIFS('Assumption-Base'!$E$3:$E$32,'Assumption-Base'!$A$3:$A$32,$B323,'Assumption-Base'!$B$3:$B$32,$C323)</f>
        <v>0.35</v>
      </c>
      <c r="J323" s="14">
        <f t="shared" ref="J323:J386" si="37">H323*I323</f>
        <v>33228.278342437501</v>
      </c>
      <c r="K323" s="95">
        <f>SUMIFS('Assumption-Base'!$F$3:$F$32,'Assumption-Base'!$A$3:$A$32,$B323,'Assumption-Base'!$B$3:$B$32,$C323)</f>
        <v>9.0000000000000006E-5</v>
      </c>
      <c r="L323" s="14">
        <f t="shared" ref="L323:L386" si="38">F323*K323</f>
        <v>1139.2552574550002</v>
      </c>
      <c r="M323" s="94">
        <f t="shared" ref="M323:M386" si="39">H323-J323-L323</f>
        <v>60570.404521357501</v>
      </c>
      <c r="N323" s="92">
        <f>SUMIFS('Assumption-Base'!$G$3:$G$32,'Assumption-Base'!$A$3:$A$32,$B323,'Assumption-Base'!$B$3:$B$32,$C323)</f>
        <v>0.4</v>
      </c>
      <c r="O323" s="14">
        <f t="shared" ref="O323:O386" si="40">H323*N323</f>
        <v>37975.175248500003</v>
      </c>
      <c r="P323" s="94">
        <f t="shared" ref="P323:P386" si="41">M323-O323</f>
        <v>22595.229272857498</v>
      </c>
    </row>
    <row r="324" spans="1:16" x14ac:dyDescent="0.35">
      <c r="A324" s="91" t="str">
        <f>LEFT('2025 actual v budget'!A324,4)&amp;"26"</f>
        <v>Nov-26</v>
      </c>
      <c r="B324" s="12" t="str">
        <f>'2025 actual v budget'!B324</f>
        <v>Singapore</v>
      </c>
      <c r="C324" s="12" t="str">
        <f>'2025 actual v budget'!C324</f>
        <v>FX Conversion</v>
      </c>
      <c r="D324" s="14">
        <f>'2025 actual v budget'!D324</f>
        <v>18447281.850000001</v>
      </c>
      <c r="E324" s="92">
        <f>SUMIFS('Assumption-Base'!$C$3:$C$32,'Assumption-Base'!$A$3:$A$32,$B324,'Assumption-Base'!$B$3:$B$32,$C324)</f>
        <v>0.05</v>
      </c>
      <c r="F324" s="14">
        <f t="shared" si="35"/>
        <v>19369645.942500003</v>
      </c>
      <c r="G324" s="93">
        <f>SUMIFS('Assumption-Base'!$D$3:$D$32,'Assumption-Base'!$A$3:$A$32,$B324,'Assumption-Base'!$B$3:$B$32,$C324)</f>
        <v>1.0500000000000001E-2</v>
      </c>
      <c r="H324" s="94">
        <f t="shared" si="36"/>
        <v>203381.28239625006</v>
      </c>
      <c r="I324" s="92">
        <f>SUMIFS('Assumption-Base'!$E$3:$E$32,'Assumption-Base'!$A$3:$A$32,$B324,'Assumption-Base'!$B$3:$B$32,$C324)</f>
        <v>0.28000000000000003</v>
      </c>
      <c r="J324" s="14">
        <f t="shared" si="37"/>
        <v>56946.759070950022</v>
      </c>
      <c r="K324" s="95">
        <f>SUMIFS('Assumption-Base'!$F$3:$F$32,'Assumption-Base'!$A$3:$A$32,$B324,'Assumption-Base'!$B$3:$B$32,$C324)</f>
        <v>9.0000000000000006E-5</v>
      </c>
      <c r="L324" s="14">
        <f t="shared" si="38"/>
        <v>1743.2681348250003</v>
      </c>
      <c r="M324" s="94">
        <f t="shared" si="39"/>
        <v>144691.25519047503</v>
      </c>
      <c r="N324" s="92">
        <f>SUMIFS('Assumption-Base'!$G$3:$G$32,'Assumption-Base'!$A$3:$A$32,$B324,'Assumption-Base'!$B$3:$B$32,$C324)</f>
        <v>0.4</v>
      </c>
      <c r="O324" s="14">
        <f t="shared" si="40"/>
        <v>81352.512958500025</v>
      </c>
      <c r="P324" s="94">
        <f t="shared" si="41"/>
        <v>63338.742231975004</v>
      </c>
    </row>
    <row r="325" spans="1:16" x14ac:dyDescent="0.35">
      <c r="A325" s="91" t="str">
        <f>LEFT('2025 actual v budget'!A325,4)&amp;"26"</f>
        <v>Nov-26</v>
      </c>
      <c r="B325" s="12" t="str">
        <f>'2025 actual v budget'!B325</f>
        <v>Singapore</v>
      </c>
      <c r="C325" s="12" t="str">
        <f>'2025 actual v budget'!C325</f>
        <v>Stablecoin Settlement</v>
      </c>
      <c r="D325" s="14">
        <f>'2025 actual v budget'!D325</f>
        <v>29278218.789999999</v>
      </c>
      <c r="E325" s="92">
        <f>SUMIFS('Assumption-Base'!$C$3:$C$32,'Assumption-Base'!$A$3:$A$32,$B325,'Assumption-Base'!$B$3:$B$32,$C325)</f>
        <v>0.1</v>
      </c>
      <c r="F325" s="14">
        <f t="shared" si="35"/>
        <v>32206040.669</v>
      </c>
      <c r="G325" s="93">
        <f>SUMIFS('Assumption-Base'!$D$3:$D$32,'Assumption-Base'!$A$3:$A$32,$B325,'Assumption-Base'!$B$3:$B$32,$C325)</f>
        <v>6.4999999999999997E-3</v>
      </c>
      <c r="H325" s="94">
        <f t="shared" si="36"/>
        <v>209339.2643485</v>
      </c>
      <c r="I325" s="92">
        <f>SUMIFS('Assumption-Base'!$E$3:$E$32,'Assumption-Base'!$A$3:$A$32,$B325,'Assumption-Base'!$B$3:$B$32,$C325)</f>
        <v>0.32</v>
      </c>
      <c r="J325" s="14">
        <f t="shared" si="37"/>
        <v>66988.56459152</v>
      </c>
      <c r="K325" s="95">
        <f>SUMIFS('Assumption-Base'!$F$3:$F$32,'Assumption-Base'!$A$3:$A$32,$B325,'Assumption-Base'!$B$3:$B$32,$C325)</f>
        <v>9.0000000000000006E-5</v>
      </c>
      <c r="L325" s="14">
        <f t="shared" si="38"/>
        <v>2898.5436602100003</v>
      </c>
      <c r="M325" s="94">
        <f t="shared" si="39"/>
        <v>139452.15609676999</v>
      </c>
      <c r="N325" s="92">
        <f>SUMIFS('Assumption-Base'!$G$3:$G$32,'Assumption-Base'!$A$3:$A$32,$B325,'Assumption-Base'!$B$3:$B$32,$C325)</f>
        <v>0.4</v>
      </c>
      <c r="O325" s="14">
        <f t="shared" si="40"/>
        <v>83735.7057394</v>
      </c>
      <c r="P325" s="94">
        <f t="shared" si="41"/>
        <v>55716.450357369991</v>
      </c>
    </row>
    <row r="326" spans="1:16" x14ac:dyDescent="0.35">
      <c r="A326" s="91" t="str">
        <f>LEFT('2025 actual v budget'!A326,4)&amp;"26"</f>
        <v>Nov-26</v>
      </c>
      <c r="B326" s="12" t="str">
        <f>'2025 actual v budget'!B326</f>
        <v>Singapore</v>
      </c>
      <c r="C326" s="12" t="str">
        <f>'2025 actual v budget'!C326</f>
        <v>Treasury Yield</v>
      </c>
      <c r="D326" s="14">
        <f>'2025 actual v budget'!D326</f>
        <v>7677085.4000000004</v>
      </c>
      <c r="E326" s="92">
        <f>SUMIFS('Assumption-Base'!$C$3:$C$32,'Assumption-Base'!$A$3:$A$32,$B326,'Assumption-Base'!$B$3:$B$32,$C326)</f>
        <v>0.05</v>
      </c>
      <c r="F326" s="14">
        <f t="shared" si="35"/>
        <v>8060939.6700000009</v>
      </c>
      <c r="G326" s="93">
        <f>SUMIFS('Assumption-Base'!$D$3:$D$32,'Assumption-Base'!$A$3:$A$32,$B326,'Assumption-Base'!$B$3:$B$32,$C326)</f>
        <v>3.0000000000000001E-3</v>
      </c>
      <c r="H326" s="94">
        <f t="shared" si="36"/>
        <v>24182.819010000003</v>
      </c>
      <c r="I326" s="92">
        <f>SUMIFS('Assumption-Base'!$E$3:$E$32,'Assumption-Base'!$A$3:$A$32,$B326,'Assumption-Base'!$B$3:$B$32,$C326)</f>
        <v>0.18</v>
      </c>
      <c r="J326" s="14">
        <f t="shared" si="37"/>
        <v>4352.9074218000005</v>
      </c>
      <c r="K326" s="95">
        <f>SUMIFS('Assumption-Base'!$F$3:$F$32,'Assumption-Base'!$A$3:$A$32,$B326,'Assumption-Base'!$B$3:$B$32,$C326)</f>
        <v>9.0000000000000006E-5</v>
      </c>
      <c r="L326" s="14">
        <f t="shared" si="38"/>
        <v>725.48457030000009</v>
      </c>
      <c r="M326" s="94">
        <f t="shared" si="39"/>
        <v>19104.427017900005</v>
      </c>
      <c r="N326" s="92">
        <f>SUMIFS('Assumption-Base'!$G$3:$G$32,'Assumption-Base'!$A$3:$A$32,$B326,'Assumption-Base'!$B$3:$B$32,$C326)</f>
        <v>0.4</v>
      </c>
      <c r="O326" s="14">
        <f t="shared" si="40"/>
        <v>9673.1276040000012</v>
      </c>
      <c r="P326" s="94">
        <f t="shared" si="41"/>
        <v>9431.2994139000039</v>
      </c>
    </row>
    <row r="327" spans="1:16" x14ac:dyDescent="0.35">
      <c r="A327" s="91" t="str">
        <f>LEFT('2025 actual v budget'!A327,4)&amp;"26"</f>
        <v>Nov-26</v>
      </c>
      <c r="B327" s="12" t="str">
        <f>'2025 actual v budget'!B327</f>
        <v>Singapore</v>
      </c>
      <c r="C327" s="12" t="str">
        <f>'2025 actual v budget'!C327</f>
        <v>Virtual Accounts</v>
      </c>
      <c r="D327" s="14">
        <f>'2025 actual v budget'!D327</f>
        <v>11906907.65</v>
      </c>
      <c r="E327" s="92">
        <f>SUMIFS('Assumption-Base'!$C$3:$C$32,'Assumption-Base'!$A$3:$A$32,$B327,'Assumption-Base'!$B$3:$B$32,$C327)</f>
        <v>0.05</v>
      </c>
      <c r="F327" s="14">
        <f t="shared" si="35"/>
        <v>12502253.032500001</v>
      </c>
      <c r="G327" s="93">
        <f>SUMIFS('Assumption-Base'!$D$3:$D$32,'Assumption-Base'!$A$3:$A$32,$B327,'Assumption-Base'!$B$3:$B$32,$C327)</f>
        <v>4.4999999999999997E-3</v>
      </c>
      <c r="H327" s="94">
        <f t="shared" si="36"/>
        <v>56260.138646250001</v>
      </c>
      <c r="I327" s="92">
        <f>SUMIFS('Assumption-Base'!$E$3:$E$32,'Assumption-Base'!$A$3:$A$32,$B327,'Assumption-Base'!$B$3:$B$32,$C327)</f>
        <v>0.22</v>
      </c>
      <c r="J327" s="14">
        <f t="shared" si="37"/>
        <v>12377.230502175</v>
      </c>
      <c r="K327" s="95">
        <f>SUMIFS('Assumption-Base'!$F$3:$F$32,'Assumption-Base'!$A$3:$A$32,$B327,'Assumption-Base'!$B$3:$B$32,$C327)</f>
        <v>9.0000000000000006E-5</v>
      </c>
      <c r="L327" s="14">
        <f t="shared" si="38"/>
        <v>1125.2027729250001</v>
      </c>
      <c r="M327" s="94">
        <f t="shared" si="39"/>
        <v>42757.705371150005</v>
      </c>
      <c r="N327" s="92">
        <f>SUMIFS('Assumption-Base'!$G$3:$G$32,'Assumption-Base'!$A$3:$A$32,$B327,'Assumption-Base'!$B$3:$B$32,$C327)</f>
        <v>0.4</v>
      </c>
      <c r="O327" s="14">
        <f t="shared" si="40"/>
        <v>22504.055458500003</v>
      </c>
      <c r="P327" s="94">
        <f t="shared" si="41"/>
        <v>20253.649912650002</v>
      </c>
    </row>
    <row r="328" spans="1:16" x14ac:dyDescent="0.35">
      <c r="A328" s="91" t="str">
        <f>LEFT('2025 actual v budget'!A328,4)&amp;"26"</f>
        <v>Nov-26</v>
      </c>
      <c r="B328" s="12" t="str">
        <f>'2025 actual v budget'!B328</f>
        <v>USA</v>
      </c>
      <c r="C328" s="12" t="str">
        <f>'2025 actual v budget'!C328</f>
        <v>Cross-border Payouts</v>
      </c>
      <c r="D328" s="14">
        <f>'2025 actual v budget'!D328</f>
        <v>28740719.5</v>
      </c>
      <c r="E328" s="92">
        <f>SUMIFS('Assumption-Base'!$C$3:$C$32,'Assumption-Base'!$A$3:$A$32,$B328,'Assumption-Base'!$B$3:$B$32,$C328)</f>
        <v>0.1</v>
      </c>
      <c r="F328" s="14">
        <f t="shared" si="35"/>
        <v>31614791.450000003</v>
      </c>
      <c r="G328" s="93">
        <f>SUMIFS('Assumption-Base'!$D$3:$D$32,'Assumption-Base'!$A$3:$A$32,$B328,'Assumption-Base'!$B$3:$B$32,$C328)</f>
        <v>7.4999999999999997E-3</v>
      </c>
      <c r="H328" s="94">
        <f t="shared" si="36"/>
        <v>237110.93587500002</v>
      </c>
      <c r="I328" s="92">
        <f>SUMIFS('Assumption-Base'!$E$3:$E$32,'Assumption-Base'!$A$3:$A$32,$B328,'Assumption-Base'!$B$3:$B$32,$C328)</f>
        <v>0.35</v>
      </c>
      <c r="J328" s="14">
        <f t="shared" si="37"/>
        <v>82988.827556250006</v>
      </c>
      <c r="K328" s="95">
        <f>SUMIFS('Assumption-Base'!$F$3:$F$32,'Assumption-Base'!$A$3:$A$32,$B328,'Assumption-Base'!$B$3:$B$32,$C328)</f>
        <v>2.0000000000000001E-4</v>
      </c>
      <c r="L328" s="14">
        <f t="shared" si="38"/>
        <v>6322.9582900000005</v>
      </c>
      <c r="M328" s="94">
        <f t="shared" si="39"/>
        <v>147799.15002875001</v>
      </c>
      <c r="N328" s="92">
        <f>SUMIFS('Assumption-Base'!$G$3:$G$32,'Assumption-Base'!$A$3:$A$32,$B328,'Assumption-Base'!$B$3:$B$32,$C328)</f>
        <v>0.4</v>
      </c>
      <c r="O328" s="14">
        <f t="shared" si="40"/>
        <v>94844.374350000013</v>
      </c>
      <c r="P328" s="94">
        <f t="shared" si="41"/>
        <v>52954.775678749997</v>
      </c>
    </row>
    <row r="329" spans="1:16" x14ac:dyDescent="0.35">
      <c r="A329" s="91" t="str">
        <f>LEFT('2025 actual v budget'!A329,4)&amp;"26"</f>
        <v>Nov-26</v>
      </c>
      <c r="B329" s="12" t="str">
        <f>'2025 actual v budget'!B329</f>
        <v>USA</v>
      </c>
      <c r="C329" s="12" t="str">
        <f>'2025 actual v budget'!C329</f>
        <v>FX Conversion</v>
      </c>
      <c r="D329" s="14">
        <f>'2025 actual v budget'!D329</f>
        <v>43968566.399999999</v>
      </c>
      <c r="E329" s="92">
        <f>SUMIFS('Assumption-Base'!$C$3:$C$32,'Assumption-Base'!$A$3:$A$32,$B329,'Assumption-Base'!$B$3:$B$32,$C329)</f>
        <v>0.1</v>
      </c>
      <c r="F329" s="14">
        <f t="shared" si="35"/>
        <v>48365423.039999999</v>
      </c>
      <c r="G329" s="93">
        <f>SUMIFS('Assumption-Base'!$D$3:$D$32,'Assumption-Base'!$A$3:$A$32,$B329,'Assumption-Base'!$B$3:$B$32,$C329)</f>
        <v>1.0500000000000001E-2</v>
      </c>
      <c r="H329" s="94">
        <f t="shared" si="36"/>
        <v>507836.94192000001</v>
      </c>
      <c r="I329" s="92">
        <f>SUMIFS('Assumption-Base'!$E$3:$E$32,'Assumption-Base'!$A$3:$A$32,$B329,'Assumption-Base'!$B$3:$B$32,$C329)</f>
        <v>0.28000000000000003</v>
      </c>
      <c r="J329" s="14">
        <f t="shared" si="37"/>
        <v>142194.34373760002</v>
      </c>
      <c r="K329" s="95">
        <f>SUMIFS('Assumption-Base'!$F$3:$F$32,'Assumption-Base'!$A$3:$A$32,$B329,'Assumption-Base'!$B$3:$B$32,$C329)</f>
        <v>2.0000000000000001E-4</v>
      </c>
      <c r="L329" s="14">
        <f t="shared" si="38"/>
        <v>9673.084608000001</v>
      </c>
      <c r="M329" s="94">
        <f t="shared" si="39"/>
        <v>355969.51357439999</v>
      </c>
      <c r="N329" s="92">
        <f>SUMIFS('Assumption-Base'!$G$3:$G$32,'Assumption-Base'!$A$3:$A$32,$B329,'Assumption-Base'!$B$3:$B$32,$C329)</f>
        <v>0.4</v>
      </c>
      <c r="O329" s="14">
        <f t="shared" si="40"/>
        <v>203134.77676800001</v>
      </c>
      <c r="P329" s="94">
        <f t="shared" si="41"/>
        <v>152834.73680639997</v>
      </c>
    </row>
    <row r="330" spans="1:16" x14ac:dyDescent="0.35">
      <c r="A330" s="91" t="str">
        <f>LEFT('2025 actual v budget'!A330,4)&amp;"26"</f>
        <v>Nov-26</v>
      </c>
      <c r="B330" s="12" t="str">
        <f>'2025 actual v budget'!B330</f>
        <v>USA</v>
      </c>
      <c r="C330" s="12" t="str">
        <f>'2025 actual v budget'!C330</f>
        <v>Stablecoin Settlement</v>
      </c>
      <c r="D330" s="14">
        <f>'2025 actual v budget'!D330</f>
        <v>69799619.450000003</v>
      </c>
      <c r="E330" s="92">
        <f>SUMIFS('Assumption-Base'!$C$3:$C$32,'Assumption-Base'!$A$3:$A$32,$B330,'Assumption-Base'!$B$3:$B$32,$C330)</f>
        <v>0.2</v>
      </c>
      <c r="F330" s="14">
        <f t="shared" si="35"/>
        <v>83759543.340000004</v>
      </c>
      <c r="G330" s="93">
        <f>SUMIFS('Assumption-Base'!$D$3:$D$32,'Assumption-Base'!$A$3:$A$32,$B330,'Assumption-Base'!$B$3:$B$32,$C330)</f>
        <v>6.4999999999999997E-3</v>
      </c>
      <c r="H330" s="94">
        <f t="shared" si="36"/>
        <v>544437.03171000001</v>
      </c>
      <c r="I330" s="92">
        <f>SUMIFS('Assumption-Base'!$E$3:$E$32,'Assumption-Base'!$A$3:$A$32,$B330,'Assumption-Base'!$B$3:$B$32,$C330)</f>
        <v>0.32</v>
      </c>
      <c r="J330" s="14">
        <f t="shared" si="37"/>
        <v>174219.85014720002</v>
      </c>
      <c r="K330" s="95">
        <f>SUMIFS('Assumption-Base'!$F$3:$F$32,'Assumption-Base'!$A$3:$A$32,$B330,'Assumption-Base'!$B$3:$B$32,$C330)</f>
        <v>2.0000000000000001E-4</v>
      </c>
      <c r="L330" s="14">
        <f t="shared" si="38"/>
        <v>16751.908668</v>
      </c>
      <c r="M330" s="94">
        <f t="shared" si="39"/>
        <v>353465.27289479994</v>
      </c>
      <c r="N330" s="92">
        <f>SUMIFS('Assumption-Base'!$G$3:$G$32,'Assumption-Base'!$A$3:$A$32,$B330,'Assumption-Base'!$B$3:$B$32,$C330)</f>
        <v>0.4</v>
      </c>
      <c r="O330" s="14">
        <f t="shared" si="40"/>
        <v>217774.812684</v>
      </c>
      <c r="P330" s="94">
        <f t="shared" si="41"/>
        <v>135690.46021079994</v>
      </c>
    </row>
    <row r="331" spans="1:16" x14ac:dyDescent="0.35">
      <c r="A331" s="91" t="str">
        <f>LEFT('2025 actual v budget'!A331,4)&amp;"26"</f>
        <v>Nov-26</v>
      </c>
      <c r="B331" s="12" t="str">
        <f>'2025 actual v budget'!B331</f>
        <v>USA</v>
      </c>
      <c r="C331" s="12" t="str">
        <f>'2025 actual v budget'!C331</f>
        <v>Treasury Yield</v>
      </c>
      <c r="D331" s="14">
        <f>'2025 actual v budget'!D331</f>
        <v>18298112.539999999</v>
      </c>
      <c r="E331" s="92">
        <f>SUMIFS('Assumption-Base'!$C$3:$C$32,'Assumption-Base'!$A$3:$A$32,$B331,'Assumption-Base'!$B$3:$B$32,$C331)</f>
        <v>0.1</v>
      </c>
      <c r="F331" s="14">
        <f t="shared" si="35"/>
        <v>20127923.794</v>
      </c>
      <c r="G331" s="93">
        <f>SUMIFS('Assumption-Base'!$D$3:$D$32,'Assumption-Base'!$A$3:$A$32,$B331,'Assumption-Base'!$B$3:$B$32,$C331)</f>
        <v>3.0000000000000001E-3</v>
      </c>
      <c r="H331" s="94">
        <f t="shared" si="36"/>
        <v>60383.771381999999</v>
      </c>
      <c r="I331" s="92">
        <f>SUMIFS('Assumption-Base'!$E$3:$E$32,'Assumption-Base'!$A$3:$A$32,$B331,'Assumption-Base'!$B$3:$B$32,$C331)</f>
        <v>0.18</v>
      </c>
      <c r="J331" s="14">
        <f t="shared" si="37"/>
        <v>10869.07884876</v>
      </c>
      <c r="K331" s="95">
        <f>SUMIFS('Assumption-Base'!$F$3:$F$32,'Assumption-Base'!$A$3:$A$32,$B331,'Assumption-Base'!$B$3:$B$32,$C331)</f>
        <v>2.0000000000000001E-4</v>
      </c>
      <c r="L331" s="14">
        <f t="shared" si="38"/>
        <v>4025.5847588000001</v>
      </c>
      <c r="M331" s="94">
        <f t="shared" si="39"/>
        <v>45489.107774439995</v>
      </c>
      <c r="N331" s="92">
        <f>SUMIFS('Assumption-Base'!$G$3:$G$32,'Assumption-Base'!$A$3:$A$32,$B331,'Assumption-Base'!$B$3:$B$32,$C331)</f>
        <v>0.4</v>
      </c>
      <c r="O331" s="14">
        <f t="shared" si="40"/>
        <v>24153.508552800002</v>
      </c>
      <c r="P331" s="94">
        <f t="shared" si="41"/>
        <v>21335.599221639994</v>
      </c>
    </row>
    <row r="332" spans="1:16" x14ac:dyDescent="0.35">
      <c r="A332" s="91" t="str">
        <f>LEFT('2025 actual v budget'!A332,4)&amp;"26"</f>
        <v>Nov-26</v>
      </c>
      <c r="B332" s="12" t="str">
        <f>'2025 actual v budget'!B332</f>
        <v>USA</v>
      </c>
      <c r="C332" s="12" t="str">
        <f>'2025 actual v budget'!C332</f>
        <v>Virtual Accounts</v>
      </c>
      <c r="D332" s="14">
        <f>'2025 actual v budget'!D332</f>
        <v>28379772.379999999</v>
      </c>
      <c r="E332" s="92">
        <f>SUMIFS('Assumption-Base'!$C$3:$C$32,'Assumption-Base'!$A$3:$A$32,$B332,'Assumption-Base'!$B$3:$B$32,$C332)</f>
        <v>0.1</v>
      </c>
      <c r="F332" s="14">
        <f t="shared" si="35"/>
        <v>31217749.618000001</v>
      </c>
      <c r="G332" s="93">
        <f>SUMIFS('Assumption-Base'!$D$3:$D$32,'Assumption-Base'!$A$3:$A$32,$B332,'Assumption-Base'!$B$3:$B$32,$C332)</f>
        <v>4.4999999999999997E-3</v>
      </c>
      <c r="H332" s="94">
        <f t="shared" si="36"/>
        <v>140479.87328099998</v>
      </c>
      <c r="I332" s="92">
        <f>SUMIFS('Assumption-Base'!$E$3:$E$32,'Assumption-Base'!$A$3:$A$32,$B332,'Assumption-Base'!$B$3:$B$32,$C332)</f>
        <v>0.22</v>
      </c>
      <c r="J332" s="14">
        <f t="shared" si="37"/>
        <v>30905.572121819994</v>
      </c>
      <c r="K332" s="95">
        <f>SUMIFS('Assumption-Base'!$F$3:$F$32,'Assumption-Base'!$A$3:$A$32,$B332,'Assumption-Base'!$B$3:$B$32,$C332)</f>
        <v>2.0000000000000001E-4</v>
      </c>
      <c r="L332" s="14">
        <f t="shared" si="38"/>
        <v>6243.5499236000005</v>
      </c>
      <c r="M332" s="94">
        <f t="shared" si="39"/>
        <v>103330.75123557998</v>
      </c>
      <c r="N332" s="92">
        <f>SUMIFS('Assumption-Base'!$G$3:$G$32,'Assumption-Base'!$A$3:$A$32,$B332,'Assumption-Base'!$B$3:$B$32,$C332)</f>
        <v>0.4</v>
      </c>
      <c r="O332" s="14">
        <f t="shared" si="40"/>
        <v>56191.949312399993</v>
      </c>
      <c r="P332" s="94">
        <f t="shared" si="41"/>
        <v>47138.801923179992</v>
      </c>
    </row>
    <row r="333" spans="1:16" x14ac:dyDescent="0.35">
      <c r="A333" s="96" t="str">
        <f>LEFT('2025 actual v budget'!A333,4)&amp;"26"</f>
        <v>Dec-26</v>
      </c>
      <c r="B333" s="17" t="str">
        <f>'2025 actual v budget'!B333</f>
        <v>Brazil</v>
      </c>
      <c r="C333" s="17" t="str">
        <f>'2025 actual v budget'!C333</f>
        <v>Cross-border Payouts</v>
      </c>
      <c r="D333" s="19">
        <f>'2025 actual v budget'!D333</f>
        <v>20821465.899999999</v>
      </c>
      <c r="E333" s="97">
        <f>SUMIFS('Assumption-Base'!$C$3:$C$32,'Assumption-Base'!$A$3:$A$32,$B333,'Assumption-Base'!$B$3:$B$32,$C333)</f>
        <v>0.2</v>
      </c>
      <c r="F333" s="19">
        <f t="shared" si="35"/>
        <v>24985759.079999998</v>
      </c>
      <c r="G333" s="98">
        <f>SUMIFS('Assumption-Base'!$D$3:$D$32,'Assumption-Base'!$A$3:$A$32,$B333,'Assumption-Base'!$B$3:$B$32,$C333)</f>
        <v>7.4999999999999997E-3</v>
      </c>
      <c r="H333" s="99">
        <f t="shared" si="36"/>
        <v>187393.19309999997</v>
      </c>
      <c r="I333" s="97">
        <f>SUMIFS('Assumption-Base'!$E$3:$E$32,'Assumption-Base'!$A$3:$A$32,$B333,'Assumption-Base'!$B$3:$B$32,$C333)</f>
        <v>0.35</v>
      </c>
      <c r="J333" s="19">
        <f t="shared" si="37"/>
        <v>65587.617584999985</v>
      </c>
      <c r="K333" s="100">
        <f>SUMIFS('Assumption-Base'!$F$3:$F$32,'Assumption-Base'!$A$3:$A$32,$B333,'Assumption-Base'!$B$3:$B$32,$C333)</f>
        <v>6.9999999999999994E-5</v>
      </c>
      <c r="L333" s="19">
        <f t="shared" si="38"/>
        <v>1749.0031355999997</v>
      </c>
      <c r="M333" s="99">
        <f t="shared" si="39"/>
        <v>120056.57237939999</v>
      </c>
      <c r="N333" s="97">
        <f>SUMIFS('Assumption-Base'!$G$3:$G$32,'Assumption-Base'!$A$3:$A$32,$B333,'Assumption-Base'!$B$3:$B$32,$C333)</f>
        <v>0.4</v>
      </c>
      <c r="O333" s="19">
        <f t="shared" si="40"/>
        <v>74957.277239999996</v>
      </c>
      <c r="P333" s="99">
        <f t="shared" si="41"/>
        <v>45099.295139399997</v>
      </c>
    </row>
    <row r="334" spans="1:16" x14ac:dyDescent="0.35">
      <c r="A334" s="96" t="str">
        <f>LEFT('2025 actual v budget'!A334,4)&amp;"26"</f>
        <v>Dec-26</v>
      </c>
      <c r="B334" s="17" t="str">
        <f>'2025 actual v budget'!B334</f>
        <v>Brazil</v>
      </c>
      <c r="C334" s="17" t="str">
        <f>'2025 actual v budget'!C334</f>
        <v>FX Conversion</v>
      </c>
      <c r="D334" s="19">
        <f>'2025 actual v budget'!D334</f>
        <v>31313812.260000002</v>
      </c>
      <c r="E334" s="97">
        <f>SUMIFS('Assumption-Base'!$C$3:$C$32,'Assumption-Base'!$A$3:$A$32,$B334,'Assumption-Base'!$B$3:$B$32,$C334)</f>
        <v>0.2</v>
      </c>
      <c r="F334" s="19">
        <f t="shared" si="35"/>
        <v>37576574.711999997</v>
      </c>
      <c r="G334" s="98">
        <f>SUMIFS('Assumption-Base'!$D$3:$D$32,'Assumption-Base'!$A$3:$A$32,$B334,'Assumption-Base'!$B$3:$B$32,$C334)</f>
        <v>1.0500000000000001E-2</v>
      </c>
      <c r="H334" s="99">
        <f t="shared" si="36"/>
        <v>394554.034476</v>
      </c>
      <c r="I334" s="97">
        <f>SUMIFS('Assumption-Base'!$E$3:$E$32,'Assumption-Base'!$A$3:$A$32,$B334,'Assumption-Base'!$B$3:$B$32,$C334)</f>
        <v>0.28000000000000003</v>
      </c>
      <c r="J334" s="19">
        <f t="shared" si="37"/>
        <v>110475.12965328</v>
      </c>
      <c r="K334" s="100">
        <f>SUMIFS('Assumption-Base'!$F$3:$F$32,'Assumption-Base'!$A$3:$A$32,$B334,'Assumption-Base'!$B$3:$B$32,$C334)</f>
        <v>6.9999999999999994E-5</v>
      </c>
      <c r="L334" s="19">
        <f t="shared" si="38"/>
        <v>2630.3602298399996</v>
      </c>
      <c r="M334" s="99">
        <f t="shared" si="39"/>
        <v>281448.54459288</v>
      </c>
      <c r="N334" s="97">
        <f>SUMIFS('Assumption-Base'!$G$3:$G$32,'Assumption-Base'!$A$3:$A$32,$B334,'Assumption-Base'!$B$3:$B$32,$C334)</f>
        <v>0.4</v>
      </c>
      <c r="O334" s="19">
        <f t="shared" si="40"/>
        <v>157821.61379040001</v>
      </c>
      <c r="P334" s="99">
        <f t="shared" si="41"/>
        <v>123626.93080248</v>
      </c>
    </row>
    <row r="335" spans="1:16" x14ac:dyDescent="0.35">
      <c r="A335" s="96" t="str">
        <f>LEFT('2025 actual v budget'!A335,4)&amp;"26"</f>
        <v>Dec-26</v>
      </c>
      <c r="B335" s="17" t="str">
        <f>'2025 actual v budget'!B335</f>
        <v>Brazil</v>
      </c>
      <c r="C335" s="17" t="str">
        <f>'2025 actual v budget'!C335</f>
        <v>Stablecoin Settlement</v>
      </c>
      <c r="D335" s="19">
        <f>'2025 actual v budget'!D335</f>
        <v>50934217.549999997</v>
      </c>
      <c r="E335" s="97">
        <f>SUMIFS('Assumption-Base'!$C$3:$C$32,'Assumption-Base'!$A$3:$A$32,$B335,'Assumption-Base'!$B$3:$B$32,$C335)</f>
        <v>0.4</v>
      </c>
      <c r="F335" s="19">
        <f t="shared" si="35"/>
        <v>71307904.569999993</v>
      </c>
      <c r="G335" s="98">
        <f>SUMIFS('Assumption-Base'!$D$3:$D$32,'Assumption-Base'!$A$3:$A$32,$B335,'Assumption-Base'!$B$3:$B$32,$C335)</f>
        <v>6.4999999999999997E-3</v>
      </c>
      <c r="H335" s="99">
        <f t="shared" si="36"/>
        <v>463501.37970499991</v>
      </c>
      <c r="I335" s="97">
        <f>SUMIFS('Assumption-Base'!$E$3:$E$32,'Assumption-Base'!$A$3:$A$32,$B335,'Assumption-Base'!$B$3:$B$32,$C335)</f>
        <v>0.32</v>
      </c>
      <c r="J335" s="19">
        <f t="shared" si="37"/>
        <v>148320.44150559997</v>
      </c>
      <c r="K335" s="100">
        <f>SUMIFS('Assumption-Base'!$F$3:$F$32,'Assumption-Base'!$A$3:$A$32,$B335,'Assumption-Base'!$B$3:$B$32,$C335)</f>
        <v>6.9999999999999994E-5</v>
      </c>
      <c r="L335" s="19">
        <f t="shared" si="38"/>
        <v>4991.5533198999992</v>
      </c>
      <c r="M335" s="99">
        <f t="shared" si="39"/>
        <v>310189.38487949996</v>
      </c>
      <c r="N335" s="97">
        <f>SUMIFS('Assumption-Base'!$G$3:$G$32,'Assumption-Base'!$A$3:$A$32,$B335,'Assumption-Base'!$B$3:$B$32,$C335)</f>
        <v>0.4</v>
      </c>
      <c r="O335" s="19">
        <f t="shared" si="40"/>
        <v>185400.55188199997</v>
      </c>
      <c r="P335" s="99">
        <f t="shared" si="41"/>
        <v>124788.83299749999</v>
      </c>
    </row>
    <row r="336" spans="1:16" x14ac:dyDescent="0.35">
      <c r="A336" s="96" t="str">
        <f>LEFT('2025 actual v budget'!A336,4)&amp;"26"</f>
        <v>Dec-26</v>
      </c>
      <c r="B336" s="17" t="str">
        <f>'2025 actual v budget'!B336</f>
        <v>Brazil</v>
      </c>
      <c r="C336" s="17" t="str">
        <f>'2025 actual v budget'!C336</f>
        <v>Treasury Yield</v>
      </c>
      <c r="D336" s="19">
        <f>'2025 actual v budget'!D336</f>
        <v>13252915.869999999</v>
      </c>
      <c r="E336" s="97">
        <f>SUMIFS('Assumption-Base'!$C$3:$C$32,'Assumption-Base'!$A$3:$A$32,$B336,'Assumption-Base'!$B$3:$B$32,$C336)</f>
        <v>0.2</v>
      </c>
      <c r="F336" s="19">
        <f t="shared" si="35"/>
        <v>15903499.043999998</v>
      </c>
      <c r="G336" s="98">
        <f>SUMIFS('Assumption-Base'!$D$3:$D$32,'Assumption-Base'!$A$3:$A$32,$B336,'Assumption-Base'!$B$3:$B$32,$C336)</f>
        <v>3.0000000000000001E-3</v>
      </c>
      <c r="H336" s="99">
        <f t="shared" si="36"/>
        <v>47710.497131999997</v>
      </c>
      <c r="I336" s="97">
        <f>SUMIFS('Assumption-Base'!$E$3:$E$32,'Assumption-Base'!$A$3:$A$32,$B336,'Assumption-Base'!$B$3:$B$32,$C336)</f>
        <v>0.18</v>
      </c>
      <c r="J336" s="19">
        <f t="shared" si="37"/>
        <v>8587.8894837599983</v>
      </c>
      <c r="K336" s="100">
        <f>SUMIFS('Assumption-Base'!$F$3:$F$32,'Assumption-Base'!$A$3:$A$32,$B336,'Assumption-Base'!$B$3:$B$32,$C336)</f>
        <v>6.9999999999999994E-5</v>
      </c>
      <c r="L336" s="19">
        <f t="shared" si="38"/>
        <v>1113.2449330799998</v>
      </c>
      <c r="M336" s="99">
        <f t="shared" si="39"/>
        <v>38009.362715159994</v>
      </c>
      <c r="N336" s="97">
        <f>SUMIFS('Assumption-Base'!$G$3:$G$32,'Assumption-Base'!$A$3:$A$32,$B336,'Assumption-Base'!$B$3:$B$32,$C336)</f>
        <v>0.4</v>
      </c>
      <c r="O336" s="19">
        <f t="shared" si="40"/>
        <v>19084.1988528</v>
      </c>
      <c r="P336" s="99">
        <f t="shared" si="41"/>
        <v>18925.163862359994</v>
      </c>
    </row>
    <row r="337" spans="1:16" x14ac:dyDescent="0.35">
      <c r="A337" s="96" t="str">
        <f>LEFT('2025 actual v budget'!A337,4)&amp;"26"</f>
        <v>Dec-26</v>
      </c>
      <c r="B337" s="17" t="str">
        <f>'2025 actual v budget'!B337</f>
        <v>Brazil</v>
      </c>
      <c r="C337" s="17" t="str">
        <f>'2025 actual v budget'!C337</f>
        <v>Virtual Accounts</v>
      </c>
      <c r="D337" s="19">
        <f>'2025 actual v budget'!D337</f>
        <v>20313387.140000001</v>
      </c>
      <c r="E337" s="97">
        <f>SUMIFS('Assumption-Base'!$C$3:$C$32,'Assumption-Base'!$A$3:$A$32,$B337,'Assumption-Base'!$B$3:$B$32,$C337)</f>
        <v>0.2</v>
      </c>
      <c r="F337" s="19">
        <f t="shared" si="35"/>
        <v>24376064.568</v>
      </c>
      <c r="G337" s="98">
        <f>SUMIFS('Assumption-Base'!$D$3:$D$32,'Assumption-Base'!$A$3:$A$32,$B337,'Assumption-Base'!$B$3:$B$32,$C337)</f>
        <v>4.4999999999999997E-3</v>
      </c>
      <c r="H337" s="99">
        <f t="shared" si="36"/>
        <v>109692.29055599999</v>
      </c>
      <c r="I337" s="97">
        <f>SUMIFS('Assumption-Base'!$E$3:$E$32,'Assumption-Base'!$A$3:$A$32,$B337,'Assumption-Base'!$B$3:$B$32,$C337)</f>
        <v>0.22</v>
      </c>
      <c r="J337" s="19">
        <f t="shared" si="37"/>
        <v>24132.303922319999</v>
      </c>
      <c r="K337" s="100">
        <f>SUMIFS('Assumption-Base'!$F$3:$F$32,'Assumption-Base'!$A$3:$A$32,$B337,'Assumption-Base'!$B$3:$B$32,$C337)</f>
        <v>6.9999999999999994E-5</v>
      </c>
      <c r="L337" s="19">
        <f t="shared" si="38"/>
        <v>1706.3245197599999</v>
      </c>
      <c r="M337" s="99">
        <f t="shared" si="39"/>
        <v>83853.662113919985</v>
      </c>
      <c r="N337" s="97">
        <f>SUMIFS('Assumption-Base'!$G$3:$G$32,'Assumption-Base'!$A$3:$A$32,$B337,'Assumption-Base'!$B$3:$B$32,$C337)</f>
        <v>0.4</v>
      </c>
      <c r="O337" s="19">
        <f t="shared" si="40"/>
        <v>43876.916222400003</v>
      </c>
      <c r="P337" s="99">
        <f t="shared" si="41"/>
        <v>39976.745891519982</v>
      </c>
    </row>
    <row r="338" spans="1:16" x14ac:dyDescent="0.35">
      <c r="A338" s="96" t="str">
        <f>LEFT('2025 actual v budget'!A338,4)&amp;"26"</f>
        <v>Dec-26</v>
      </c>
      <c r="B338" s="17" t="str">
        <f>'2025 actual v budget'!B338</f>
        <v>Germany</v>
      </c>
      <c r="C338" s="17" t="str">
        <f>'2025 actual v budget'!C338</f>
        <v>Cross-border Payouts</v>
      </c>
      <c r="D338" s="19">
        <f>'2025 actual v budget'!D338</f>
        <v>9175513.2799999993</v>
      </c>
      <c r="E338" s="97">
        <f>SUMIFS('Assumption-Base'!$C$3:$C$32,'Assumption-Base'!$A$3:$A$32,$B338,'Assumption-Base'!$B$3:$B$32,$C338)</f>
        <v>0.06</v>
      </c>
      <c r="F338" s="19">
        <f t="shared" si="35"/>
        <v>9726044.0767999999</v>
      </c>
      <c r="G338" s="98">
        <f>SUMIFS('Assumption-Base'!$D$3:$D$32,'Assumption-Base'!$A$3:$A$32,$B338,'Assumption-Base'!$B$3:$B$32,$C338)</f>
        <v>7.4999999999999997E-3</v>
      </c>
      <c r="H338" s="99">
        <f t="shared" si="36"/>
        <v>72945.330575999993</v>
      </c>
      <c r="I338" s="97">
        <f>SUMIFS('Assumption-Base'!$E$3:$E$32,'Assumption-Base'!$A$3:$A$32,$B338,'Assumption-Base'!$B$3:$B$32,$C338)</f>
        <v>0.35</v>
      </c>
      <c r="J338" s="19">
        <f t="shared" si="37"/>
        <v>25530.865701599996</v>
      </c>
      <c r="K338" s="100">
        <f>SUMIFS('Assumption-Base'!$F$3:$F$32,'Assumption-Base'!$A$3:$A$32,$B338,'Assumption-Base'!$B$3:$B$32,$C338)</f>
        <v>1.4999999999999999E-4</v>
      </c>
      <c r="L338" s="19">
        <f t="shared" si="38"/>
        <v>1458.9066115199998</v>
      </c>
      <c r="M338" s="99">
        <f t="shared" si="39"/>
        <v>45955.558262880004</v>
      </c>
      <c r="N338" s="97">
        <f>SUMIFS('Assumption-Base'!$G$3:$G$32,'Assumption-Base'!$A$3:$A$32,$B338,'Assumption-Base'!$B$3:$B$32,$C338)</f>
        <v>0.4</v>
      </c>
      <c r="O338" s="19">
        <f t="shared" si="40"/>
        <v>29178.132230399999</v>
      </c>
      <c r="P338" s="99">
        <f t="shared" si="41"/>
        <v>16777.426032480005</v>
      </c>
    </row>
    <row r="339" spans="1:16" x14ac:dyDescent="0.35">
      <c r="A339" s="96" t="str">
        <f>LEFT('2025 actual v budget'!A339,4)&amp;"26"</f>
        <v>Dec-26</v>
      </c>
      <c r="B339" s="17" t="str">
        <f>'2025 actual v budget'!B339</f>
        <v>Germany</v>
      </c>
      <c r="C339" s="17" t="str">
        <f>'2025 actual v budget'!C339</f>
        <v>FX Conversion</v>
      </c>
      <c r="D339" s="19">
        <f>'2025 actual v budget'!D339</f>
        <v>13785537.83</v>
      </c>
      <c r="E339" s="97">
        <f>SUMIFS('Assumption-Base'!$C$3:$C$32,'Assumption-Base'!$A$3:$A$32,$B339,'Assumption-Base'!$B$3:$B$32,$C339)</f>
        <v>0.06</v>
      </c>
      <c r="F339" s="19">
        <f t="shared" si="35"/>
        <v>14612670.0998</v>
      </c>
      <c r="G339" s="98">
        <f>SUMIFS('Assumption-Base'!$D$3:$D$32,'Assumption-Base'!$A$3:$A$32,$B339,'Assumption-Base'!$B$3:$B$32,$C339)</f>
        <v>1.0500000000000001E-2</v>
      </c>
      <c r="H339" s="99">
        <f t="shared" si="36"/>
        <v>153433.03604790001</v>
      </c>
      <c r="I339" s="97">
        <f>SUMIFS('Assumption-Base'!$E$3:$E$32,'Assumption-Base'!$A$3:$A$32,$B339,'Assumption-Base'!$B$3:$B$32,$C339)</f>
        <v>0.28000000000000003</v>
      </c>
      <c r="J339" s="19">
        <f t="shared" si="37"/>
        <v>42961.250093412003</v>
      </c>
      <c r="K339" s="100">
        <f>SUMIFS('Assumption-Base'!$F$3:$F$32,'Assumption-Base'!$A$3:$A$32,$B339,'Assumption-Base'!$B$3:$B$32,$C339)</f>
        <v>1.4999999999999999E-4</v>
      </c>
      <c r="L339" s="19">
        <f t="shared" si="38"/>
        <v>2191.9005149699997</v>
      </c>
      <c r="M339" s="99">
        <f t="shared" si="39"/>
        <v>108279.88543951801</v>
      </c>
      <c r="N339" s="97">
        <f>SUMIFS('Assumption-Base'!$G$3:$G$32,'Assumption-Base'!$A$3:$A$32,$B339,'Assumption-Base'!$B$3:$B$32,$C339)</f>
        <v>0.4</v>
      </c>
      <c r="O339" s="19">
        <f t="shared" si="40"/>
        <v>61373.214419160009</v>
      </c>
      <c r="P339" s="99">
        <f t="shared" si="41"/>
        <v>46906.671020358001</v>
      </c>
    </row>
    <row r="340" spans="1:16" x14ac:dyDescent="0.35">
      <c r="A340" s="96" t="str">
        <f>LEFT('2025 actual v budget'!A340,4)&amp;"26"</f>
        <v>Dec-26</v>
      </c>
      <c r="B340" s="17" t="str">
        <f>'2025 actual v budget'!B340</f>
        <v>Germany</v>
      </c>
      <c r="C340" s="17" t="str">
        <f>'2025 actual v budget'!C340</f>
        <v>Stablecoin Settlement</v>
      </c>
      <c r="D340" s="19">
        <f>'2025 actual v budget'!D340</f>
        <v>22445470.059999999</v>
      </c>
      <c r="E340" s="97">
        <f>SUMIFS('Assumption-Base'!$C$3:$C$32,'Assumption-Base'!$A$3:$A$32,$B340,'Assumption-Base'!$B$3:$B$32,$C340)</f>
        <v>0.12</v>
      </c>
      <c r="F340" s="19">
        <f t="shared" si="35"/>
        <v>25138926.4672</v>
      </c>
      <c r="G340" s="98">
        <f>SUMIFS('Assumption-Base'!$D$3:$D$32,'Assumption-Base'!$A$3:$A$32,$B340,'Assumption-Base'!$B$3:$B$32,$C340)</f>
        <v>6.4999999999999997E-3</v>
      </c>
      <c r="H340" s="99">
        <f t="shared" si="36"/>
        <v>163403.02203679999</v>
      </c>
      <c r="I340" s="97">
        <f>SUMIFS('Assumption-Base'!$E$3:$E$32,'Assumption-Base'!$A$3:$A$32,$B340,'Assumption-Base'!$B$3:$B$32,$C340)</f>
        <v>0.32</v>
      </c>
      <c r="J340" s="19">
        <f t="shared" si="37"/>
        <v>52288.967051775995</v>
      </c>
      <c r="K340" s="100">
        <f>SUMIFS('Assumption-Base'!$F$3:$F$32,'Assumption-Base'!$A$3:$A$32,$B340,'Assumption-Base'!$B$3:$B$32,$C340)</f>
        <v>1.4999999999999999E-4</v>
      </c>
      <c r="L340" s="19">
        <f t="shared" si="38"/>
        <v>3770.8389700799999</v>
      </c>
      <c r="M340" s="99">
        <f t="shared" si="39"/>
        <v>107343.21601494399</v>
      </c>
      <c r="N340" s="97">
        <f>SUMIFS('Assumption-Base'!$G$3:$G$32,'Assumption-Base'!$A$3:$A$32,$B340,'Assumption-Base'!$B$3:$B$32,$C340)</f>
        <v>0.4</v>
      </c>
      <c r="O340" s="19">
        <f t="shared" si="40"/>
        <v>65361.208814719997</v>
      </c>
      <c r="P340" s="99">
        <f t="shared" si="41"/>
        <v>41982.00720022399</v>
      </c>
    </row>
    <row r="341" spans="1:16" x14ac:dyDescent="0.35">
      <c r="A341" s="96" t="str">
        <f>LEFT('2025 actual v budget'!A341,4)&amp;"26"</f>
        <v>Dec-26</v>
      </c>
      <c r="B341" s="17" t="str">
        <f>'2025 actual v budget'!B341</f>
        <v>Germany</v>
      </c>
      <c r="C341" s="17" t="str">
        <f>'2025 actual v budget'!C341</f>
        <v>Treasury Yield</v>
      </c>
      <c r="D341" s="19">
        <f>'2025 actual v budget'!D341</f>
        <v>5834440.46</v>
      </c>
      <c r="E341" s="97">
        <f>SUMIFS('Assumption-Base'!$C$3:$C$32,'Assumption-Base'!$A$3:$A$32,$B341,'Assumption-Base'!$B$3:$B$32,$C341)</f>
        <v>0.06</v>
      </c>
      <c r="F341" s="19">
        <f t="shared" si="35"/>
        <v>6184506.8876</v>
      </c>
      <c r="G341" s="98">
        <f>SUMIFS('Assumption-Base'!$D$3:$D$32,'Assumption-Base'!$A$3:$A$32,$B341,'Assumption-Base'!$B$3:$B$32,$C341)</f>
        <v>3.0000000000000001E-3</v>
      </c>
      <c r="H341" s="99">
        <f t="shared" si="36"/>
        <v>18553.520662800001</v>
      </c>
      <c r="I341" s="97">
        <f>SUMIFS('Assumption-Base'!$E$3:$E$32,'Assumption-Base'!$A$3:$A$32,$B341,'Assumption-Base'!$B$3:$B$32,$C341)</f>
        <v>0.18</v>
      </c>
      <c r="J341" s="19">
        <f t="shared" si="37"/>
        <v>3339.6337193040004</v>
      </c>
      <c r="K341" s="100">
        <f>SUMIFS('Assumption-Base'!$F$3:$F$32,'Assumption-Base'!$A$3:$A$32,$B341,'Assumption-Base'!$B$3:$B$32,$C341)</f>
        <v>1.4999999999999999E-4</v>
      </c>
      <c r="L341" s="19">
        <f t="shared" si="38"/>
        <v>927.67603313999996</v>
      </c>
      <c r="M341" s="99">
        <f t="shared" si="39"/>
        <v>14286.210910356001</v>
      </c>
      <c r="N341" s="97">
        <f>SUMIFS('Assumption-Base'!$G$3:$G$32,'Assumption-Base'!$A$3:$A$32,$B341,'Assumption-Base'!$B$3:$B$32,$C341)</f>
        <v>0.4</v>
      </c>
      <c r="O341" s="19">
        <f t="shared" si="40"/>
        <v>7421.4082651200006</v>
      </c>
      <c r="P341" s="99">
        <f t="shared" si="41"/>
        <v>6864.8026452360009</v>
      </c>
    </row>
    <row r="342" spans="1:16" x14ac:dyDescent="0.35">
      <c r="A342" s="96" t="str">
        <f>LEFT('2025 actual v budget'!A342,4)&amp;"26"</f>
        <v>Dec-26</v>
      </c>
      <c r="B342" s="17" t="str">
        <f>'2025 actual v budget'!B342</f>
        <v>Germany</v>
      </c>
      <c r="C342" s="17" t="str">
        <f>'2025 actual v budget'!C342</f>
        <v>Virtual Accounts</v>
      </c>
      <c r="D342" s="19">
        <f>'2025 actual v budget'!D342</f>
        <v>8942729.9600000009</v>
      </c>
      <c r="E342" s="97">
        <f>SUMIFS('Assumption-Base'!$C$3:$C$32,'Assumption-Base'!$A$3:$A$32,$B342,'Assumption-Base'!$B$3:$B$32,$C342)</f>
        <v>0.06</v>
      </c>
      <c r="F342" s="19">
        <f t="shared" si="35"/>
        <v>9479293.757600002</v>
      </c>
      <c r="G342" s="98">
        <f>SUMIFS('Assumption-Base'!$D$3:$D$32,'Assumption-Base'!$A$3:$A$32,$B342,'Assumption-Base'!$B$3:$B$32,$C342)</f>
        <v>4.4999999999999997E-3</v>
      </c>
      <c r="H342" s="99">
        <f t="shared" si="36"/>
        <v>42656.821909200007</v>
      </c>
      <c r="I342" s="97">
        <f>SUMIFS('Assumption-Base'!$E$3:$E$32,'Assumption-Base'!$A$3:$A$32,$B342,'Assumption-Base'!$B$3:$B$32,$C342)</f>
        <v>0.22</v>
      </c>
      <c r="J342" s="19">
        <f t="shared" si="37"/>
        <v>9384.5008200240009</v>
      </c>
      <c r="K342" s="100">
        <f>SUMIFS('Assumption-Base'!$F$3:$F$32,'Assumption-Base'!$A$3:$A$32,$B342,'Assumption-Base'!$B$3:$B$32,$C342)</f>
        <v>1.4999999999999999E-4</v>
      </c>
      <c r="L342" s="19">
        <f t="shared" si="38"/>
        <v>1421.8940636400002</v>
      </c>
      <c r="M342" s="99">
        <f t="shared" si="39"/>
        <v>31850.42702553601</v>
      </c>
      <c r="N342" s="97">
        <f>SUMIFS('Assumption-Base'!$G$3:$G$32,'Assumption-Base'!$A$3:$A$32,$B342,'Assumption-Base'!$B$3:$B$32,$C342)</f>
        <v>0.4</v>
      </c>
      <c r="O342" s="19">
        <f t="shared" si="40"/>
        <v>17062.728763680003</v>
      </c>
      <c r="P342" s="99">
        <f t="shared" si="41"/>
        <v>14787.698261856007</v>
      </c>
    </row>
    <row r="343" spans="1:16" x14ac:dyDescent="0.35">
      <c r="A343" s="96" t="str">
        <f>LEFT('2025 actual v budget'!A343,4)&amp;"26"</f>
        <v>Dec-26</v>
      </c>
      <c r="B343" s="17" t="str">
        <f>'2025 actual v budget'!B343</f>
        <v>India</v>
      </c>
      <c r="C343" s="17" t="str">
        <f>'2025 actual v budget'!C343</f>
        <v>Cross-border Payouts</v>
      </c>
      <c r="D343" s="19">
        <f>'2025 actual v budget'!D343</f>
        <v>14834509.699999999</v>
      </c>
      <c r="E343" s="97">
        <f>SUMIFS('Assumption-Base'!$C$3:$C$32,'Assumption-Base'!$A$3:$A$32,$B343,'Assumption-Base'!$B$3:$B$32,$C343)</f>
        <v>0.12</v>
      </c>
      <c r="F343" s="19">
        <f t="shared" si="35"/>
        <v>16614650.864</v>
      </c>
      <c r="G343" s="98">
        <f>SUMIFS('Assumption-Base'!$D$3:$D$32,'Assumption-Base'!$A$3:$A$32,$B343,'Assumption-Base'!$B$3:$B$32,$C343)</f>
        <v>7.4999999999999997E-3</v>
      </c>
      <c r="H343" s="99">
        <f t="shared" si="36"/>
        <v>124609.88148</v>
      </c>
      <c r="I343" s="97">
        <f>SUMIFS('Assumption-Base'!$E$3:$E$32,'Assumption-Base'!$A$3:$A$32,$B343,'Assumption-Base'!$B$3:$B$32,$C343)</f>
        <v>0.35</v>
      </c>
      <c r="J343" s="19">
        <f t="shared" si="37"/>
        <v>43613.458517999999</v>
      </c>
      <c r="K343" s="100">
        <f>SUMIFS('Assumption-Base'!$F$3:$F$32,'Assumption-Base'!$A$3:$A$32,$B343,'Assumption-Base'!$B$3:$B$32,$C343)</f>
        <v>1.8000000000000001E-4</v>
      </c>
      <c r="L343" s="19">
        <f t="shared" si="38"/>
        <v>2990.6371555200003</v>
      </c>
      <c r="M343" s="99">
        <f t="shared" si="39"/>
        <v>78005.785806479995</v>
      </c>
      <c r="N343" s="97">
        <f>SUMIFS('Assumption-Base'!$G$3:$G$32,'Assumption-Base'!$A$3:$A$32,$B343,'Assumption-Base'!$B$3:$B$32,$C343)</f>
        <v>0.4</v>
      </c>
      <c r="O343" s="19">
        <f t="shared" si="40"/>
        <v>49843.952592000001</v>
      </c>
      <c r="P343" s="99">
        <f t="shared" si="41"/>
        <v>28161.833214479993</v>
      </c>
    </row>
    <row r="344" spans="1:16" x14ac:dyDescent="0.35">
      <c r="A344" s="96" t="str">
        <f>LEFT('2025 actual v budget'!A344,4)&amp;"26"</f>
        <v>Dec-26</v>
      </c>
      <c r="B344" s="17" t="str">
        <f>'2025 actual v budget'!B344</f>
        <v>India</v>
      </c>
      <c r="C344" s="17" t="str">
        <f>'2025 actual v budget'!C344</f>
        <v>FX Conversion</v>
      </c>
      <c r="D344" s="19">
        <f>'2025 actual v budget'!D344</f>
        <v>22320681.670000002</v>
      </c>
      <c r="E344" s="97">
        <f>SUMIFS('Assumption-Base'!$C$3:$C$32,'Assumption-Base'!$A$3:$A$32,$B344,'Assumption-Base'!$B$3:$B$32,$C344)</f>
        <v>0.12</v>
      </c>
      <c r="F344" s="19">
        <f t="shared" si="35"/>
        <v>24999163.470400006</v>
      </c>
      <c r="G344" s="98">
        <f>SUMIFS('Assumption-Base'!$D$3:$D$32,'Assumption-Base'!$A$3:$A$32,$B344,'Assumption-Base'!$B$3:$B$32,$C344)</f>
        <v>1.0500000000000001E-2</v>
      </c>
      <c r="H344" s="99">
        <f t="shared" si="36"/>
        <v>262491.2164392001</v>
      </c>
      <c r="I344" s="97">
        <f>SUMIFS('Assumption-Base'!$E$3:$E$32,'Assumption-Base'!$A$3:$A$32,$B344,'Assumption-Base'!$B$3:$B$32,$C344)</f>
        <v>0.28000000000000003</v>
      </c>
      <c r="J344" s="19">
        <f t="shared" si="37"/>
        <v>73497.540602976034</v>
      </c>
      <c r="K344" s="100">
        <f>SUMIFS('Assumption-Base'!$F$3:$F$32,'Assumption-Base'!$A$3:$A$32,$B344,'Assumption-Base'!$B$3:$B$32,$C344)</f>
        <v>1.8000000000000001E-4</v>
      </c>
      <c r="L344" s="19">
        <f t="shared" si="38"/>
        <v>4499.8494246720011</v>
      </c>
      <c r="M344" s="99">
        <f t="shared" si="39"/>
        <v>184493.82641155206</v>
      </c>
      <c r="N344" s="97">
        <f>SUMIFS('Assumption-Base'!$G$3:$G$32,'Assumption-Base'!$A$3:$A$32,$B344,'Assumption-Base'!$B$3:$B$32,$C344)</f>
        <v>0.4</v>
      </c>
      <c r="O344" s="19">
        <f t="shared" si="40"/>
        <v>104996.48657568004</v>
      </c>
      <c r="P344" s="99">
        <f t="shared" si="41"/>
        <v>79497.339835872015</v>
      </c>
    </row>
    <row r="345" spans="1:16" x14ac:dyDescent="0.35">
      <c r="A345" s="96" t="str">
        <f>LEFT('2025 actual v budget'!A345,4)&amp;"26"</f>
        <v>Dec-26</v>
      </c>
      <c r="B345" s="17" t="str">
        <f>'2025 actual v budget'!B345</f>
        <v>India</v>
      </c>
      <c r="C345" s="17" t="str">
        <f>'2025 actual v budget'!C345</f>
        <v>Stablecoin Settlement</v>
      </c>
      <c r="D345" s="19">
        <f>'2025 actual v budget'!D345</f>
        <v>36288710.32</v>
      </c>
      <c r="E345" s="97">
        <f>SUMIFS('Assumption-Base'!$C$3:$C$32,'Assumption-Base'!$A$3:$A$32,$B345,'Assumption-Base'!$B$3:$B$32,$C345)</f>
        <v>0.24</v>
      </c>
      <c r="F345" s="19">
        <f t="shared" si="35"/>
        <v>44998000.796800002</v>
      </c>
      <c r="G345" s="98">
        <f>SUMIFS('Assumption-Base'!$D$3:$D$32,'Assumption-Base'!$A$3:$A$32,$B345,'Assumption-Base'!$B$3:$B$32,$C345)</f>
        <v>6.4999999999999997E-3</v>
      </c>
      <c r="H345" s="99">
        <f t="shared" si="36"/>
        <v>292487.00517920003</v>
      </c>
      <c r="I345" s="97">
        <f>SUMIFS('Assumption-Base'!$E$3:$E$32,'Assumption-Base'!$A$3:$A$32,$B345,'Assumption-Base'!$B$3:$B$32,$C345)</f>
        <v>0.32</v>
      </c>
      <c r="J345" s="19">
        <f t="shared" si="37"/>
        <v>93595.841657344004</v>
      </c>
      <c r="K345" s="100">
        <f>SUMIFS('Assumption-Base'!$F$3:$F$32,'Assumption-Base'!$A$3:$A$32,$B345,'Assumption-Base'!$B$3:$B$32,$C345)</f>
        <v>1.8000000000000001E-4</v>
      </c>
      <c r="L345" s="19">
        <f t="shared" si="38"/>
        <v>8099.6401434240006</v>
      </c>
      <c r="M345" s="99">
        <f t="shared" si="39"/>
        <v>190791.523378432</v>
      </c>
      <c r="N345" s="97">
        <f>SUMIFS('Assumption-Base'!$G$3:$G$32,'Assumption-Base'!$A$3:$A$32,$B345,'Assumption-Base'!$B$3:$B$32,$C345)</f>
        <v>0.4</v>
      </c>
      <c r="O345" s="19">
        <f t="shared" si="40"/>
        <v>116994.80207168002</v>
      </c>
      <c r="P345" s="99">
        <f t="shared" si="41"/>
        <v>73796.721306751977</v>
      </c>
    </row>
    <row r="346" spans="1:16" x14ac:dyDescent="0.35">
      <c r="A346" s="96" t="str">
        <f>LEFT('2025 actual v budget'!A346,4)&amp;"26"</f>
        <v>Dec-26</v>
      </c>
      <c r="B346" s="17" t="str">
        <f>'2025 actual v budget'!B346</f>
        <v>India</v>
      </c>
      <c r="C346" s="17" t="str">
        <f>'2025 actual v budget'!C346</f>
        <v>Treasury Yield</v>
      </c>
      <c r="D346" s="19">
        <f>'2025 actual v budget'!D346</f>
        <v>9446761.5099999998</v>
      </c>
      <c r="E346" s="97">
        <f>SUMIFS('Assumption-Base'!$C$3:$C$32,'Assumption-Base'!$A$3:$A$32,$B346,'Assumption-Base'!$B$3:$B$32,$C346)</f>
        <v>0.12</v>
      </c>
      <c r="F346" s="19">
        <f t="shared" si="35"/>
        <v>10580372.8912</v>
      </c>
      <c r="G346" s="98">
        <f>SUMIFS('Assumption-Base'!$D$3:$D$32,'Assumption-Base'!$A$3:$A$32,$B346,'Assumption-Base'!$B$3:$B$32,$C346)</f>
        <v>3.0000000000000001E-3</v>
      </c>
      <c r="H346" s="99">
        <f t="shared" si="36"/>
        <v>31741.118673600002</v>
      </c>
      <c r="I346" s="97">
        <f>SUMIFS('Assumption-Base'!$E$3:$E$32,'Assumption-Base'!$A$3:$A$32,$B346,'Assumption-Base'!$B$3:$B$32,$C346)</f>
        <v>0.18</v>
      </c>
      <c r="J346" s="19">
        <f t="shared" si="37"/>
        <v>5713.4013612480003</v>
      </c>
      <c r="K346" s="100">
        <f>SUMIFS('Assumption-Base'!$F$3:$F$32,'Assumption-Base'!$A$3:$A$32,$B346,'Assumption-Base'!$B$3:$B$32,$C346)</f>
        <v>1.8000000000000001E-4</v>
      </c>
      <c r="L346" s="19">
        <f t="shared" si="38"/>
        <v>1904.4671204160002</v>
      </c>
      <c r="M346" s="99">
        <f t="shared" si="39"/>
        <v>24123.250191936</v>
      </c>
      <c r="N346" s="97">
        <f>SUMIFS('Assumption-Base'!$G$3:$G$32,'Assumption-Base'!$A$3:$A$32,$B346,'Assumption-Base'!$B$3:$B$32,$C346)</f>
        <v>0.4</v>
      </c>
      <c r="O346" s="19">
        <f t="shared" si="40"/>
        <v>12696.447469440001</v>
      </c>
      <c r="P346" s="99">
        <f t="shared" si="41"/>
        <v>11426.802722495999</v>
      </c>
    </row>
    <row r="347" spans="1:16" x14ac:dyDescent="0.35">
      <c r="A347" s="96" t="str">
        <f>LEFT('2025 actual v budget'!A347,4)&amp;"26"</f>
        <v>Dec-26</v>
      </c>
      <c r="B347" s="17" t="str">
        <f>'2025 actual v budget'!B347</f>
        <v>India</v>
      </c>
      <c r="C347" s="17" t="str">
        <f>'2025 actual v budget'!C347</f>
        <v>Virtual Accounts</v>
      </c>
      <c r="D347" s="19">
        <f>'2025 actual v budget'!D347</f>
        <v>14479509.689999999</v>
      </c>
      <c r="E347" s="97">
        <f>SUMIFS('Assumption-Base'!$C$3:$C$32,'Assumption-Base'!$A$3:$A$32,$B347,'Assumption-Base'!$B$3:$B$32,$C347)</f>
        <v>0.12</v>
      </c>
      <c r="F347" s="19">
        <f t="shared" si="35"/>
        <v>16217050.8528</v>
      </c>
      <c r="G347" s="98">
        <f>SUMIFS('Assumption-Base'!$D$3:$D$32,'Assumption-Base'!$A$3:$A$32,$B347,'Assumption-Base'!$B$3:$B$32,$C347)</f>
        <v>4.4999999999999997E-3</v>
      </c>
      <c r="H347" s="99">
        <f t="shared" si="36"/>
        <v>72976.728837599992</v>
      </c>
      <c r="I347" s="97">
        <f>SUMIFS('Assumption-Base'!$E$3:$E$32,'Assumption-Base'!$A$3:$A$32,$B347,'Assumption-Base'!$B$3:$B$32,$C347)</f>
        <v>0.22</v>
      </c>
      <c r="J347" s="19">
        <f t="shared" si="37"/>
        <v>16054.880344271998</v>
      </c>
      <c r="K347" s="100">
        <f>SUMIFS('Assumption-Base'!$F$3:$F$32,'Assumption-Base'!$A$3:$A$32,$B347,'Assumption-Base'!$B$3:$B$32,$C347)</f>
        <v>1.8000000000000001E-4</v>
      </c>
      <c r="L347" s="19">
        <f t="shared" si="38"/>
        <v>2919.069153504</v>
      </c>
      <c r="M347" s="99">
        <f t="shared" si="39"/>
        <v>54002.779339823996</v>
      </c>
      <c r="N347" s="97">
        <f>SUMIFS('Assumption-Base'!$G$3:$G$32,'Assumption-Base'!$A$3:$A$32,$B347,'Assumption-Base'!$B$3:$B$32,$C347)</f>
        <v>0.4</v>
      </c>
      <c r="O347" s="19">
        <f t="shared" si="40"/>
        <v>29190.691535039998</v>
      </c>
      <c r="P347" s="99">
        <f t="shared" si="41"/>
        <v>24812.087804783998</v>
      </c>
    </row>
    <row r="348" spans="1:16" x14ac:dyDescent="0.35">
      <c r="A348" s="96" t="str">
        <f>LEFT('2025 actual v budget'!A348,4)&amp;"26"</f>
        <v>Dec-26</v>
      </c>
      <c r="B348" s="17" t="str">
        <f>'2025 actual v budget'!B348</f>
        <v>Mexico</v>
      </c>
      <c r="C348" s="17" t="str">
        <f>'2025 actual v budget'!C348</f>
        <v>Cross-border Payouts</v>
      </c>
      <c r="D348" s="19">
        <f>'2025 actual v budget'!D348</f>
        <v>17224706.100000001</v>
      </c>
      <c r="E348" s="97">
        <f>SUMIFS('Assumption-Base'!$C$3:$C$32,'Assumption-Base'!$A$3:$A$32,$B348,'Assumption-Base'!$B$3:$B$32,$C348)</f>
        <v>0.15</v>
      </c>
      <c r="F348" s="19">
        <f t="shared" si="35"/>
        <v>19808412.015000001</v>
      </c>
      <c r="G348" s="98">
        <f>SUMIFS('Assumption-Base'!$D$3:$D$32,'Assumption-Base'!$A$3:$A$32,$B348,'Assumption-Base'!$B$3:$B$32,$C348)</f>
        <v>7.4999999999999997E-3</v>
      </c>
      <c r="H348" s="99">
        <f t="shared" si="36"/>
        <v>148563.09011250001</v>
      </c>
      <c r="I348" s="97">
        <f>SUMIFS('Assumption-Base'!$E$3:$E$32,'Assumption-Base'!$A$3:$A$32,$B348,'Assumption-Base'!$B$3:$B$32,$C348)</f>
        <v>0.35</v>
      </c>
      <c r="J348" s="19">
        <f t="shared" si="37"/>
        <v>51997.081539375002</v>
      </c>
      <c r="K348" s="100">
        <f>SUMIFS('Assumption-Base'!$F$3:$F$32,'Assumption-Base'!$A$3:$A$32,$B348,'Assumption-Base'!$B$3:$B$32,$C348)</f>
        <v>8.0000000000000007E-5</v>
      </c>
      <c r="L348" s="19">
        <f t="shared" si="38"/>
        <v>1584.6729612000001</v>
      </c>
      <c r="M348" s="99">
        <f t="shared" si="39"/>
        <v>94981.335611924995</v>
      </c>
      <c r="N348" s="97">
        <f>SUMIFS('Assumption-Base'!$G$3:$G$32,'Assumption-Base'!$A$3:$A$32,$B348,'Assumption-Base'!$B$3:$B$32,$C348)</f>
        <v>0.4</v>
      </c>
      <c r="O348" s="19">
        <f t="shared" si="40"/>
        <v>59425.236045000005</v>
      </c>
      <c r="P348" s="99">
        <f t="shared" si="41"/>
        <v>35556.09956692499</v>
      </c>
    </row>
    <row r="349" spans="1:16" x14ac:dyDescent="0.35">
      <c r="A349" s="96" t="str">
        <f>LEFT('2025 actual v budget'!A349,4)&amp;"26"</f>
        <v>Dec-26</v>
      </c>
      <c r="B349" s="17" t="str">
        <f>'2025 actual v budget'!B349</f>
        <v>Mexico</v>
      </c>
      <c r="C349" s="17" t="str">
        <f>'2025 actual v budget'!C349</f>
        <v>FX Conversion</v>
      </c>
      <c r="D349" s="19">
        <f>'2025 actual v budget'!D349</f>
        <v>25910855.989999998</v>
      </c>
      <c r="E349" s="97">
        <f>SUMIFS('Assumption-Base'!$C$3:$C$32,'Assumption-Base'!$A$3:$A$32,$B349,'Assumption-Base'!$B$3:$B$32,$C349)</f>
        <v>0.15</v>
      </c>
      <c r="F349" s="19">
        <f t="shared" si="35"/>
        <v>29797484.388499998</v>
      </c>
      <c r="G349" s="98">
        <f>SUMIFS('Assumption-Base'!$D$3:$D$32,'Assumption-Base'!$A$3:$A$32,$B349,'Assumption-Base'!$B$3:$B$32,$C349)</f>
        <v>1.0500000000000001E-2</v>
      </c>
      <c r="H349" s="99">
        <f t="shared" si="36"/>
        <v>312873.58607924997</v>
      </c>
      <c r="I349" s="97">
        <f>SUMIFS('Assumption-Base'!$E$3:$E$32,'Assumption-Base'!$A$3:$A$32,$B349,'Assumption-Base'!$B$3:$B$32,$C349)</f>
        <v>0.28000000000000003</v>
      </c>
      <c r="J349" s="19">
        <f t="shared" si="37"/>
        <v>87604.604102190002</v>
      </c>
      <c r="K349" s="100">
        <f>SUMIFS('Assumption-Base'!$F$3:$F$32,'Assumption-Base'!$A$3:$A$32,$B349,'Assumption-Base'!$B$3:$B$32,$C349)</f>
        <v>8.0000000000000007E-5</v>
      </c>
      <c r="L349" s="19">
        <f t="shared" si="38"/>
        <v>2383.7987510799999</v>
      </c>
      <c r="M349" s="99">
        <f t="shared" si="39"/>
        <v>222885.18322597997</v>
      </c>
      <c r="N349" s="97">
        <f>SUMIFS('Assumption-Base'!$G$3:$G$32,'Assumption-Base'!$A$3:$A$32,$B349,'Assumption-Base'!$B$3:$B$32,$C349)</f>
        <v>0.4</v>
      </c>
      <c r="O349" s="19">
        <f t="shared" si="40"/>
        <v>125149.43443169999</v>
      </c>
      <c r="P349" s="99">
        <f t="shared" si="41"/>
        <v>97735.748794279978</v>
      </c>
    </row>
    <row r="350" spans="1:16" x14ac:dyDescent="0.35">
      <c r="A350" s="96" t="str">
        <f>LEFT('2025 actual v budget'!A350,4)&amp;"26"</f>
        <v>Dec-26</v>
      </c>
      <c r="B350" s="17" t="str">
        <f>'2025 actual v budget'!B350</f>
        <v>Mexico</v>
      </c>
      <c r="C350" s="17" t="str">
        <f>'2025 actual v budget'!C350</f>
        <v>Stablecoin Settlement</v>
      </c>
      <c r="D350" s="19">
        <f>'2025 actual v budget'!D350</f>
        <v>42135694.579999998</v>
      </c>
      <c r="E350" s="97">
        <f>SUMIFS('Assumption-Base'!$C$3:$C$32,'Assumption-Base'!$A$3:$A$32,$B350,'Assumption-Base'!$B$3:$B$32,$C350)</f>
        <v>0.3</v>
      </c>
      <c r="F350" s="19">
        <f t="shared" si="35"/>
        <v>54776402.953999996</v>
      </c>
      <c r="G350" s="98">
        <f>SUMIFS('Assumption-Base'!$D$3:$D$32,'Assumption-Base'!$A$3:$A$32,$B350,'Assumption-Base'!$B$3:$B$32,$C350)</f>
        <v>6.4999999999999997E-3</v>
      </c>
      <c r="H350" s="99">
        <f t="shared" si="36"/>
        <v>356046.61920099996</v>
      </c>
      <c r="I350" s="97">
        <f>SUMIFS('Assumption-Base'!$E$3:$E$32,'Assumption-Base'!$A$3:$A$32,$B350,'Assumption-Base'!$B$3:$B$32,$C350)</f>
        <v>0.32</v>
      </c>
      <c r="J350" s="19">
        <f t="shared" si="37"/>
        <v>113934.91814431999</v>
      </c>
      <c r="K350" s="100">
        <f>SUMIFS('Assumption-Base'!$F$3:$F$32,'Assumption-Base'!$A$3:$A$32,$B350,'Assumption-Base'!$B$3:$B$32,$C350)</f>
        <v>8.0000000000000007E-5</v>
      </c>
      <c r="L350" s="19">
        <f t="shared" si="38"/>
        <v>4382.1122363200002</v>
      </c>
      <c r="M350" s="99">
        <f t="shared" si="39"/>
        <v>237729.58882035996</v>
      </c>
      <c r="N350" s="97">
        <f>SUMIFS('Assumption-Base'!$G$3:$G$32,'Assumption-Base'!$A$3:$A$32,$B350,'Assumption-Base'!$B$3:$B$32,$C350)</f>
        <v>0.4</v>
      </c>
      <c r="O350" s="19">
        <f t="shared" si="40"/>
        <v>142418.6476804</v>
      </c>
      <c r="P350" s="99">
        <f t="shared" si="41"/>
        <v>95310.941139959963</v>
      </c>
    </row>
    <row r="351" spans="1:16" x14ac:dyDescent="0.35">
      <c r="A351" s="96" t="str">
        <f>LEFT('2025 actual v budget'!A351,4)&amp;"26"</f>
        <v>Dec-26</v>
      </c>
      <c r="B351" s="17" t="str">
        <f>'2025 actual v budget'!B351</f>
        <v>Mexico</v>
      </c>
      <c r="C351" s="17" t="str">
        <f>'2025 actual v budget'!C351</f>
        <v>Treasury Yield</v>
      </c>
      <c r="D351" s="19">
        <f>'2025 actual v budget'!D351</f>
        <v>10966227.67</v>
      </c>
      <c r="E351" s="97">
        <f>SUMIFS('Assumption-Base'!$C$3:$C$32,'Assumption-Base'!$A$3:$A$32,$B351,'Assumption-Base'!$B$3:$B$32,$C351)</f>
        <v>0.15</v>
      </c>
      <c r="F351" s="19">
        <f t="shared" si="35"/>
        <v>12611161.820499999</v>
      </c>
      <c r="G351" s="98">
        <f>SUMIFS('Assumption-Base'!$D$3:$D$32,'Assumption-Base'!$A$3:$A$32,$B351,'Assumption-Base'!$B$3:$B$32,$C351)</f>
        <v>3.0000000000000001E-3</v>
      </c>
      <c r="H351" s="99">
        <f t="shared" si="36"/>
        <v>37833.4854615</v>
      </c>
      <c r="I351" s="97">
        <f>SUMIFS('Assumption-Base'!$E$3:$E$32,'Assumption-Base'!$A$3:$A$32,$B351,'Assumption-Base'!$B$3:$B$32,$C351)</f>
        <v>0.18</v>
      </c>
      <c r="J351" s="19">
        <f t="shared" si="37"/>
        <v>6810.0273830699998</v>
      </c>
      <c r="K351" s="100">
        <f>SUMIFS('Assumption-Base'!$F$3:$F$32,'Assumption-Base'!$A$3:$A$32,$B351,'Assumption-Base'!$B$3:$B$32,$C351)</f>
        <v>8.0000000000000007E-5</v>
      </c>
      <c r="L351" s="19">
        <f t="shared" si="38"/>
        <v>1008.89294564</v>
      </c>
      <c r="M351" s="99">
        <f t="shared" si="39"/>
        <v>30014.565132790001</v>
      </c>
      <c r="N351" s="97">
        <f>SUMIFS('Assumption-Base'!$G$3:$G$32,'Assumption-Base'!$A$3:$A$32,$B351,'Assumption-Base'!$B$3:$B$32,$C351)</f>
        <v>0.4</v>
      </c>
      <c r="O351" s="19">
        <f t="shared" si="40"/>
        <v>15133.394184600002</v>
      </c>
      <c r="P351" s="99">
        <f t="shared" si="41"/>
        <v>14881.17094819</v>
      </c>
    </row>
    <row r="352" spans="1:16" x14ac:dyDescent="0.35">
      <c r="A352" s="96" t="str">
        <f>LEFT('2025 actual v budget'!A352,4)&amp;"26"</f>
        <v>Dec-26</v>
      </c>
      <c r="B352" s="17" t="str">
        <f>'2025 actual v budget'!B352</f>
        <v>Mexico</v>
      </c>
      <c r="C352" s="17" t="str">
        <f>'2025 actual v budget'!C352</f>
        <v>Virtual Accounts</v>
      </c>
      <c r="D352" s="19">
        <f>'2025 actual v budget'!D352</f>
        <v>16808469.199999999</v>
      </c>
      <c r="E352" s="97">
        <f>SUMIFS('Assumption-Base'!$C$3:$C$32,'Assumption-Base'!$A$3:$A$32,$B352,'Assumption-Base'!$B$3:$B$32,$C352)</f>
        <v>0.15</v>
      </c>
      <c r="F352" s="19">
        <f t="shared" si="35"/>
        <v>19329739.579999998</v>
      </c>
      <c r="G352" s="98">
        <f>SUMIFS('Assumption-Base'!$D$3:$D$32,'Assumption-Base'!$A$3:$A$32,$B352,'Assumption-Base'!$B$3:$B$32,$C352)</f>
        <v>4.4999999999999997E-3</v>
      </c>
      <c r="H352" s="99">
        <f t="shared" si="36"/>
        <v>86983.828109999988</v>
      </c>
      <c r="I352" s="97">
        <f>SUMIFS('Assumption-Base'!$E$3:$E$32,'Assumption-Base'!$A$3:$A$32,$B352,'Assumption-Base'!$B$3:$B$32,$C352)</f>
        <v>0.22</v>
      </c>
      <c r="J352" s="19">
        <f t="shared" si="37"/>
        <v>19136.442184199997</v>
      </c>
      <c r="K352" s="100">
        <f>SUMIFS('Assumption-Base'!$F$3:$F$32,'Assumption-Base'!$A$3:$A$32,$B352,'Assumption-Base'!$B$3:$B$32,$C352)</f>
        <v>8.0000000000000007E-5</v>
      </c>
      <c r="L352" s="19">
        <f t="shared" si="38"/>
        <v>1546.3791664</v>
      </c>
      <c r="M352" s="99">
        <f t="shared" si="39"/>
        <v>66301.006759399985</v>
      </c>
      <c r="N352" s="97">
        <f>SUMIFS('Assumption-Base'!$G$3:$G$32,'Assumption-Base'!$A$3:$A$32,$B352,'Assumption-Base'!$B$3:$B$32,$C352)</f>
        <v>0.4</v>
      </c>
      <c r="O352" s="19">
        <f t="shared" si="40"/>
        <v>34793.531243999998</v>
      </c>
      <c r="P352" s="99">
        <f t="shared" si="41"/>
        <v>31507.475515399987</v>
      </c>
    </row>
    <row r="353" spans="1:16" x14ac:dyDescent="0.35">
      <c r="A353" s="96" t="str">
        <f>LEFT('2025 actual v budget'!A353,4)&amp;"26"</f>
        <v>Dec-26</v>
      </c>
      <c r="B353" s="17" t="str">
        <f>'2025 actual v budget'!B353</f>
        <v>Singapore</v>
      </c>
      <c r="C353" s="17" t="str">
        <f>'2025 actual v budget'!C353</f>
        <v>Cross-border Payouts</v>
      </c>
      <c r="D353" s="19">
        <f>'2025 actual v budget'!D353</f>
        <v>12870217.01</v>
      </c>
      <c r="E353" s="97">
        <f>SUMIFS('Assumption-Base'!$C$3:$C$32,'Assumption-Base'!$A$3:$A$32,$B353,'Assumption-Base'!$B$3:$B$32,$C353)</f>
        <v>0.05</v>
      </c>
      <c r="F353" s="19">
        <f t="shared" si="35"/>
        <v>13513727.8605</v>
      </c>
      <c r="G353" s="98">
        <f>SUMIFS('Assumption-Base'!$D$3:$D$32,'Assumption-Base'!$A$3:$A$32,$B353,'Assumption-Base'!$B$3:$B$32,$C353)</f>
        <v>7.4999999999999997E-3</v>
      </c>
      <c r="H353" s="99">
        <f t="shared" si="36"/>
        <v>101352.95895375</v>
      </c>
      <c r="I353" s="97">
        <f>SUMIFS('Assumption-Base'!$E$3:$E$32,'Assumption-Base'!$A$3:$A$32,$B353,'Assumption-Base'!$B$3:$B$32,$C353)</f>
        <v>0.35</v>
      </c>
      <c r="J353" s="19">
        <f t="shared" si="37"/>
        <v>35473.535633812498</v>
      </c>
      <c r="K353" s="100">
        <f>SUMIFS('Assumption-Base'!$F$3:$F$32,'Assumption-Base'!$A$3:$A$32,$B353,'Assumption-Base'!$B$3:$B$32,$C353)</f>
        <v>9.0000000000000006E-5</v>
      </c>
      <c r="L353" s="19">
        <f t="shared" si="38"/>
        <v>1216.2355074450002</v>
      </c>
      <c r="M353" s="99">
        <f t="shared" si="39"/>
        <v>64663.187812492499</v>
      </c>
      <c r="N353" s="97">
        <f>SUMIFS('Assumption-Base'!$G$3:$G$32,'Assumption-Base'!$A$3:$A$32,$B353,'Assumption-Base'!$B$3:$B$32,$C353)</f>
        <v>0.4</v>
      </c>
      <c r="O353" s="19">
        <f t="shared" si="40"/>
        <v>40541.183581500001</v>
      </c>
      <c r="P353" s="99">
        <f t="shared" si="41"/>
        <v>24122.004230992497</v>
      </c>
    </row>
    <row r="354" spans="1:16" x14ac:dyDescent="0.35">
      <c r="A354" s="96" t="str">
        <f>LEFT('2025 actual v budget'!A354,4)&amp;"26"</f>
        <v>Dec-26</v>
      </c>
      <c r="B354" s="17" t="str">
        <f>'2025 actual v budget'!B354</f>
        <v>Singapore</v>
      </c>
      <c r="C354" s="17" t="str">
        <f>'2025 actual v budget'!C354</f>
        <v>FX Conversion</v>
      </c>
      <c r="D354" s="19">
        <f>'2025 actual v budget'!D354</f>
        <v>19346255.210000001</v>
      </c>
      <c r="E354" s="97">
        <f>SUMIFS('Assumption-Base'!$C$3:$C$32,'Assumption-Base'!$A$3:$A$32,$B354,'Assumption-Base'!$B$3:$B$32,$C354)</f>
        <v>0.05</v>
      </c>
      <c r="F354" s="19">
        <f t="shared" si="35"/>
        <v>20313567.970500004</v>
      </c>
      <c r="G354" s="98">
        <f>SUMIFS('Assumption-Base'!$D$3:$D$32,'Assumption-Base'!$A$3:$A$32,$B354,'Assumption-Base'!$B$3:$B$32,$C354)</f>
        <v>1.0500000000000001E-2</v>
      </c>
      <c r="H354" s="99">
        <f t="shared" si="36"/>
        <v>213292.46369025006</v>
      </c>
      <c r="I354" s="97">
        <f>SUMIFS('Assumption-Base'!$E$3:$E$32,'Assumption-Base'!$A$3:$A$32,$B354,'Assumption-Base'!$B$3:$B$32,$C354)</f>
        <v>0.28000000000000003</v>
      </c>
      <c r="J354" s="19">
        <f t="shared" si="37"/>
        <v>59721.889833270026</v>
      </c>
      <c r="K354" s="100">
        <f>SUMIFS('Assumption-Base'!$F$3:$F$32,'Assumption-Base'!$A$3:$A$32,$B354,'Assumption-Base'!$B$3:$B$32,$C354)</f>
        <v>9.0000000000000006E-5</v>
      </c>
      <c r="L354" s="19">
        <f t="shared" si="38"/>
        <v>1828.2211173450005</v>
      </c>
      <c r="M354" s="99">
        <f t="shared" si="39"/>
        <v>151742.35273963504</v>
      </c>
      <c r="N354" s="97">
        <f>SUMIFS('Assumption-Base'!$G$3:$G$32,'Assumption-Base'!$A$3:$A$32,$B354,'Assumption-Base'!$B$3:$B$32,$C354)</f>
        <v>0.4</v>
      </c>
      <c r="O354" s="19">
        <f t="shared" si="40"/>
        <v>85316.985476100032</v>
      </c>
      <c r="P354" s="99">
        <f t="shared" si="41"/>
        <v>66425.367263535009</v>
      </c>
    </row>
    <row r="355" spans="1:16" x14ac:dyDescent="0.35">
      <c r="A355" s="96" t="str">
        <f>LEFT('2025 actual v budget'!A355,4)&amp;"26"</f>
        <v>Dec-26</v>
      </c>
      <c r="B355" s="17" t="str">
        <f>'2025 actual v budget'!B355</f>
        <v>Singapore</v>
      </c>
      <c r="C355" s="17" t="str">
        <f>'2025 actual v budget'!C355</f>
        <v>Stablecoin Settlement</v>
      </c>
      <c r="D355" s="19">
        <f>'2025 actual v budget'!D355</f>
        <v>31483587</v>
      </c>
      <c r="E355" s="97">
        <f>SUMIFS('Assumption-Base'!$C$3:$C$32,'Assumption-Base'!$A$3:$A$32,$B355,'Assumption-Base'!$B$3:$B$32,$C355)</f>
        <v>0.1</v>
      </c>
      <c r="F355" s="19">
        <f t="shared" si="35"/>
        <v>34631945.700000003</v>
      </c>
      <c r="G355" s="98">
        <f>SUMIFS('Assumption-Base'!$D$3:$D$32,'Assumption-Base'!$A$3:$A$32,$B355,'Assumption-Base'!$B$3:$B$32,$C355)</f>
        <v>6.4999999999999997E-3</v>
      </c>
      <c r="H355" s="99">
        <f t="shared" si="36"/>
        <v>225107.64705</v>
      </c>
      <c r="I355" s="97">
        <f>SUMIFS('Assumption-Base'!$E$3:$E$32,'Assumption-Base'!$A$3:$A$32,$B355,'Assumption-Base'!$B$3:$B$32,$C355)</f>
        <v>0.32</v>
      </c>
      <c r="J355" s="19">
        <f t="shared" si="37"/>
        <v>72034.447056000005</v>
      </c>
      <c r="K355" s="100">
        <f>SUMIFS('Assumption-Base'!$F$3:$F$32,'Assumption-Base'!$A$3:$A$32,$B355,'Assumption-Base'!$B$3:$B$32,$C355)</f>
        <v>9.0000000000000006E-5</v>
      </c>
      <c r="L355" s="19">
        <f t="shared" si="38"/>
        <v>3116.8751130000005</v>
      </c>
      <c r="M355" s="99">
        <f t="shared" si="39"/>
        <v>149956.32488100001</v>
      </c>
      <c r="N355" s="97">
        <f>SUMIFS('Assumption-Base'!$G$3:$G$32,'Assumption-Base'!$A$3:$A$32,$B355,'Assumption-Base'!$B$3:$B$32,$C355)</f>
        <v>0.4</v>
      </c>
      <c r="O355" s="19">
        <f t="shared" si="40"/>
        <v>90043.058820000006</v>
      </c>
      <c r="P355" s="99">
        <f t="shared" si="41"/>
        <v>59913.266061000002</v>
      </c>
    </row>
    <row r="356" spans="1:16" x14ac:dyDescent="0.35">
      <c r="A356" s="96" t="str">
        <f>LEFT('2025 actual v budget'!A356,4)&amp;"26"</f>
        <v>Dec-26</v>
      </c>
      <c r="B356" s="17" t="str">
        <f>'2025 actual v budget'!B356</f>
        <v>Singapore</v>
      </c>
      <c r="C356" s="17" t="str">
        <f>'2025 actual v budget'!C356</f>
        <v>Treasury Yield</v>
      </c>
      <c r="D356" s="19">
        <f>'2025 actual v budget'!D356</f>
        <v>8187897.7400000002</v>
      </c>
      <c r="E356" s="97">
        <f>SUMIFS('Assumption-Base'!$C$3:$C$32,'Assumption-Base'!$A$3:$A$32,$B356,'Assumption-Base'!$B$3:$B$32,$C356)</f>
        <v>0.05</v>
      </c>
      <c r="F356" s="19">
        <f t="shared" si="35"/>
        <v>8597292.6270000003</v>
      </c>
      <c r="G356" s="98">
        <f>SUMIFS('Assumption-Base'!$D$3:$D$32,'Assumption-Base'!$A$3:$A$32,$B356,'Assumption-Base'!$B$3:$B$32,$C356)</f>
        <v>3.0000000000000001E-3</v>
      </c>
      <c r="H356" s="99">
        <f t="shared" si="36"/>
        <v>25791.877881</v>
      </c>
      <c r="I356" s="97">
        <f>SUMIFS('Assumption-Base'!$E$3:$E$32,'Assumption-Base'!$A$3:$A$32,$B356,'Assumption-Base'!$B$3:$B$32,$C356)</f>
        <v>0.18</v>
      </c>
      <c r="J356" s="19">
        <f t="shared" si="37"/>
        <v>4642.5380185799995</v>
      </c>
      <c r="K356" s="100">
        <f>SUMIFS('Assumption-Base'!$F$3:$F$32,'Assumption-Base'!$A$3:$A$32,$B356,'Assumption-Base'!$B$3:$B$32,$C356)</f>
        <v>9.0000000000000006E-5</v>
      </c>
      <c r="L356" s="19">
        <f t="shared" si="38"/>
        <v>773.75633643000003</v>
      </c>
      <c r="M356" s="99">
        <f t="shared" si="39"/>
        <v>20375.583525990001</v>
      </c>
      <c r="N356" s="97">
        <f>SUMIFS('Assumption-Base'!$G$3:$G$32,'Assumption-Base'!$A$3:$A$32,$B356,'Assumption-Base'!$B$3:$B$32,$C356)</f>
        <v>0.4</v>
      </c>
      <c r="O356" s="19">
        <f t="shared" si="40"/>
        <v>10316.7511524</v>
      </c>
      <c r="P356" s="99">
        <f t="shared" si="41"/>
        <v>10058.832373590001</v>
      </c>
    </row>
    <row r="357" spans="1:16" x14ac:dyDescent="0.35">
      <c r="A357" s="96" t="str">
        <f>LEFT('2025 actual v budget'!A357,4)&amp;"26"</f>
        <v>Dec-26</v>
      </c>
      <c r="B357" s="17" t="str">
        <f>'2025 actual v budget'!B357</f>
        <v>Singapore</v>
      </c>
      <c r="C357" s="17" t="str">
        <f>'2025 actual v budget'!C357</f>
        <v>Virtual Accounts</v>
      </c>
      <c r="D357" s="19">
        <f>'2025 actual v budget'!D357</f>
        <v>12549988.119999999</v>
      </c>
      <c r="E357" s="97">
        <f>SUMIFS('Assumption-Base'!$C$3:$C$32,'Assumption-Base'!$A$3:$A$32,$B357,'Assumption-Base'!$B$3:$B$32,$C357)</f>
        <v>0.05</v>
      </c>
      <c r="F357" s="19">
        <f t="shared" si="35"/>
        <v>13177487.526000001</v>
      </c>
      <c r="G357" s="98">
        <f>SUMIFS('Assumption-Base'!$D$3:$D$32,'Assumption-Base'!$A$3:$A$32,$B357,'Assumption-Base'!$B$3:$B$32,$C357)</f>
        <v>4.4999999999999997E-3</v>
      </c>
      <c r="H357" s="99">
        <f t="shared" si="36"/>
        <v>59298.693866999994</v>
      </c>
      <c r="I357" s="97">
        <f>SUMIFS('Assumption-Base'!$E$3:$E$32,'Assumption-Base'!$A$3:$A$32,$B357,'Assumption-Base'!$B$3:$B$32,$C357)</f>
        <v>0.22</v>
      </c>
      <c r="J357" s="19">
        <f t="shared" si="37"/>
        <v>13045.712650739999</v>
      </c>
      <c r="K357" s="100">
        <f>SUMIFS('Assumption-Base'!$F$3:$F$32,'Assumption-Base'!$A$3:$A$32,$B357,'Assumption-Base'!$B$3:$B$32,$C357)</f>
        <v>9.0000000000000006E-5</v>
      </c>
      <c r="L357" s="19">
        <f t="shared" si="38"/>
        <v>1185.9738773400002</v>
      </c>
      <c r="M357" s="99">
        <f t="shared" si="39"/>
        <v>45067.007338919997</v>
      </c>
      <c r="N357" s="97">
        <f>SUMIFS('Assumption-Base'!$G$3:$G$32,'Assumption-Base'!$A$3:$A$32,$B357,'Assumption-Base'!$B$3:$B$32,$C357)</f>
        <v>0.4</v>
      </c>
      <c r="O357" s="19">
        <f t="shared" si="40"/>
        <v>23719.477546800001</v>
      </c>
      <c r="P357" s="99">
        <f t="shared" si="41"/>
        <v>21347.529792119996</v>
      </c>
    </row>
    <row r="358" spans="1:16" x14ac:dyDescent="0.35">
      <c r="A358" s="96" t="str">
        <f>LEFT('2025 actual v budget'!A358,4)&amp;"26"</f>
        <v>Dec-26</v>
      </c>
      <c r="B358" s="17" t="str">
        <f>'2025 actual v budget'!B358</f>
        <v>USA</v>
      </c>
      <c r="C358" s="17" t="str">
        <f>'2025 actual v budget'!C358</f>
        <v>Cross-border Payouts</v>
      </c>
      <c r="D358" s="19">
        <f>'2025 actual v budget'!D358</f>
        <v>30537333.510000002</v>
      </c>
      <c r="E358" s="97">
        <f>SUMIFS('Assumption-Base'!$C$3:$C$32,'Assumption-Base'!$A$3:$A$32,$B358,'Assumption-Base'!$B$3:$B$32,$C358)</f>
        <v>0.1</v>
      </c>
      <c r="F358" s="19">
        <f t="shared" si="35"/>
        <v>33591066.861000001</v>
      </c>
      <c r="G358" s="98">
        <f>SUMIFS('Assumption-Base'!$D$3:$D$32,'Assumption-Base'!$A$3:$A$32,$B358,'Assumption-Base'!$B$3:$B$32,$C358)</f>
        <v>7.4999999999999997E-3</v>
      </c>
      <c r="H358" s="99">
        <f t="shared" si="36"/>
        <v>251933.00145750001</v>
      </c>
      <c r="I358" s="97">
        <f>SUMIFS('Assumption-Base'!$E$3:$E$32,'Assumption-Base'!$A$3:$A$32,$B358,'Assumption-Base'!$B$3:$B$32,$C358)</f>
        <v>0.35</v>
      </c>
      <c r="J358" s="19">
        <f t="shared" si="37"/>
        <v>88176.550510125002</v>
      </c>
      <c r="K358" s="100">
        <f>SUMIFS('Assumption-Base'!$F$3:$F$32,'Assumption-Base'!$A$3:$A$32,$B358,'Assumption-Base'!$B$3:$B$32,$C358)</f>
        <v>2.0000000000000001E-4</v>
      </c>
      <c r="L358" s="19">
        <f t="shared" si="38"/>
        <v>6718.2133722000008</v>
      </c>
      <c r="M358" s="99">
        <f t="shared" si="39"/>
        <v>157038.23757517501</v>
      </c>
      <c r="N358" s="97">
        <f>SUMIFS('Assumption-Base'!$G$3:$G$32,'Assumption-Base'!$A$3:$A$32,$B358,'Assumption-Base'!$B$3:$B$32,$C358)</f>
        <v>0.4</v>
      </c>
      <c r="O358" s="19">
        <f t="shared" si="40"/>
        <v>100773.20058300001</v>
      </c>
      <c r="P358" s="99">
        <f t="shared" si="41"/>
        <v>56265.036992174995</v>
      </c>
    </row>
    <row r="359" spans="1:16" x14ac:dyDescent="0.35">
      <c r="A359" s="96" t="str">
        <f>LEFT('2025 actual v budget'!A359,4)&amp;"26"</f>
        <v>Dec-26</v>
      </c>
      <c r="B359" s="17" t="str">
        <f>'2025 actual v budget'!B359</f>
        <v>USA</v>
      </c>
      <c r="C359" s="17" t="str">
        <f>'2025 actual v budget'!C359</f>
        <v>FX Conversion</v>
      </c>
      <c r="D359" s="19">
        <f>'2025 actual v budget'!D359</f>
        <v>45891666.25</v>
      </c>
      <c r="E359" s="97">
        <f>SUMIFS('Assumption-Base'!$C$3:$C$32,'Assumption-Base'!$A$3:$A$32,$B359,'Assumption-Base'!$B$3:$B$32,$C359)</f>
        <v>0.1</v>
      </c>
      <c r="F359" s="19">
        <f t="shared" si="35"/>
        <v>50480832.875000007</v>
      </c>
      <c r="G359" s="98">
        <f>SUMIFS('Assumption-Base'!$D$3:$D$32,'Assumption-Base'!$A$3:$A$32,$B359,'Assumption-Base'!$B$3:$B$32,$C359)</f>
        <v>1.0500000000000001E-2</v>
      </c>
      <c r="H359" s="99">
        <f t="shared" si="36"/>
        <v>530048.74518750014</v>
      </c>
      <c r="I359" s="97">
        <f>SUMIFS('Assumption-Base'!$E$3:$E$32,'Assumption-Base'!$A$3:$A$32,$B359,'Assumption-Base'!$B$3:$B$32,$C359)</f>
        <v>0.28000000000000003</v>
      </c>
      <c r="J359" s="19">
        <f t="shared" si="37"/>
        <v>148413.64865250007</v>
      </c>
      <c r="K359" s="100">
        <f>SUMIFS('Assumption-Base'!$F$3:$F$32,'Assumption-Base'!$A$3:$A$32,$B359,'Assumption-Base'!$B$3:$B$32,$C359)</f>
        <v>2.0000000000000001E-4</v>
      </c>
      <c r="L359" s="19">
        <f t="shared" si="38"/>
        <v>10096.166575000001</v>
      </c>
      <c r="M359" s="99">
        <f t="shared" si="39"/>
        <v>371538.9299600001</v>
      </c>
      <c r="N359" s="97">
        <f>SUMIFS('Assumption-Base'!$G$3:$G$32,'Assumption-Base'!$A$3:$A$32,$B359,'Assumption-Base'!$B$3:$B$32,$C359)</f>
        <v>0.4</v>
      </c>
      <c r="O359" s="19">
        <f t="shared" si="40"/>
        <v>212019.49807500007</v>
      </c>
      <c r="P359" s="99">
        <f t="shared" si="41"/>
        <v>159519.43188500003</v>
      </c>
    </row>
    <row r="360" spans="1:16" x14ac:dyDescent="0.35">
      <c r="A360" s="96" t="str">
        <f>LEFT('2025 actual v budget'!A360,4)&amp;"26"</f>
        <v>Dec-26</v>
      </c>
      <c r="B360" s="17" t="str">
        <f>'2025 actual v budget'!B360</f>
        <v>USA</v>
      </c>
      <c r="C360" s="17" t="str">
        <f>'2025 actual v budget'!C360</f>
        <v>Stablecoin Settlement</v>
      </c>
      <c r="D360" s="19">
        <f>'2025 actual v budget'!D360</f>
        <v>74701521.790000007</v>
      </c>
      <c r="E360" s="97">
        <f>SUMIFS('Assumption-Base'!$C$3:$C$32,'Assumption-Base'!$A$3:$A$32,$B360,'Assumption-Base'!$B$3:$B$32,$C360)</f>
        <v>0.2</v>
      </c>
      <c r="F360" s="19">
        <f t="shared" si="35"/>
        <v>89641826.148000002</v>
      </c>
      <c r="G360" s="98">
        <f>SUMIFS('Assumption-Base'!$D$3:$D$32,'Assumption-Base'!$A$3:$A$32,$B360,'Assumption-Base'!$B$3:$B$32,$C360)</f>
        <v>6.4999999999999997E-3</v>
      </c>
      <c r="H360" s="99">
        <f t="shared" si="36"/>
        <v>582671.86996199994</v>
      </c>
      <c r="I360" s="97">
        <f>SUMIFS('Assumption-Base'!$E$3:$E$32,'Assumption-Base'!$A$3:$A$32,$B360,'Assumption-Base'!$B$3:$B$32,$C360)</f>
        <v>0.32</v>
      </c>
      <c r="J360" s="19">
        <f t="shared" si="37"/>
        <v>186454.99838783999</v>
      </c>
      <c r="K360" s="100">
        <f>SUMIFS('Assumption-Base'!$F$3:$F$32,'Assumption-Base'!$A$3:$A$32,$B360,'Assumption-Base'!$B$3:$B$32,$C360)</f>
        <v>2.0000000000000001E-4</v>
      </c>
      <c r="L360" s="19">
        <f t="shared" si="38"/>
        <v>17928.3652296</v>
      </c>
      <c r="M360" s="99">
        <f t="shared" si="39"/>
        <v>378288.50634455995</v>
      </c>
      <c r="N360" s="97">
        <f>SUMIFS('Assumption-Base'!$G$3:$G$32,'Assumption-Base'!$A$3:$A$32,$B360,'Assumption-Base'!$B$3:$B$32,$C360)</f>
        <v>0.4</v>
      </c>
      <c r="O360" s="19">
        <f t="shared" si="40"/>
        <v>233068.74798479999</v>
      </c>
      <c r="P360" s="99">
        <f t="shared" si="41"/>
        <v>145219.75835975996</v>
      </c>
    </row>
    <row r="361" spans="1:16" x14ac:dyDescent="0.35">
      <c r="A361" s="96" t="str">
        <f>LEFT('2025 actual v budget'!A361,4)&amp;"26"</f>
        <v>Dec-26</v>
      </c>
      <c r="B361" s="17" t="str">
        <f>'2025 actual v budget'!B361</f>
        <v>USA</v>
      </c>
      <c r="C361" s="17" t="str">
        <f>'2025 actual v budget'!C361</f>
        <v>Treasury Yield</v>
      </c>
      <c r="D361" s="19">
        <f>'2025 actual v budget'!D361</f>
        <v>19422687.559999999</v>
      </c>
      <c r="E361" s="97">
        <f>SUMIFS('Assumption-Base'!$C$3:$C$32,'Assumption-Base'!$A$3:$A$32,$B361,'Assumption-Base'!$B$3:$B$32,$C361)</f>
        <v>0.1</v>
      </c>
      <c r="F361" s="19">
        <f t="shared" si="35"/>
        <v>21364956.316</v>
      </c>
      <c r="G361" s="98">
        <f>SUMIFS('Assumption-Base'!$D$3:$D$32,'Assumption-Base'!$A$3:$A$32,$B361,'Assumption-Base'!$B$3:$B$32,$C361)</f>
        <v>3.0000000000000001E-3</v>
      </c>
      <c r="H361" s="99">
        <f t="shared" si="36"/>
        <v>64094.868948000003</v>
      </c>
      <c r="I361" s="97">
        <f>SUMIFS('Assumption-Base'!$E$3:$E$32,'Assumption-Base'!$A$3:$A$32,$B361,'Assumption-Base'!$B$3:$B$32,$C361)</f>
        <v>0.18</v>
      </c>
      <c r="J361" s="19">
        <f t="shared" si="37"/>
        <v>11537.07641064</v>
      </c>
      <c r="K361" s="100">
        <f>SUMIFS('Assumption-Base'!$F$3:$F$32,'Assumption-Base'!$A$3:$A$32,$B361,'Assumption-Base'!$B$3:$B$32,$C361)</f>
        <v>2.0000000000000001E-4</v>
      </c>
      <c r="L361" s="19">
        <f t="shared" si="38"/>
        <v>4272.9912632000005</v>
      </c>
      <c r="M361" s="99">
        <f t="shared" si="39"/>
        <v>48284.801274160003</v>
      </c>
      <c r="N361" s="97">
        <f>SUMIFS('Assumption-Base'!$G$3:$G$32,'Assumption-Base'!$A$3:$A$32,$B361,'Assumption-Base'!$B$3:$B$32,$C361)</f>
        <v>0.4</v>
      </c>
      <c r="O361" s="19">
        <f t="shared" si="40"/>
        <v>25637.947579200001</v>
      </c>
      <c r="P361" s="99">
        <f t="shared" si="41"/>
        <v>22646.853694960002</v>
      </c>
    </row>
    <row r="362" spans="1:16" x14ac:dyDescent="0.35">
      <c r="A362" s="96" t="str">
        <f>LEFT('2025 actual v budget'!A362,4)&amp;"26"</f>
        <v>Dec-26</v>
      </c>
      <c r="B362" s="17" t="str">
        <f>'2025 actual v budget'!B362</f>
        <v>USA</v>
      </c>
      <c r="C362" s="17" t="str">
        <f>'2025 actual v budget'!C362</f>
        <v>Virtual Accounts</v>
      </c>
      <c r="D362" s="19">
        <f>'2025 actual v budget'!D362</f>
        <v>29770095.550000001</v>
      </c>
      <c r="E362" s="97">
        <f>SUMIFS('Assumption-Base'!$C$3:$C$32,'Assumption-Base'!$A$3:$A$32,$B362,'Assumption-Base'!$B$3:$B$32,$C362)</f>
        <v>0.1</v>
      </c>
      <c r="F362" s="19">
        <f t="shared" si="35"/>
        <v>32747105.105000004</v>
      </c>
      <c r="G362" s="98">
        <f>SUMIFS('Assumption-Base'!$D$3:$D$32,'Assumption-Base'!$A$3:$A$32,$B362,'Assumption-Base'!$B$3:$B$32,$C362)</f>
        <v>4.4999999999999997E-3</v>
      </c>
      <c r="H362" s="99">
        <f t="shared" si="36"/>
        <v>147361.97297250002</v>
      </c>
      <c r="I362" s="97">
        <f>SUMIFS('Assumption-Base'!$E$3:$E$32,'Assumption-Base'!$A$3:$A$32,$B362,'Assumption-Base'!$B$3:$B$32,$C362)</f>
        <v>0.22</v>
      </c>
      <c r="J362" s="19">
        <f t="shared" si="37"/>
        <v>32419.634053950005</v>
      </c>
      <c r="K362" s="100">
        <f>SUMIFS('Assumption-Base'!$F$3:$F$32,'Assumption-Base'!$A$3:$A$32,$B362,'Assumption-Base'!$B$3:$B$32,$C362)</f>
        <v>2.0000000000000001E-4</v>
      </c>
      <c r="L362" s="19">
        <f t="shared" si="38"/>
        <v>6549.421021000001</v>
      </c>
      <c r="M362" s="99">
        <f t="shared" si="39"/>
        <v>108392.91789755001</v>
      </c>
      <c r="N362" s="97">
        <f>SUMIFS('Assumption-Base'!$G$3:$G$32,'Assumption-Base'!$A$3:$A$32,$B362,'Assumption-Base'!$B$3:$B$32,$C362)</f>
        <v>0.4</v>
      </c>
      <c r="O362" s="19">
        <f t="shared" si="40"/>
        <v>58944.78918900001</v>
      </c>
      <c r="P362" s="99">
        <f t="shared" si="41"/>
        <v>49448.128708550001</v>
      </c>
    </row>
    <row r="364" spans="1:16" x14ac:dyDescent="0.35">
      <c r="A364" s="41" t="s">
        <v>160</v>
      </c>
      <c r="B364" s="42"/>
      <c r="C364" s="42"/>
      <c r="D364" s="43">
        <f>SUM(D3:D362)</f>
        <v>6218824625.8599997</v>
      </c>
      <c r="E364" s="44">
        <f>F364/D364-1</f>
        <v>0.16342462392803903</v>
      </c>
      <c r="F364" s="43">
        <f>SUM(F3:F362)</f>
        <v>7235133701.6155987</v>
      </c>
      <c r="G364" s="101">
        <f>H364/F364</f>
        <v>6.9402029728875114E-3</v>
      </c>
      <c r="H364" s="43">
        <f>SUM(H3:H362)</f>
        <v>50213296.425191201</v>
      </c>
      <c r="I364" s="44">
        <f>J364/H364</f>
        <v>0.29600165986357097</v>
      </c>
      <c r="J364" s="43">
        <f>SUM(J3:J362)</f>
        <v>14863219.08907811</v>
      </c>
      <c r="K364" s="102">
        <f>L364/F364</f>
        <v>1.337033847914472E-4</v>
      </c>
      <c r="L364" s="43">
        <f>SUM(L3:L362)</f>
        <v>967361.86532467813</v>
      </c>
      <c r="M364" s="43">
        <f>SUM(M3:M362)</f>
        <v>34382715.470788389</v>
      </c>
      <c r="N364" s="44">
        <f>O364/H364</f>
        <v>0.40000000000000008</v>
      </c>
      <c r="O364" s="43">
        <f>SUM(O3:O362)</f>
        <v>20085318.570076484</v>
      </c>
      <c r="P364" s="43">
        <f>SUM(P3:P362)</f>
        <v>14297396.900711924</v>
      </c>
    </row>
  </sheetData>
  <pageMargins left="0.7" right="0.7" top="0.75" bottom="0.75" header="0.3" footer="0.3"/>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pageSetUpPr fitToPage="1"/>
  </sheetPr>
  <dimension ref="A1:P364"/>
  <sheetViews>
    <sheetView showGridLines="0" zoomScale="70" zoomScaleNormal="70" workbookViewId="0">
      <pane xSplit="3" ySplit="2" topLeftCell="D3" activePane="bottomRight" state="frozen"/>
      <selection pane="topRight"/>
      <selection pane="bottomLeft"/>
      <selection pane="bottomRight" activeCell="D3" sqref="D3"/>
    </sheetView>
  </sheetViews>
  <sheetFormatPr defaultColWidth="49.7265625" defaultRowHeight="14.5" x14ac:dyDescent="0.35"/>
  <cols>
    <col min="1" max="1" width="10" customWidth="1"/>
    <col min="2" max="2" width="12" customWidth="1"/>
    <col min="3" max="3" width="22" customWidth="1"/>
    <col min="4" max="4" width="17" customWidth="1"/>
    <col min="5" max="5" width="12" customWidth="1"/>
    <col min="6" max="6" width="17" customWidth="1"/>
    <col min="7" max="7" width="11" customWidth="1"/>
    <col min="8" max="8" width="16" customWidth="1"/>
    <col min="9" max="9" width="12" customWidth="1"/>
    <col min="10" max="10" width="15" customWidth="1"/>
    <col min="11" max="11" width="11" customWidth="1"/>
    <col min="12" max="13" width="16" customWidth="1"/>
    <col min="14" max="14" width="12" customWidth="1"/>
    <col min="15" max="15" width="15" customWidth="1"/>
    <col min="16" max="16" width="16" customWidth="1"/>
  </cols>
  <sheetData>
    <row r="1" spans="1:16" ht="30" customHeight="1" x14ac:dyDescent="0.35">
      <c r="A1" s="7" t="s">
        <v>161</v>
      </c>
      <c r="B1" s="7"/>
      <c r="C1" s="7"/>
      <c r="D1" s="7"/>
      <c r="E1" s="7"/>
      <c r="F1" s="7"/>
      <c r="G1" s="7"/>
      <c r="H1" s="7"/>
      <c r="I1" s="7"/>
      <c r="J1" s="7"/>
      <c r="K1" s="7"/>
      <c r="L1" s="7"/>
      <c r="M1" s="7"/>
      <c r="N1" s="7"/>
      <c r="O1" s="7"/>
      <c r="P1" s="7"/>
    </row>
    <row r="2" spans="1:16" ht="36" customHeight="1" x14ac:dyDescent="0.35">
      <c r="A2" s="59" t="s">
        <v>42</v>
      </c>
      <c r="B2" s="59" t="s">
        <v>43</v>
      </c>
      <c r="C2" s="59" t="s">
        <v>44</v>
      </c>
      <c r="D2" s="59" t="s">
        <v>154</v>
      </c>
      <c r="E2" s="59" t="s">
        <v>155</v>
      </c>
      <c r="F2" s="59" t="s">
        <v>156</v>
      </c>
      <c r="G2" s="59" t="s">
        <v>104</v>
      </c>
      <c r="H2" s="59" t="s">
        <v>12</v>
      </c>
      <c r="I2" s="59" t="s">
        <v>157</v>
      </c>
      <c r="J2" s="59" t="s">
        <v>13</v>
      </c>
      <c r="K2" s="59" t="s">
        <v>158</v>
      </c>
      <c r="L2" s="59" t="s">
        <v>14</v>
      </c>
      <c r="M2" s="59" t="s">
        <v>15</v>
      </c>
      <c r="N2" s="59" t="s">
        <v>159</v>
      </c>
      <c r="O2" s="59" t="s">
        <v>16</v>
      </c>
      <c r="P2" s="59" t="s">
        <v>17</v>
      </c>
    </row>
    <row r="3" spans="1:16" x14ac:dyDescent="0.35">
      <c r="A3" s="91" t="str">
        <f>LEFT('2025 actual v budget'!A3,4)&amp;"26"</f>
        <v>Jan-26</v>
      </c>
      <c r="B3" s="12" t="str">
        <f>'2025 actual v budget'!B3</f>
        <v>Brazil</v>
      </c>
      <c r="C3" s="12" t="str">
        <f>'2025 actual v budget'!C3</f>
        <v>Cross-border Payouts</v>
      </c>
      <c r="D3" s="14">
        <f>'2025 actual v budget'!D3</f>
        <v>10691718.5</v>
      </c>
      <c r="E3" s="92">
        <f>SUMIFS('Assumption-Best'!$C$3:$C$32,'Assumption-Best'!$A$3:$A$32,$B3,'Assumption-Best'!$B$3:$B$32,$C3)</f>
        <v>0.4</v>
      </c>
      <c r="F3" s="14">
        <f t="shared" ref="F3:F66" si="0">D3*(1+E3)</f>
        <v>14968405.899999999</v>
      </c>
      <c r="G3" s="93">
        <f>SUMIFS('Assumption-Best'!$D$3:$D$32,'Assumption-Best'!$A$3:$A$32,$B3,'Assumption-Best'!$B$3:$B$32,$C3)</f>
        <v>7.4999999999999997E-3</v>
      </c>
      <c r="H3" s="94">
        <f t="shared" ref="H3:H66" si="1">F3*G3</f>
        <v>112263.04424999999</v>
      </c>
      <c r="I3" s="92">
        <f>SUMIFS('Assumption-Best'!$E$3:$E$32,'Assumption-Best'!$A$3:$A$32,$B3,'Assumption-Best'!$B$3:$B$32,$C3)</f>
        <v>0.35</v>
      </c>
      <c r="J3" s="14">
        <f t="shared" ref="J3:J66" si="2">H3*I3</f>
        <v>39292.065487499996</v>
      </c>
      <c r="K3" s="95">
        <f>SUMIFS('Assumption-Best'!$F$3:$F$32,'Assumption-Best'!$A$3:$A$32,$B3,'Assumption-Best'!$B$3:$B$32,$C3)</f>
        <v>6.9999999999999994E-5</v>
      </c>
      <c r="L3" s="14">
        <f t="shared" ref="L3:L66" si="3">F3*K3</f>
        <v>1047.7884129999998</v>
      </c>
      <c r="M3" s="94">
        <f t="shared" ref="M3:M66" si="4">H3-J3-L3</f>
        <v>71923.190349499986</v>
      </c>
      <c r="N3" s="92">
        <f>SUMIFS('Assumption-Best'!$G$3:$G$32,'Assumption-Best'!$A$3:$A$32,$B3,'Assumption-Best'!$B$3:$B$32,$C3)</f>
        <v>0.35</v>
      </c>
      <c r="O3" s="14">
        <f t="shared" ref="O3:O66" si="5">H3*N3</f>
        <v>39292.065487499996</v>
      </c>
      <c r="P3" s="94">
        <f t="shared" ref="P3:P66" si="6">M3-O3</f>
        <v>32631.12486199999</v>
      </c>
    </row>
    <row r="4" spans="1:16" x14ac:dyDescent="0.35">
      <c r="A4" s="91" t="str">
        <f>LEFT('2025 actual v budget'!A4,4)&amp;"26"</f>
        <v>Jan-26</v>
      </c>
      <c r="B4" s="12" t="str">
        <f>'2025 actual v budget'!B4</f>
        <v>Brazil</v>
      </c>
      <c r="C4" s="12" t="str">
        <f>'2025 actual v budget'!C4</f>
        <v>FX Conversion</v>
      </c>
      <c r="D4" s="14">
        <f>'2025 actual v budget'!D4</f>
        <v>16941176.120000001</v>
      </c>
      <c r="E4" s="92">
        <f>SUMIFS('Assumption-Best'!$C$3:$C$32,'Assumption-Best'!$A$3:$A$32,$B4,'Assumption-Best'!$B$3:$B$32,$C4)</f>
        <v>0.4</v>
      </c>
      <c r="F4" s="14">
        <f t="shared" si="0"/>
        <v>23717646.568</v>
      </c>
      <c r="G4" s="93">
        <f>SUMIFS('Assumption-Best'!$D$3:$D$32,'Assumption-Best'!$A$3:$A$32,$B4,'Assumption-Best'!$B$3:$B$32,$C4)</f>
        <v>1.0500000000000001E-2</v>
      </c>
      <c r="H4" s="94">
        <f t="shared" si="1"/>
        <v>249035.28896400001</v>
      </c>
      <c r="I4" s="92">
        <f>SUMIFS('Assumption-Best'!$E$3:$E$32,'Assumption-Best'!$A$3:$A$32,$B4,'Assumption-Best'!$B$3:$B$32,$C4)</f>
        <v>0.28000000000000003</v>
      </c>
      <c r="J4" s="14">
        <f t="shared" si="2"/>
        <v>69729.880909920015</v>
      </c>
      <c r="K4" s="95">
        <f>SUMIFS('Assumption-Best'!$F$3:$F$32,'Assumption-Best'!$A$3:$A$32,$B4,'Assumption-Best'!$B$3:$B$32,$C4)</f>
        <v>6.9999999999999994E-5</v>
      </c>
      <c r="L4" s="14">
        <f t="shared" si="3"/>
        <v>1660.23525976</v>
      </c>
      <c r="M4" s="94">
        <f t="shared" si="4"/>
        <v>177645.17279431998</v>
      </c>
      <c r="N4" s="92">
        <f>SUMIFS('Assumption-Best'!$G$3:$G$32,'Assumption-Best'!$A$3:$A$32,$B4,'Assumption-Best'!$B$3:$B$32,$C4)</f>
        <v>0.35</v>
      </c>
      <c r="O4" s="14">
        <f t="shared" si="5"/>
        <v>87162.351137399994</v>
      </c>
      <c r="P4" s="94">
        <f t="shared" si="6"/>
        <v>90482.821656919987</v>
      </c>
    </row>
    <row r="5" spans="1:16" x14ac:dyDescent="0.35">
      <c r="A5" s="91" t="str">
        <f>LEFT('2025 actual v budget'!A5,4)&amp;"26"</f>
        <v>Jan-26</v>
      </c>
      <c r="B5" s="12" t="str">
        <f>'2025 actual v budget'!B5</f>
        <v>Brazil</v>
      </c>
      <c r="C5" s="12" t="str">
        <f>'2025 actual v budget'!C5</f>
        <v>Stablecoin Settlement</v>
      </c>
      <c r="D5" s="14">
        <f>'2025 actual v budget'!D5</f>
        <v>25621674.440000001</v>
      </c>
      <c r="E5" s="92">
        <f>SUMIFS('Assumption-Best'!$C$3:$C$32,'Assumption-Best'!$A$3:$A$32,$B5,'Assumption-Best'!$B$3:$B$32,$C5)</f>
        <v>0.8</v>
      </c>
      <c r="F5" s="14">
        <f t="shared" si="0"/>
        <v>46119013.992000006</v>
      </c>
      <c r="G5" s="93">
        <f>SUMIFS('Assumption-Best'!$D$3:$D$32,'Assumption-Best'!$A$3:$A$32,$B5,'Assumption-Best'!$B$3:$B$32,$C5)</f>
        <v>6.4999999999999997E-3</v>
      </c>
      <c r="H5" s="94">
        <f t="shared" si="1"/>
        <v>299773.59094800003</v>
      </c>
      <c r="I5" s="92">
        <f>SUMIFS('Assumption-Best'!$E$3:$E$32,'Assumption-Best'!$A$3:$A$32,$B5,'Assumption-Best'!$B$3:$B$32,$C5)</f>
        <v>0.32</v>
      </c>
      <c r="J5" s="14">
        <f t="shared" si="2"/>
        <v>95927.549103360012</v>
      </c>
      <c r="K5" s="95">
        <f>SUMIFS('Assumption-Best'!$F$3:$F$32,'Assumption-Best'!$A$3:$A$32,$B5,'Assumption-Best'!$B$3:$B$32,$C5)</f>
        <v>6.9999999999999994E-5</v>
      </c>
      <c r="L5" s="14">
        <f t="shared" si="3"/>
        <v>3228.3309794400002</v>
      </c>
      <c r="M5" s="94">
        <f t="shared" si="4"/>
        <v>200617.7108652</v>
      </c>
      <c r="N5" s="92">
        <f>SUMIFS('Assumption-Best'!$G$3:$G$32,'Assumption-Best'!$A$3:$A$32,$B5,'Assumption-Best'!$B$3:$B$32,$C5)</f>
        <v>0.35</v>
      </c>
      <c r="O5" s="14">
        <f t="shared" si="5"/>
        <v>104920.7568318</v>
      </c>
      <c r="P5" s="94">
        <f t="shared" si="6"/>
        <v>95696.954033400005</v>
      </c>
    </row>
    <row r="6" spans="1:16" x14ac:dyDescent="0.35">
      <c r="A6" s="91" t="str">
        <f>LEFT('2025 actual v budget'!A6,4)&amp;"26"</f>
        <v>Jan-26</v>
      </c>
      <c r="B6" s="12" t="str">
        <f>'2025 actual v budget'!B6</f>
        <v>Brazil</v>
      </c>
      <c r="C6" s="12" t="str">
        <f>'2025 actual v budget'!C6</f>
        <v>Treasury Yield</v>
      </c>
      <c r="D6" s="14">
        <f>'2025 actual v budget'!D6</f>
        <v>7138685.0300000003</v>
      </c>
      <c r="E6" s="92">
        <f>SUMIFS('Assumption-Best'!$C$3:$C$32,'Assumption-Best'!$A$3:$A$32,$B6,'Assumption-Best'!$B$3:$B$32,$C6)</f>
        <v>0.4</v>
      </c>
      <c r="F6" s="14">
        <f t="shared" si="0"/>
        <v>9994159.0419999994</v>
      </c>
      <c r="G6" s="93">
        <f>SUMIFS('Assumption-Best'!$D$3:$D$32,'Assumption-Best'!$A$3:$A$32,$B6,'Assumption-Best'!$B$3:$B$32,$C6)</f>
        <v>3.0000000000000001E-3</v>
      </c>
      <c r="H6" s="94">
        <f t="shared" si="1"/>
        <v>29982.477125999998</v>
      </c>
      <c r="I6" s="92">
        <f>SUMIFS('Assumption-Best'!$E$3:$E$32,'Assumption-Best'!$A$3:$A$32,$B6,'Assumption-Best'!$B$3:$B$32,$C6)</f>
        <v>0.18</v>
      </c>
      <c r="J6" s="14">
        <f t="shared" si="2"/>
        <v>5396.8458826799997</v>
      </c>
      <c r="K6" s="95">
        <f>SUMIFS('Assumption-Best'!$F$3:$F$32,'Assumption-Best'!$A$3:$A$32,$B6,'Assumption-Best'!$B$3:$B$32,$C6)</f>
        <v>6.9999999999999994E-5</v>
      </c>
      <c r="L6" s="14">
        <f t="shared" si="3"/>
        <v>699.59113293999985</v>
      </c>
      <c r="M6" s="94">
        <f t="shared" si="4"/>
        <v>23886.04011038</v>
      </c>
      <c r="N6" s="92">
        <f>SUMIFS('Assumption-Best'!$G$3:$G$32,'Assumption-Best'!$A$3:$A$32,$B6,'Assumption-Best'!$B$3:$B$32,$C6)</f>
        <v>0.35</v>
      </c>
      <c r="O6" s="14">
        <f t="shared" si="5"/>
        <v>10493.866994099999</v>
      </c>
      <c r="P6" s="94">
        <f t="shared" si="6"/>
        <v>13392.173116280001</v>
      </c>
    </row>
    <row r="7" spans="1:16" x14ac:dyDescent="0.35">
      <c r="A7" s="91" t="str">
        <f>LEFT('2025 actual v budget'!A7,4)&amp;"26"</f>
        <v>Jan-26</v>
      </c>
      <c r="B7" s="12" t="str">
        <f>'2025 actual v budget'!B7</f>
        <v>Brazil</v>
      </c>
      <c r="C7" s="12" t="str">
        <f>'2025 actual v budget'!C7</f>
        <v>Virtual Accounts</v>
      </c>
      <c r="D7" s="14">
        <f>'2025 actual v budget'!D7</f>
        <v>10439540.300000001</v>
      </c>
      <c r="E7" s="92">
        <f>SUMIFS('Assumption-Best'!$C$3:$C$32,'Assumption-Best'!$A$3:$A$32,$B7,'Assumption-Best'!$B$3:$B$32,$C7)</f>
        <v>0.4</v>
      </c>
      <c r="F7" s="14">
        <f t="shared" si="0"/>
        <v>14615356.42</v>
      </c>
      <c r="G7" s="93">
        <f>SUMIFS('Assumption-Best'!$D$3:$D$32,'Assumption-Best'!$A$3:$A$32,$B7,'Assumption-Best'!$B$3:$B$32,$C7)</f>
        <v>4.4999999999999997E-3</v>
      </c>
      <c r="H7" s="94">
        <f t="shared" si="1"/>
        <v>65769.103889999999</v>
      </c>
      <c r="I7" s="92">
        <f>SUMIFS('Assumption-Best'!$E$3:$E$32,'Assumption-Best'!$A$3:$A$32,$B7,'Assumption-Best'!$B$3:$B$32,$C7)</f>
        <v>0.22</v>
      </c>
      <c r="J7" s="14">
        <f t="shared" si="2"/>
        <v>14469.2028558</v>
      </c>
      <c r="K7" s="95">
        <f>SUMIFS('Assumption-Best'!$F$3:$F$32,'Assumption-Best'!$A$3:$A$32,$B7,'Assumption-Best'!$B$3:$B$32,$C7)</f>
        <v>6.9999999999999994E-5</v>
      </c>
      <c r="L7" s="14">
        <f t="shared" si="3"/>
        <v>1023.0749493999999</v>
      </c>
      <c r="M7" s="94">
        <f t="shared" si="4"/>
        <v>50276.826084799999</v>
      </c>
      <c r="N7" s="92">
        <f>SUMIFS('Assumption-Best'!$G$3:$G$32,'Assumption-Best'!$A$3:$A$32,$B7,'Assumption-Best'!$B$3:$B$32,$C7)</f>
        <v>0.35</v>
      </c>
      <c r="O7" s="14">
        <f t="shared" si="5"/>
        <v>23019.186361499997</v>
      </c>
      <c r="P7" s="94">
        <f t="shared" si="6"/>
        <v>27257.639723300003</v>
      </c>
    </row>
    <row r="8" spans="1:16" x14ac:dyDescent="0.35">
      <c r="A8" s="91" t="str">
        <f>LEFT('2025 actual v budget'!A8,4)&amp;"26"</f>
        <v>Jan-26</v>
      </c>
      <c r="B8" s="12" t="str">
        <f>'2025 actual v budget'!B8</f>
        <v>Germany</v>
      </c>
      <c r="C8" s="12" t="str">
        <f>'2025 actual v budget'!C8</f>
        <v>Cross-border Payouts</v>
      </c>
      <c r="D8" s="14">
        <f>'2025 actual v budget'!D8</f>
        <v>5804075.7599999998</v>
      </c>
      <c r="E8" s="92">
        <f>SUMIFS('Assumption-Best'!$C$3:$C$32,'Assumption-Best'!$A$3:$A$32,$B8,'Assumption-Best'!$B$3:$B$32,$C8)</f>
        <v>0.12</v>
      </c>
      <c r="F8" s="14">
        <f t="shared" si="0"/>
        <v>6500564.8512000004</v>
      </c>
      <c r="G8" s="93">
        <f>SUMIFS('Assumption-Best'!$D$3:$D$32,'Assumption-Best'!$A$3:$A$32,$B8,'Assumption-Best'!$B$3:$B$32,$C8)</f>
        <v>7.4999999999999997E-3</v>
      </c>
      <c r="H8" s="94">
        <f t="shared" si="1"/>
        <v>48754.236384000003</v>
      </c>
      <c r="I8" s="92">
        <f>SUMIFS('Assumption-Best'!$E$3:$E$32,'Assumption-Best'!$A$3:$A$32,$B8,'Assumption-Best'!$B$3:$B$32,$C8)</f>
        <v>0.35</v>
      </c>
      <c r="J8" s="14">
        <f t="shared" si="2"/>
        <v>17063.9827344</v>
      </c>
      <c r="K8" s="95">
        <f>SUMIFS('Assumption-Best'!$F$3:$F$32,'Assumption-Best'!$A$3:$A$32,$B8,'Assumption-Best'!$B$3:$B$32,$C8)</f>
        <v>1.4999999999999999E-4</v>
      </c>
      <c r="L8" s="14">
        <f t="shared" si="3"/>
        <v>975.08472768000001</v>
      </c>
      <c r="M8" s="94">
        <f t="shared" si="4"/>
        <v>30715.168921920002</v>
      </c>
      <c r="N8" s="92">
        <f>SUMIFS('Assumption-Best'!$G$3:$G$32,'Assumption-Best'!$A$3:$A$32,$B8,'Assumption-Best'!$B$3:$B$32,$C8)</f>
        <v>0.35</v>
      </c>
      <c r="O8" s="14">
        <f t="shared" si="5"/>
        <v>17063.9827344</v>
      </c>
      <c r="P8" s="94">
        <f t="shared" si="6"/>
        <v>13651.186187520001</v>
      </c>
    </row>
    <row r="9" spans="1:16" x14ac:dyDescent="0.35">
      <c r="A9" s="91" t="str">
        <f>LEFT('2025 actual v budget'!A9,4)&amp;"26"</f>
        <v>Jan-26</v>
      </c>
      <c r="B9" s="12" t="str">
        <f>'2025 actual v budget'!B9</f>
        <v>Germany</v>
      </c>
      <c r="C9" s="12" t="str">
        <f>'2025 actual v budget'!C9</f>
        <v>FX Conversion</v>
      </c>
      <c r="D9" s="14">
        <f>'2025 actual v budget'!D9</f>
        <v>9196638.4700000007</v>
      </c>
      <c r="E9" s="92">
        <f>SUMIFS('Assumption-Best'!$C$3:$C$32,'Assumption-Best'!$A$3:$A$32,$B9,'Assumption-Best'!$B$3:$B$32,$C9)</f>
        <v>0.12</v>
      </c>
      <c r="F9" s="14">
        <f t="shared" si="0"/>
        <v>10300235.086400002</v>
      </c>
      <c r="G9" s="93">
        <f>SUMIFS('Assumption-Best'!$D$3:$D$32,'Assumption-Best'!$A$3:$A$32,$B9,'Assumption-Best'!$B$3:$B$32,$C9)</f>
        <v>1.0500000000000001E-2</v>
      </c>
      <c r="H9" s="94">
        <f t="shared" si="1"/>
        <v>108152.46840720002</v>
      </c>
      <c r="I9" s="92">
        <f>SUMIFS('Assumption-Best'!$E$3:$E$32,'Assumption-Best'!$A$3:$A$32,$B9,'Assumption-Best'!$B$3:$B$32,$C9)</f>
        <v>0.28000000000000003</v>
      </c>
      <c r="J9" s="14">
        <f t="shared" si="2"/>
        <v>30282.691154016011</v>
      </c>
      <c r="K9" s="95">
        <f>SUMIFS('Assumption-Best'!$F$3:$F$32,'Assumption-Best'!$A$3:$A$32,$B9,'Assumption-Best'!$B$3:$B$32,$C9)</f>
        <v>1.4999999999999999E-4</v>
      </c>
      <c r="L9" s="14">
        <f t="shared" si="3"/>
        <v>1545.0352629600002</v>
      </c>
      <c r="M9" s="94">
        <f t="shared" si="4"/>
        <v>76324.741990224022</v>
      </c>
      <c r="N9" s="92">
        <f>SUMIFS('Assumption-Best'!$G$3:$G$32,'Assumption-Best'!$A$3:$A$32,$B9,'Assumption-Best'!$B$3:$B$32,$C9)</f>
        <v>0.35</v>
      </c>
      <c r="O9" s="14">
        <f t="shared" si="5"/>
        <v>37853.363942520009</v>
      </c>
      <c r="P9" s="94">
        <f t="shared" si="6"/>
        <v>38471.378047704013</v>
      </c>
    </row>
    <row r="10" spans="1:16" x14ac:dyDescent="0.35">
      <c r="A10" s="91" t="str">
        <f>LEFT('2025 actual v budget'!A10,4)&amp;"26"</f>
        <v>Jan-26</v>
      </c>
      <c r="B10" s="12" t="str">
        <f>'2025 actual v budget'!B10</f>
        <v>Germany</v>
      </c>
      <c r="C10" s="12" t="str">
        <f>'2025 actual v budget'!C10</f>
        <v>Stablecoin Settlement</v>
      </c>
      <c r="D10" s="14">
        <f>'2025 actual v budget'!D10</f>
        <v>13908908.98</v>
      </c>
      <c r="E10" s="92">
        <f>SUMIFS('Assumption-Best'!$C$3:$C$32,'Assumption-Best'!$A$3:$A$32,$B10,'Assumption-Best'!$B$3:$B$32,$C10)</f>
        <v>0.24</v>
      </c>
      <c r="F10" s="14">
        <f t="shared" si="0"/>
        <v>17247047.135200001</v>
      </c>
      <c r="G10" s="93">
        <f>SUMIFS('Assumption-Best'!$D$3:$D$32,'Assumption-Best'!$A$3:$A$32,$B10,'Assumption-Best'!$B$3:$B$32,$C10)</f>
        <v>6.4999999999999997E-3</v>
      </c>
      <c r="H10" s="94">
        <f t="shared" si="1"/>
        <v>112105.8063788</v>
      </c>
      <c r="I10" s="92">
        <f>SUMIFS('Assumption-Best'!$E$3:$E$32,'Assumption-Best'!$A$3:$A$32,$B10,'Assumption-Best'!$B$3:$B$32,$C10)</f>
        <v>0.32</v>
      </c>
      <c r="J10" s="14">
        <f t="shared" si="2"/>
        <v>35873.858041216001</v>
      </c>
      <c r="K10" s="95">
        <f>SUMIFS('Assumption-Best'!$F$3:$F$32,'Assumption-Best'!$A$3:$A$32,$B10,'Assumption-Best'!$B$3:$B$32,$C10)</f>
        <v>1.4999999999999999E-4</v>
      </c>
      <c r="L10" s="14">
        <f t="shared" si="3"/>
        <v>2587.0570702800001</v>
      </c>
      <c r="M10" s="94">
        <f t="shared" si="4"/>
        <v>73644.891267304003</v>
      </c>
      <c r="N10" s="92">
        <f>SUMIFS('Assumption-Best'!$G$3:$G$32,'Assumption-Best'!$A$3:$A$32,$B10,'Assumption-Best'!$B$3:$B$32,$C10)</f>
        <v>0.35</v>
      </c>
      <c r="O10" s="14">
        <f t="shared" si="5"/>
        <v>39237.032232580001</v>
      </c>
      <c r="P10" s="94">
        <f t="shared" si="6"/>
        <v>34407.859034724002</v>
      </c>
    </row>
    <row r="11" spans="1:16" x14ac:dyDescent="0.35">
      <c r="A11" s="91" t="str">
        <f>LEFT('2025 actual v budget'!A11,4)&amp;"26"</f>
        <v>Jan-26</v>
      </c>
      <c r="B11" s="12" t="str">
        <f>'2025 actual v budget'!B11</f>
        <v>Germany</v>
      </c>
      <c r="C11" s="12" t="str">
        <f>'2025 actual v budget'!C11</f>
        <v>Treasury Yield</v>
      </c>
      <c r="D11" s="14">
        <f>'2025 actual v budget'!D11</f>
        <v>3875286.16</v>
      </c>
      <c r="E11" s="92">
        <f>SUMIFS('Assumption-Best'!$C$3:$C$32,'Assumption-Best'!$A$3:$A$32,$B11,'Assumption-Best'!$B$3:$B$32,$C11)</f>
        <v>0.12</v>
      </c>
      <c r="F11" s="14">
        <f t="shared" si="0"/>
        <v>4340320.4992000004</v>
      </c>
      <c r="G11" s="93">
        <f>SUMIFS('Assumption-Best'!$D$3:$D$32,'Assumption-Best'!$A$3:$A$32,$B11,'Assumption-Best'!$B$3:$B$32,$C11)</f>
        <v>3.0000000000000001E-3</v>
      </c>
      <c r="H11" s="94">
        <f t="shared" si="1"/>
        <v>13020.961497600001</v>
      </c>
      <c r="I11" s="92">
        <f>SUMIFS('Assumption-Best'!$E$3:$E$32,'Assumption-Best'!$A$3:$A$32,$B11,'Assumption-Best'!$B$3:$B$32,$C11)</f>
        <v>0.18</v>
      </c>
      <c r="J11" s="14">
        <f t="shared" si="2"/>
        <v>2343.7730695680002</v>
      </c>
      <c r="K11" s="95">
        <f>SUMIFS('Assumption-Best'!$F$3:$F$32,'Assumption-Best'!$A$3:$A$32,$B11,'Assumption-Best'!$B$3:$B$32,$C11)</f>
        <v>1.4999999999999999E-4</v>
      </c>
      <c r="L11" s="14">
        <f t="shared" si="3"/>
        <v>651.04807488000006</v>
      </c>
      <c r="M11" s="94">
        <f t="shared" si="4"/>
        <v>10026.140353152001</v>
      </c>
      <c r="N11" s="92">
        <f>SUMIFS('Assumption-Best'!$G$3:$G$32,'Assumption-Best'!$A$3:$A$32,$B11,'Assumption-Best'!$B$3:$B$32,$C11)</f>
        <v>0.35</v>
      </c>
      <c r="O11" s="14">
        <f t="shared" si="5"/>
        <v>4557.3365241600004</v>
      </c>
      <c r="P11" s="94">
        <f t="shared" si="6"/>
        <v>5468.8038289920005</v>
      </c>
    </row>
    <row r="12" spans="1:16" x14ac:dyDescent="0.35">
      <c r="A12" s="91" t="str">
        <f>LEFT('2025 actual v budget'!A12,4)&amp;"26"</f>
        <v>Jan-26</v>
      </c>
      <c r="B12" s="12" t="str">
        <f>'2025 actual v budget'!B12</f>
        <v>Germany</v>
      </c>
      <c r="C12" s="12" t="str">
        <f>'2025 actual v budget'!C12</f>
        <v>Virtual Accounts</v>
      </c>
      <c r="D12" s="14">
        <f>'2025 actual v budget'!D12</f>
        <v>5667179.0199999996</v>
      </c>
      <c r="E12" s="92">
        <f>SUMIFS('Assumption-Best'!$C$3:$C$32,'Assumption-Best'!$A$3:$A$32,$B12,'Assumption-Best'!$B$3:$B$32,$C12)</f>
        <v>0.12</v>
      </c>
      <c r="F12" s="14">
        <f t="shared" si="0"/>
        <v>6347240.5023999996</v>
      </c>
      <c r="G12" s="93">
        <f>SUMIFS('Assumption-Best'!$D$3:$D$32,'Assumption-Best'!$A$3:$A$32,$B12,'Assumption-Best'!$B$3:$B$32,$C12)</f>
        <v>4.4999999999999997E-3</v>
      </c>
      <c r="H12" s="94">
        <f t="shared" si="1"/>
        <v>28562.582260799998</v>
      </c>
      <c r="I12" s="92">
        <f>SUMIFS('Assumption-Best'!$E$3:$E$32,'Assumption-Best'!$A$3:$A$32,$B12,'Assumption-Best'!$B$3:$B$32,$C12)</f>
        <v>0.22</v>
      </c>
      <c r="J12" s="14">
        <f t="shared" si="2"/>
        <v>6283.7680973759998</v>
      </c>
      <c r="K12" s="95">
        <f>SUMIFS('Assumption-Best'!$F$3:$F$32,'Assumption-Best'!$A$3:$A$32,$B12,'Assumption-Best'!$B$3:$B$32,$C12)</f>
        <v>1.4999999999999999E-4</v>
      </c>
      <c r="L12" s="14">
        <f t="shared" si="3"/>
        <v>952.08607535999988</v>
      </c>
      <c r="M12" s="94">
        <f t="shared" si="4"/>
        <v>21326.728088063999</v>
      </c>
      <c r="N12" s="92">
        <f>SUMIFS('Assumption-Best'!$G$3:$G$32,'Assumption-Best'!$A$3:$A$32,$B12,'Assumption-Best'!$B$3:$B$32,$C12)</f>
        <v>0.35</v>
      </c>
      <c r="O12" s="14">
        <f t="shared" si="5"/>
        <v>9996.9037912799995</v>
      </c>
      <c r="P12" s="94">
        <f t="shared" si="6"/>
        <v>11329.824296784</v>
      </c>
    </row>
    <row r="13" spans="1:16" x14ac:dyDescent="0.35">
      <c r="A13" s="91" t="str">
        <f>LEFT('2025 actual v budget'!A13,4)&amp;"26"</f>
        <v>Jan-26</v>
      </c>
      <c r="B13" s="12" t="str">
        <f>'2025 actual v budget'!B13</f>
        <v>India</v>
      </c>
      <c r="C13" s="12" t="str">
        <f>'2025 actual v budget'!C13</f>
        <v>Cross-border Payouts</v>
      </c>
      <c r="D13" s="14">
        <f>'2025 actual v budget'!D13</f>
        <v>6873247.6100000003</v>
      </c>
      <c r="E13" s="92">
        <f>SUMIFS('Assumption-Best'!$C$3:$C$32,'Assumption-Best'!$A$3:$A$32,$B13,'Assumption-Best'!$B$3:$B$32,$C13)</f>
        <v>0.24</v>
      </c>
      <c r="F13" s="14">
        <f t="shared" si="0"/>
        <v>8522827.0363999996</v>
      </c>
      <c r="G13" s="93">
        <f>SUMIFS('Assumption-Best'!$D$3:$D$32,'Assumption-Best'!$A$3:$A$32,$B13,'Assumption-Best'!$B$3:$B$32,$C13)</f>
        <v>7.4999999999999997E-3</v>
      </c>
      <c r="H13" s="94">
        <f t="shared" si="1"/>
        <v>63921.202772999997</v>
      </c>
      <c r="I13" s="92">
        <f>SUMIFS('Assumption-Best'!$E$3:$E$32,'Assumption-Best'!$A$3:$A$32,$B13,'Assumption-Best'!$B$3:$B$32,$C13)</f>
        <v>0.35</v>
      </c>
      <c r="J13" s="14">
        <f t="shared" si="2"/>
        <v>22372.420970549996</v>
      </c>
      <c r="K13" s="95">
        <f>SUMIFS('Assumption-Best'!$F$3:$F$32,'Assumption-Best'!$A$3:$A$32,$B13,'Assumption-Best'!$B$3:$B$32,$C13)</f>
        <v>1.8000000000000001E-4</v>
      </c>
      <c r="L13" s="14">
        <f t="shared" si="3"/>
        <v>1534.1088665520001</v>
      </c>
      <c r="M13" s="94">
        <f t="shared" si="4"/>
        <v>40014.672935898001</v>
      </c>
      <c r="N13" s="92">
        <f>SUMIFS('Assumption-Best'!$G$3:$G$32,'Assumption-Best'!$A$3:$A$32,$B13,'Assumption-Best'!$B$3:$B$32,$C13)</f>
        <v>0.35</v>
      </c>
      <c r="O13" s="14">
        <f t="shared" si="5"/>
        <v>22372.420970549996</v>
      </c>
      <c r="P13" s="94">
        <f t="shared" si="6"/>
        <v>17642.251965348005</v>
      </c>
    </row>
    <row r="14" spans="1:16" x14ac:dyDescent="0.35">
      <c r="A14" s="91" t="str">
        <f>LEFT('2025 actual v budget'!A14,4)&amp;"26"</f>
        <v>Jan-26</v>
      </c>
      <c r="B14" s="12" t="str">
        <f>'2025 actual v budget'!B14</f>
        <v>India</v>
      </c>
      <c r="C14" s="12" t="str">
        <f>'2025 actual v budget'!C14</f>
        <v>FX Conversion</v>
      </c>
      <c r="D14" s="14">
        <f>'2025 actual v budget'!D14</f>
        <v>10890756.08</v>
      </c>
      <c r="E14" s="92">
        <f>SUMIFS('Assumption-Best'!$C$3:$C$32,'Assumption-Best'!$A$3:$A$32,$B14,'Assumption-Best'!$B$3:$B$32,$C14)</f>
        <v>0.24</v>
      </c>
      <c r="F14" s="14">
        <f t="shared" si="0"/>
        <v>13504537.5392</v>
      </c>
      <c r="G14" s="93">
        <f>SUMIFS('Assumption-Best'!$D$3:$D$32,'Assumption-Best'!$A$3:$A$32,$B14,'Assumption-Best'!$B$3:$B$32,$C14)</f>
        <v>1.0500000000000001E-2</v>
      </c>
      <c r="H14" s="94">
        <f t="shared" si="1"/>
        <v>141797.64416160001</v>
      </c>
      <c r="I14" s="92">
        <f>SUMIFS('Assumption-Best'!$E$3:$E$32,'Assumption-Best'!$A$3:$A$32,$B14,'Assumption-Best'!$B$3:$B$32,$C14)</f>
        <v>0.28000000000000003</v>
      </c>
      <c r="J14" s="14">
        <f t="shared" si="2"/>
        <v>39703.340365248005</v>
      </c>
      <c r="K14" s="95">
        <f>SUMIFS('Assumption-Best'!$F$3:$F$32,'Assumption-Best'!$A$3:$A$32,$B14,'Assumption-Best'!$B$3:$B$32,$C14)</f>
        <v>1.8000000000000001E-4</v>
      </c>
      <c r="L14" s="14">
        <f t="shared" si="3"/>
        <v>2430.8167570560004</v>
      </c>
      <c r="M14" s="94">
        <f t="shared" si="4"/>
        <v>99663.487039296</v>
      </c>
      <c r="N14" s="92">
        <f>SUMIFS('Assumption-Best'!$G$3:$G$32,'Assumption-Best'!$A$3:$A$32,$B14,'Assumption-Best'!$B$3:$B$32,$C14)</f>
        <v>0.35</v>
      </c>
      <c r="O14" s="14">
        <f t="shared" si="5"/>
        <v>49629.175456559999</v>
      </c>
      <c r="P14" s="94">
        <f t="shared" si="6"/>
        <v>50034.311582736002</v>
      </c>
    </row>
    <row r="15" spans="1:16" x14ac:dyDescent="0.35">
      <c r="A15" s="91" t="str">
        <f>LEFT('2025 actual v budget'!A15,4)&amp;"26"</f>
        <v>Jan-26</v>
      </c>
      <c r="B15" s="12" t="str">
        <f>'2025 actual v budget'!B15</f>
        <v>India</v>
      </c>
      <c r="C15" s="12" t="str">
        <f>'2025 actual v budget'!C15</f>
        <v>Stablecoin Settlement</v>
      </c>
      <c r="D15" s="14">
        <f>'2025 actual v budget'!D15</f>
        <v>16471076.43</v>
      </c>
      <c r="E15" s="92">
        <f>SUMIFS('Assumption-Best'!$C$3:$C$32,'Assumption-Best'!$A$3:$A$32,$B15,'Assumption-Best'!$B$3:$B$32,$C15)</f>
        <v>0.48</v>
      </c>
      <c r="F15" s="14">
        <f t="shared" si="0"/>
        <v>24377193.1164</v>
      </c>
      <c r="G15" s="93">
        <f>SUMIFS('Assumption-Best'!$D$3:$D$32,'Assumption-Best'!$A$3:$A$32,$B15,'Assumption-Best'!$B$3:$B$32,$C15)</f>
        <v>6.4999999999999997E-3</v>
      </c>
      <c r="H15" s="94">
        <f t="shared" si="1"/>
        <v>158451.75525659998</v>
      </c>
      <c r="I15" s="92">
        <f>SUMIFS('Assumption-Best'!$E$3:$E$32,'Assumption-Best'!$A$3:$A$32,$B15,'Assumption-Best'!$B$3:$B$32,$C15)</f>
        <v>0.32</v>
      </c>
      <c r="J15" s="14">
        <f t="shared" si="2"/>
        <v>50704.561682111991</v>
      </c>
      <c r="K15" s="95">
        <f>SUMIFS('Assumption-Best'!$F$3:$F$32,'Assumption-Best'!$A$3:$A$32,$B15,'Assumption-Best'!$B$3:$B$32,$C15)</f>
        <v>1.8000000000000001E-4</v>
      </c>
      <c r="L15" s="14">
        <f t="shared" si="3"/>
        <v>4387.8947609520001</v>
      </c>
      <c r="M15" s="94">
        <f t="shared" si="4"/>
        <v>103359.29881353599</v>
      </c>
      <c r="N15" s="92">
        <f>SUMIFS('Assumption-Best'!$G$3:$G$32,'Assumption-Best'!$A$3:$A$32,$B15,'Assumption-Best'!$B$3:$B$32,$C15)</f>
        <v>0.35</v>
      </c>
      <c r="O15" s="14">
        <f t="shared" si="5"/>
        <v>55458.114339809988</v>
      </c>
      <c r="P15" s="94">
        <f t="shared" si="6"/>
        <v>47901.184473726003</v>
      </c>
    </row>
    <row r="16" spans="1:16" x14ac:dyDescent="0.35">
      <c r="A16" s="91" t="str">
        <f>LEFT('2025 actual v budget'!A16,4)&amp;"26"</f>
        <v>Jan-26</v>
      </c>
      <c r="B16" s="12" t="str">
        <f>'2025 actual v budget'!B16</f>
        <v>India</v>
      </c>
      <c r="C16" s="12" t="str">
        <f>'2025 actual v budget'!C16</f>
        <v>Treasury Yield</v>
      </c>
      <c r="D16" s="14">
        <f>'2025 actual v budget'!D16</f>
        <v>4589154.66</v>
      </c>
      <c r="E16" s="92">
        <f>SUMIFS('Assumption-Best'!$C$3:$C$32,'Assumption-Best'!$A$3:$A$32,$B16,'Assumption-Best'!$B$3:$B$32,$C16)</f>
        <v>0.24</v>
      </c>
      <c r="F16" s="14">
        <f t="shared" si="0"/>
        <v>5690551.7784000002</v>
      </c>
      <c r="G16" s="93">
        <f>SUMIFS('Assumption-Best'!$D$3:$D$32,'Assumption-Best'!$A$3:$A$32,$B16,'Assumption-Best'!$B$3:$B$32,$C16)</f>
        <v>3.0000000000000001E-3</v>
      </c>
      <c r="H16" s="94">
        <f t="shared" si="1"/>
        <v>17071.655335200001</v>
      </c>
      <c r="I16" s="92">
        <f>SUMIFS('Assumption-Best'!$E$3:$E$32,'Assumption-Best'!$A$3:$A$32,$B16,'Assumption-Best'!$B$3:$B$32,$C16)</f>
        <v>0.18</v>
      </c>
      <c r="J16" s="14">
        <f t="shared" si="2"/>
        <v>3072.8979603359999</v>
      </c>
      <c r="K16" s="95">
        <f>SUMIFS('Assumption-Best'!$F$3:$F$32,'Assumption-Best'!$A$3:$A$32,$B16,'Assumption-Best'!$B$3:$B$32,$C16)</f>
        <v>1.8000000000000001E-4</v>
      </c>
      <c r="L16" s="14">
        <f t="shared" si="3"/>
        <v>1024.299320112</v>
      </c>
      <c r="M16" s="94">
        <f t="shared" si="4"/>
        <v>12974.458054752</v>
      </c>
      <c r="N16" s="92">
        <f>SUMIFS('Assumption-Best'!$G$3:$G$32,'Assumption-Best'!$A$3:$A$32,$B16,'Assumption-Best'!$B$3:$B$32,$C16)</f>
        <v>0.35</v>
      </c>
      <c r="O16" s="14">
        <f t="shared" si="5"/>
        <v>5975.0793673199996</v>
      </c>
      <c r="P16" s="94">
        <f t="shared" si="6"/>
        <v>6999.3786874320003</v>
      </c>
    </row>
    <row r="17" spans="1:16" x14ac:dyDescent="0.35">
      <c r="A17" s="91" t="str">
        <f>LEFT('2025 actual v budget'!A17,4)&amp;"26"</f>
        <v>Jan-26</v>
      </c>
      <c r="B17" s="12" t="str">
        <f>'2025 actual v budget'!B17</f>
        <v>India</v>
      </c>
      <c r="C17" s="12" t="str">
        <f>'2025 actual v budget'!C17</f>
        <v>Virtual Accounts</v>
      </c>
      <c r="D17" s="14">
        <f>'2025 actual v budget'!D17</f>
        <v>6711133.0499999998</v>
      </c>
      <c r="E17" s="92">
        <f>SUMIFS('Assumption-Best'!$C$3:$C$32,'Assumption-Best'!$A$3:$A$32,$B17,'Assumption-Best'!$B$3:$B$32,$C17)</f>
        <v>0.24</v>
      </c>
      <c r="F17" s="14">
        <f t="shared" si="0"/>
        <v>8321804.9819999998</v>
      </c>
      <c r="G17" s="93">
        <f>SUMIFS('Assumption-Best'!$D$3:$D$32,'Assumption-Best'!$A$3:$A$32,$B17,'Assumption-Best'!$B$3:$B$32,$C17)</f>
        <v>4.4999999999999997E-3</v>
      </c>
      <c r="H17" s="94">
        <f t="shared" si="1"/>
        <v>37448.122418999999</v>
      </c>
      <c r="I17" s="92">
        <f>SUMIFS('Assumption-Best'!$E$3:$E$32,'Assumption-Best'!$A$3:$A$32,$B17,'Assumption-Best'!$B$3:$B$32,$C17)</f>
        <v>0.22</v>
      </c>
      <c r="J17" s="14">
        <f t="shared" si="2"/>
        <v>8238.5869321800001</v>
      </c>
      <c r="K17" s="95">
        <f>SUMIFS('Assumption-Best'!$F$3:$F$32,'Assumption-Best'!$A$3:$A$32,$B17,'Assumption-Best'!$B$3:$B$32,$C17)</f>
        <v>1.8000000000000001E-4</v>
      </c>
      <c r="L17" s="14">
        <f t="shared" si="3"/>
        <v>1497.9248967600001</v>
      </c>
      <c r="M17" s="94">
        <f t="shared" si="4"/>
        <v>27711.610590060001</v>
      </c>
      <c r="N17" s="92">
        <f>SUMIFS('Assumption-Best'!$G$3:$G$32,'Assumption-Best'!$A$3:$A$32,$B17,'Assumption-Best'!$B$3:$B$32,$C17)</f>
        <v>0.35</v>
      </c>
      <c r="O17" s="14">
        <f t="shared" si="5"/>
        <v>13106.842846649999</v>
      </c>
      <c r="P17" s="94">
        <f t="shared" si="6"/>
        <v>14604.767743410002</v>
      </c>
    </row>
    <row r="18" spans="1:16" x14ac:dyDescent="0.35">
      <c r="A18" s="91" t="str">
        <f>LEFT('2025 actual v budget'!A18,4)&amp;"26"</f>
        <v>Jan-26</v>
      </c>
      <c r="B18" s="12" t="str">
        <f>'2025 actual v budget'!B18</f>
        <v>Mexico</v>
      </c>
      <c r="C18" s="12" t="str">
        <f>'2025 actual v budget'!C18</f>
        <v>Cross-border Payouts</v>
      </c>
      <c r="D18" s="14">
        <f>'2025 actual v budget'!D18</f>
        <v>8400635.9700000007</v>
      </c>
      <c r="E18" s="92">
        <f>SUMIFS('Assumption-Best'!$C$3:$C$32,'Assumption-Best'!$A$3:$A$32,$B18,'Assumption-Best'!$B$3:$B$32,$C18)</f>
        <v>0.3</v>
      </c>
      <c r="F18" s="14">
        <f t="shared" si="0"/>
        <v>10920826.761000002</v>
      </c>
      <c r="G18" s="93">
        <f>SUMIFS('Assumption-Best'!$D$3:$D$32,'Assumption-Best'!$A$3:$A$32,$B18,'Assumption-Best'!$B$3:$B$32,$C18)</f>
        <v>7.4999999999999997E-3</v>
      </c>
      <c r="H18" s="94">
        <f t="shared" si="1"/>
        <v>81906.200707500015</v>
      </c>
      <c r="I18" s="92">
        <f>SUMIFS('Assumption-Best'!$E$3:$E$32,'Assumption-Best'!$A$3:$A$32,$B18,'Assumption-Best'!$B$3:$B$32,$C18)</f>
        <v>0.35</v>
      </c>
      <c r="J18" s="14">
        <f t="shared" si="2"/>
        <v>28667.170247625003</v>
      </c>
      <c r="K18" s="95">
        <f>SUMIFS('Assumption-Best'!$F$3:$F$32,'Assumption-Best'!$A$3:$A$32,$B18,'Assumption-Best'!$B$3:$B$32,$C18)</f>
        <v>8.0000000000000007E-5</v>
      </c>
      <c r="L18" s="14">
        <f t="shared" si="3"/>
        <v>873.66614088000017</v>
      </c>
      <c r="M18" s="94">
        <f t="shared" si="4"/>
        <v>52365.364318995009</v>
      </c>
      <c r="N18" s="92">
        <f>SUMIFS('Assumption-Best'!$G$3:$G$32,'Assumption-Best'!$A$3:$A$32,$B18,'Assumption-Best'!$B$3:$B$32,$C18)</f>
        <v>0.35</v>
      </c>
      <c r="O18" s="14">
        <f t="shared" si="5"/>
        <v>28667.170247625003</v>
      </c>
      <c r="P18" s="94">
        <f t="shared" si="6"/>
        <v>23698.194071370006</v>
      </c>
    </row>
    <row r="19" spans="1:16" x14ac:dyDescent="0.35">
      <c r="A19" s="91" t="str">
        <f>LEFT('2025 actual v budget'!A19,4)&amp;"26"</f>
        <v>Jan-26</v>
      </c>
      <c r="B19" s="12" t="str">
        <f>'2025 actual v budget'!B19</f>
        <v>Mexico</v>
      </c>
      <c r="C19" s="12" t="str">
        <f>'2025 actual v budget'!C19</f>
        <v>FX Conversion</v>
      </c>
      <c r="D19" s="14">
        <f>'2025 actual v budget'!D19</f>
        <v>13310924.1</v>
      </c>
      <c r="E19" s="92">
        <f>SUMIFS('Assumption-Best'!$C$3:$C$32,'Assumption-Best'!$A$3:$A$32,$B19,'Assumption-Best'!$B$3:$B$32,$C19)</f>
        <v>0.3</v>
      </c>
      <c r="F19" s="14">
        <f t="shared" si="0"/>
        <v>17304201.330000002</v>
      </c>
      <c r="G19" s="93">
        <f>SUMIFS('Assumption-Best'!$D$3:$D$32,'Assumption-Best'!$A$3:$A$32,$B19,'Assumption-Best'!$B$3:$B$32,$C19)</f>
        <v>1.0500000000000001E-2</v>
      </c>
      <c r="H19" s="94">
        <f t="shared" si="1"/>
        <v>181694.11396500003</v>
      </c>
      <c r="I19" s="92">
        <f>SUMIFS('Assumption-Best'!$E$3:$E$32,'Assumption-Best'!$A$3:$A$32,$B19,'Assumption-Best'!$B$3:$B$32,$C19)</f>
        <v>0.28000000000000003</v>
      </c>
      <c r="J19" s="14">
        <f t="shared" si="2"/>
        <v>50874.351910200014</v>
      </c>
      <c r="K19" s="95">
        <f>SUMIFS('Assumption-Best'!$F$3:$F$32,'Assumption-Best'!$A$3:$A$32,$B19,'Assumption-Best'!$B$3:$B$32,$C19)</f>
        <v>8.0000000000000007E-5</v>
      </c>
      <c r="L19" s="14">
        <f t="shared" si="3"/>
        <v>1384.3361064000003</v>
      </c>
      <c r="M19" s="94">
        <f t="shared" si="4"/>
        <v>129435.42594840001</v>
      </c>
      <c r="N19" s="92">
        <f>SUMIFS('Assumption-Best'!$G$3:$G$32,'Assumption-Best'!$A$3:$A$32,$B19,'Assumption-Best'!$B$3:$B$32,$C19)</f>
        <v>0.35</v>
      </c>
      <c r="O19" s="14">
        <f t="shared" si="5"/>
        <v>63592.939887750006</v>
      </c>
      <c r="P19" s="94">
        <f t="shared" si="6"/>
        <v>65842.486060650001</v>
      </c>
    </row>
    <row r="20" spans="1:16" x14ac:dyDescent="0.35">
      <c r="A20" s="91" t="str">
        <f>LEFT('2025 actual v budget'!A20,4)&amp;"26"</f>
        <v>Jan-26</v>
      </c>
      <c r="B20" s="12" t="str">
        <f>'2025 actual v budget'!B20</f>
        <v>Mexico</v>
      </c>
      <c r="C20" s="12" t="str">
        <f>'2025 actual v budget'!C20</f>
        <v>Stablecoin Settlement</v>
      </c>
      <c r="D20" s="14">
        <f>'2025 actual v budget'!D20</f>
        <v>20131315.629999999</v>
      </c>
      <c r="E20" s="92">
        <f>SUMIFS('Assumption-Best'!$C$3:$C$32,'Assumption-Best'!$A$3:$A$32,$B20,'Assumption-Best'!$B$3:$B$32,$C20)</f>
        <v>0.6</v>
      </c>
      <c r="F20" s="14">
        <f t="shared" si="0"/>
        <v>32210105.008000001</v>
      </c>
      <c r="G20" s="93">
        <f>SUMIFS('Assumption-Best'!$D$3:$D$32,'Assumption-Best'!$A$3:$A$32,$B20,'Assumption-Best'!$B$3:$B$32,$C20)</f>
        <v>6.4999999999999997E-3</v>
      </c>
      <c r="H20" s="94">
        <f t="shared" si="1"/>
        <v>209365.68255200001</v>
      </c>
      <c r="I20" s="92">
        <f>SUMIFS('Assumption-Best'!$E$3:$E$32,'Assumption-Best'!$A$3:$A$32,$B20,'Assumption-Best'!$B$3:$B$32,$C20)</f>
        <v>0.32</v>
      </c>
      <c r="J20" s="14">
        <f t="shared" si="2"/>
        <v>66997.018416639999</v>
      </c>
      <c r="K20" s="95">
        <f>SUMIFS('Assumption-Best'!$F$3:$F$32,'Assumption-Best'!$A$3:$A$32,$B20,'Assumption-Best'!$B$3:$B$32,$C20)</f>
        <v>8.0000000000000007E-5</v>
      </c>
      <c r="L20" s="14">
        <f t="shared" si="3"/>
        <v>2576.8084006400004</v>
      </c>
      <c r="M20" s="94">
        <f t="shared" si="4"/>
        <v>139791.85573472001</v>
      </c>
      <c r="N20" s="92">
        <f>SUMIFS('Assumption-Best'!$G$3:$G$32,'Assumption-Best'!$A$3:$A$32,$B20,'Assumption-Best'!$B$3:$B$32,$C20)</f>
        <v>0.35</v>
      </c>
      <c r="O20" s="14">
        <f t="shared" si="5"/>
        <v>73277.988893200003</v>
      </c>
      <c r="P20" s="94">
        <f t="shared" si="6"/>
        <v>66513.866841520008</v>
      </c>
    </row>
    <row r="21" spans="1:16" x14ac:dyDescent="0.35">
      <c r="A21" s="91" t="str">
        <f>LEFT('2025 actual v budget'!A21,4)&amp;"26"</f>
        <v>Jan-26</v>
      </c>
      <c r="B21" s="12" t="str">
        <f>'2025 actual v budget'!B21</f>
        <v>Mexico</v>
      </c>
      <c r="C21" s="12" t="str">
        <f>'2025 actual v budget'!C21</f>
        <v>Treasury Yield</v>
      </c>
      <c r="D21" s="14">
        <f>'2025 actual v budget'!D21</f>
        <v>5608966.8099999996</v>
      </c>
      <c r="E21" s="92">
        <f>SUMIFS('Assumption-Best'!$C$3:$C$32,'Assumption-Best'!$A$3:$A$32,$B21,'Assumption-Best'!$B$3:$B$32,$C21)</f>
        <v>0.3</v>
      </c>
      <c r="F21" s="14">
        <f t="shared" si="0"/>
        <v>7291656.8530000001</v>
      </c>
      <c r="G21" s="93">
        <f>SUMIFS('Assumption-Best'!$D$3:$D$32,'Assumption-Best'!$A$3:$A$32,$B21,'Assumption-Best'!$B$3:$B$32,$C21)</f>
        <v>3.0000000000000001E-3</v>
      </c>
      <c r="H21" s="94">
        <f t="shared" si="1"/>
        <v>21874.970559000001</v>
      </c>
      <c r="I21" s="92">
        <f>SUMIFS('Assumption-Best'!$E$3:$E$32,'Assumption-Best'!$A$3:$A$32,$B21,'Assumption-Best'!$B$3:$B$32,$C21)</f>
        <v>0.18</v>
      </c>
      <c r="J21" s="14">
        <f t="shared" si="2"/>
        <v>3937.49470062</v>
      </c>
      <c r="K21" s="95">
        <f>SUMIFS('Assumption-Best'!$F$3:$F$32,'Assumption-Best'!$A$3:$A$32,$B21,'Assumption-Best'!$B$3:$B$32,$C21)</f>
        <v>8.0000000000000007E-5</v>
      </c>
      <c r="L21" s="14">
        <f t="shared" si="3"/>
        <v>583.33254824000005</v>
      </c>
      <c r="M21" s="94">
        <f t="shared" si="4"/>
        <v>17354.14331014</v>
      </c>
      <c r="N21" s="92">
        <f>SUMIFS('Assumption-Best'!$G$3:$G$32,'Assumption-Best'!$A$3:$A$32,$B21,'Assumption-Best'!$B$3:$B$32,$C21)</f>
        <v>0.35</v>
      </c>
      <c r="O21" s="14">
        <f t="shared" si="5"/>
        <v>7656.2396956499997</v>
      </c>
      <c r="P21" s="94">
        <f t="shared" si="6"/>
        <v>9697.9036144900001</v>
      </c>
    </row>
    <row r="22" spans="1:16" x14ac:dyDescent="0.35">
      <c r="A22" s="91" t="str">
        <f>LEFT('2025 actual v budget'!A22,4)&amp;"26"</f>
        <v>Jan-26</v>
      </c>
      <c r="B22" s="12" t="str">
        <f>'2025 actual v budget'!B22</f>
        <v>Mexico</v>
      </c>
      <c r="C22" s="12" t="str">
        <f>'2025 actual v budget'!C22</f>
        <v>Virtual Accounts</v>
      </c>
      <c r="D22" s="14">
        <f>'2025 actual v budget'!D22</f>
        <v>8202495.9500000002</v>
      </c>
      <c r="E22" s="92">
        <f>SUMIFS('Assumption-Best'!$C$3:$C$32,'Assumption-Best'!$A$3:$A$32,$B22,'Assumption-Best'!$B$3:$B$32,$C22)</f>
        <v>0.3</v>
      </c>
      <c r="F22" s="14">
        <f t="shared" si="0"/>
        <v>10663244.735000001</v>
      </c>
      <c r="G22" s="93">
        <f>SUMIFS('Assumption-Best'!$D$3:$D$32,'Assumption-Best'!$A$3:$A$32,$B22,'Assumption-Best'!$B$3:$B$32,$C22)</f>
        <v>4.4999999999999997E-3</v>
      </c>
      <c r="H22" s="94">
        <f t="shared" si="1"/>
        <v>47984.601307500001</v>
      </c>
      <c r="I22" s="92">
        <f>SUMIFS('Assumption-Best'!$E$3:$E$32,'Assumption-Best'!$A$3:$A$32,$B22,'Assumption-Best'!$B$3:$B$32,$C22)</f>
        <v>0.22</v>
      </c>
      <c r="J22" s="14">
        <f t="shared" si="2"/>
        <v>10556.612287649999</v>
      </c>
      <c r="K22" s="95">
        <f>SUMIFS('Assumption-Best'!$F$3:$F$32,'Assumption-Best'!$A$3:$A$32,$B22,'Assumption-Best'!$B$3:$B$32,$C22)</f>
        <v>8.0000000000000007E-5</v>
      </c>
      <c r="L22" s="14">
        <f t="shared" si="3"/>
        <v>853.05957880000017</v>
      </c>
      <c r="M22" s="94">
        <f t="shared" si="4"/>
        <v>36574.929441050001</v>
      </c>
      <c r="N22" s="92">
        <f>SUMIFS('Assumption-Best'!$G$3:$G$32,'Assumption-Best'!$A$3:$A$32,$B22,'Assumption-Best'!$B$3:$B$32,$C22)</f>
        <v>0.35</v>
      </c>
      <c r="O22" s="14">
        <f t="shared" si="5"/>
        <v>16794.610457625</v>
      </c>
      <c r="P22" s="94">
        <f t="shared" si="6"/>
        <v>19780.318983425001</v>
      </c>
    </row>
    <row r="23" spans="1:16" x14ac:dyDescent="0.35">
      <c r="A23" s="91" t="str">
        <f>LEFT('2025 actual v budget'!A23,4)&amp;"26"</f>
        <v>Jan-26</v>
      </c>
      <c r="B23" s="12" t="str">
        <f>'2025 actual v budget'!B23</f>
        <v>Singapore</v>
      </c>
      <c r="C23" s="12" t="str">
        <f>'2025 actual v budget'!C23</f>
        <v>Cross-border Payouts</v>
      </c>
      <c r="D23" s="14">
        <f>'2025 actual v budget'!D23</f>
        <v>7331464.1200000001</v>
      </c>
      <c r="E23" s="92">
        <f>SUMIFS('Assumption-Best'!$C$3:$C$32,'Assumption-Best'!$A$3:$A$32,$B23,'Assumption-Best'!$B$3:$B$32,$C23)</f>
        <v>0.1</v>
      </c>
      <c r="F23" s="14">
        <f t="shared" si="0"/>
        <v>8064610.5320000006</v>
      </c>
      <c r="G23" s="93">
        <f>SUMIFS('Assumption-Best'!$D$3:$D$32,'Assumption-Best'!$A$3:$A$32,$B23,'Assumption-Best'!$B$3:$B$32,$C23)</f>
        <v>7.4999999999999997E-3</v>
      </c>
      <c r="H23" s="94">
        <f t="shared" si="1"/>
        <v>60484.578990000002</v>
      </c>
      <c r="I23" s="92">
        <f>SUMIFS('Assumption-Best'!$E$3:$E$32,'Assumption-Best'!$A$3:$A$32,$B23,'Assumption-Best'!$B$3:$B$32,$C23)</f>
        <v>0.35</v>
      </c>
      <c r="J23" s="14">
        <f t="shared" si="2"/>
        <v>21169.6026465</v>
      </c>
      <c r="K23" s="95">
        <f>SUMIFS('Assumption-Best'!$F$3:$F$32,'Assumption-Best'!$A$3:$A$32,$B23,'Assumption-Best'!$B$3:$B$32,$C23)</f>
        <v>9.0000000000000006E-5</v>
      </c>
      <c r="L23" s="14">
        <f t="shared" si="3"/>
        <v>725.81494788000009</v>
      </c>
      <c r="M23" s="94">
        <f t="shared" si="4"/>
        <v>38589.161395620009</v>
      </c>
      <c r="N23" s="92">
        <f>SUMIFS('Assumption-Best'!$G$3:$G$32,'Assumption-Best'!$A$3:$A$32,$B23,'Assumption-Best'!$B$3:$B$32,$C23)</f>
        <v>0.35</v>
      </c>
      <c r="O23" s="14">
        <f t="shared" si="5"/>
        <v>21169.6026465</v>
      </c>
      <c r="P23" s="94">
        <f t="shared" si="6"/>
        <v>17419.558749120009</v>
      </c>
    </row>
    <row r="24" spans="1:16" x14ac:dyDescent="0.35">
      <c r="A24" s="91" t="str">
        <f>LEFT('2025 actual v budget'!A24,4)&amp;"26"</f>
        <v>Jan-26</v>
      </c>
      <c r="B24" s="12" t="str">
        <f>'2025 actual v budget'!B24</f>
        <v>Singapore</v>
      </c>
      <c r="C24" s="12" t="str">
        <f>'2025 actual v budget'!C24</f>
        <v>FX Conversion</v>
      </c>
      <c r="D24" s="14">
        <f>'2025 actual v budget'!D24</f>
        <v>11616806.49</v>
      </c>
      <c r="E24" s="92">
        <f>SUMIFS('Assumption-Best'!$C$3:$C$32,'Assumption-Best'!$A$3:$A$32,$B24,'Assumption-Best'!$B$3:$B$32,$C24)</f>
        <v>0.1</v>
      </c>
      <c r="F24" s="14">
        <f t="shared" si="0"/>
        <v>12778487.139</v>
      </c>
      <c r="G24" s="93">
        <f>SUMIFS('Assumption-Best'!$D$3:$D$32,'Assumption-Best'!$A$3:$A$32,$B24,'Assumption-Best'!$B$3:$B$32,$C24)</f>
        <v>1.0500000000000001E-2</v>
      </c>
      <c r="H24" s="94">
        <f t="shared" si="1"/>
        <v>134174.1149595</v>
      </c>
      <c r="I24" s="92">
        <f>SUMIFS('Assumption-Best'!$E$3:$E$32,'Assumption-Best'!$A$3:$A$32,$B24,'Assumption-Best'!$B$3:$B$32,$C24)</f>
        <v>0.28000000000000003</v>
      </c>
      <c r="J24" s="14">
        <f t="shared" si="2"/>
        <v>37568.752188660001</v>
      </c>
      <c r="K24" s="95">
        <f>SUMIFS('Assumption-Best'!$F$3:$F$32,'Assumption-Best'!$A$3:$A$32,$B24,'Assumption-Best'!$B$3:$B$32,$C24)</f>
        <v>9.0000000000000006E-5</v>
      </c>
      <c r="L24" s="14">
        <f t="shared" si="3"/>
        <v>1150.0638425100001</v>
      </c>
      <c r="M24" s="94">
        <f t="shared" si="4"/>
        <v>95455.298928329998</v>
      </c>
      <c r="N24" s="92">
        <f>SUMIFS('Assumption-Best'!$G$3:$G$32,'Assumption-Best'!$A$3:$A$32,$B24,'Assumption-Best'!$B$3:$B$32,$C24)</f>
        <v>0.35</v>
      </c>
      <c r="O24" s="14">
        <f t="shared" si="5"/>
        <v>46960.940235825001</v>
      </c>
      <c r="P24" s="94">
        <f t="shared" si="6"/>
        <v>48494.358692504997</v>
      </c>
    </row>
    <row r="25" spans="1:16" x14ac:dyDescent="0.35">
      <c r="A25" s="91" t="str">
        <f>LEFT('2025 actual v budget'!A25,4)&amp;"26"</f>
        <v>Jan-26</v>
      </c>
      <c r="B25" s="12" t="str">
        <f>'2025 actual v budget'!B25</f>
        <v>Singapore</v>
      </c>
      <c r="C25" s="12" t="str">
        <f>'2025 actual v budget'!C25</f>
        <v>Stablecoin Settlement</v>
      </c>
      <c r="D25" s="14">
        <f>'2025 actual v budget'!D25</f>
        <v>17569148.190000001</v>
      </c>
      <c r="E25" s="92">
        <f>SUMIFS('Assumption-Best'!$C$3:$C$32,'Assumption-Best'!$A$3:$A$32,$B25,'Assumption-Best'!$B$3:$B$32,$C25)</f>
        <v>0.2</v>
      </c>
      <c r="F25" s="14">
        <f t="shared" si="0"/>
        <v>21082977.828000002</v>
      </c>
      <c r="G25" s="93">
        <f>SUMIFS('Assumption-Best'!$D$3:$D$32,'Assumption-Best'!$A$3:$A$32,$B25,'Assumption-Best'!$B$3:$B$32,$C25)</f>
        <v>6.4999999999999997E-3</v>
      </c>
      <c r="H25" s="94">
        <f t="shared" si="1"/>
        <v>137039.355882</v>
      </c>
      <c r="I25" s="92">
        <f>SUMIFS('Assumption-Best'!$E$3:$E$32,'Assumption-Best'!$A$3:$A$32,$B25,'Assumption-Best'!$B$3:$B$32,$C25)</f>
        <v>0.32</v>
      </c>
      <c r="J25" s="14">
        <f t="shared" si="2"/>
        <v>43852.593882239998</v>
      </c>
      <c r="K25" s="95">
        <f>SUMIFS('Assumption-Best'!$F$3:$F$32,'Assumption-Best'!$A$3:$A$32,$B25,'Assumption-Best'!$B$3:$B$32,$C25)</f>
        <v>9.0000000000000006E-5</v>
      </c>
      <c r="L25" s="14">
        <f t="shared" si="3"/>
        <v>1897.4680045200002</v>
      </c>
      <c r="M25" s="94">
        <f t="shared" si="4"/>
        <v>91289.293995240005</v>
      </c>
      <c r="N25" s="92">
        <f>SUMIFS('Assumption-Best'!$G$3:$G$32,'Assumption-Best'!$A$3:$A$32,$B25,'Assumption-Best'!$B$3:$B$32,$C25)</f>
        <v>0.35</v>
      </c>
      <c r="O25" s="14">
        <f t="shared" si="5"/>
        <v>47963.774558699995</v>
      </c>
      <c r="P25" s="94">
        <f t="shared" si="6"/>
        <v>43325.519436540009</v>
      </c>
    </row>
    <row r="26" spans="1:16" x14ac:dyDescent="0.35">
      <c r="A26" s="91" t="str">
        <f>LEFT('2025 actual v budget'!A26,4)&amp;"26"</f>
        <v>Jan-26</v>
      </c>
      <c r="B26" s="12" t="str">
        <f>'2025 actual v budget'!B26</f>
        <v>Singapore</v>
      </c>
      <c r="C26" s="12" t="str">
        <f>'2025 actual v budget'!C26</f>
        <v>Treasury Yield</v>
      </c>
      <c r="D26" s="14">
        <f>'2025 actual v budget'!D26</f>
        <v>4895098.3099999996</v>
      </c>
      <c r="E26" s="92">
        <f>SUMIFS('Assumption-Best'!$C$3:$C$32,'Assumption-Best'!$A$3:$A$32,$B26,'Assumption-Best'!$B$3:$B$32,$C26)</f>
        <v>0.1</v>
      </c>
      <c r="F26" s="14">
        <f t="shared" si="0"/>
        <v>5384608.1409999998</v>
      </c>
      <c r="G26" s="93">
        <f>SUMIFS('Assumption-Best'!$D$3:$D$32,'Assumption-Best'!$A$3:$A$32,$B26,'Assumption-Best'!$B$3:$B$32,$C26)</f>
        <v>3.0000000000000001E-3</v>
      </c>
      <c r="H26" s="94">
        <f t="shared" si="1"/>
        <v>16153.824423</v>
      </c>
      <c r="I26" s="92">
        <f>SUMIFS('Assumption-Best'!$E$3:$E$32,'Assumption-Best'!$A$3:$A$32,$B26,'Assumption-Best'!$B$3:$B$32,$C26)</f>
        <v>0.18</v>
      </c>
      <c r="J26" s="14">
        <f t="shared" si="2"/>
        <v>2907.6883961399999</v>
      </c>
      <c r="K26" s="95">
        <f>SUMIFS('Assumption-Best'!$F$3:$F$32,'Assumption-Best'!$A$3:$A$32,$B26,'Assumption-Best'!$B$3:$B$32,$C26)</f>
        <v>9.0000000000000006E-5</v>
      </c>
      <c r="L26" s="14">
        <f t="shared" si="3"/>
        <v>484.61473269000004</v>
      </c>
      <c r="M26" s="94">
        <f t="shared" si="4"/>
        <v>12761.521294169999</v>
      </c>
      <c r="N26" s="92">
        <f>SUMIFS('Assumption-Best'!$G$3:$G$32,'Assumption-Best'!$A$3:$A$32,$B26,'Assumption-Best'!$B$3:$B$32,$C26)</f>
        <v>0.35</v>
      </c>
      <c r="O26" s="14">
        <f t="shared" si="5"/>
        <v>5653.8385480500001</v>
      </c>
      <c r="P26" s="94">
        <f t="shared" si="6"/>
        <v>7107.6827461199991</v>
      </c>
    </row>
    <row r="27" spans="1:16" x14ac:dyDescent="0.35">
      <c r="A27" s="91" t="str">
        <f>LEFT('2025 actual v budget'!A27,4)&amp;"26"</f>
        <v>Jan-26</v>
      </c>
      <c r="B27" s="12" t="str">
        <f>'2025 actual v budget'!B27</f>
        <v>Singapore</v>
      </c>
      <c r="C27" s="12" t="str">
        <f>'2025 actual v budget'!C27</f>
        <v>Virtual Accounts</v>
      </c>
      <c r="D27" s="14">
        <f>'2025 actual v budget'!D27</f>
        <v>7158541.9199999999</v>
      </c>
      <c r="E27" s="92">
        <f>SUMIFS('Assumption-Best'!$C$3:$C$32,'Assumption-Best'!$A$3:$A$32,$B27,'Assumption-Best'!$B$3:$B$32,$C27)</f>
        <v>0.1</v>
      </c>
      <c r="F27" s="14">
        <f t="shared" si="0"/>
        <v>7874396.1120000007</v>
      </c>
      <c r="G27" s="93">
        <f>SUMIFS('Assumption-Best'!$D$3:$D$32,'Assumption-Best'!$A$3:$A$32,$B27,'Assumption-Best'!$B$3:$B$32,$C27)</f>
        <v>4.4999999999999997E-3</v>
      </c>
      <c r="H27" s="94">
        <f t="shared" si="1"/>
        <v>35434.782504000003</v>
      </c>
      <c r="I27" s="92">
        <f>SUMIFS('Assumption-Best'!$E$3:$E$32,'Assumption-Best'!$A$3:$A$32,$B27,'Assumption-Best'!$B$3:$B$32,$C27)</f>
        <v>0.22</v>
      </c>
      <c r="J27" s="14">
        <f t="shared" si="2"/>
        <v>7795.6521508800006</v>
      </c>
      <c r="K27" s="95">
        <f>SUMIFS('Assumption-Best'!$F$3:$F$32,'Assumption-Best'!$A$3:$A$32,$B27,'Assumption-Best'!$B$3:$B$32,$C27)</f>
        <v>9.0000000000000006E-5</v>
      </c>
      <c r="L27" s="14">
        <f t="shared" si="3"/>
        <v>708.69565008000006</v>
      </c>
      <c r="M27" s="94">
        <f t="shared" si="4"/>
        <v>26930.434703040002</v>
      </c>
      <c r="N27" s="92">
        <f>SUMIFS('Assumption-Best'!$G$3:$G$32,'Assumption-Best'!$A$3:$A$32,$B27,'Assumption-Best'!$B$3:$B$32,$C27)</f>
        <v>0.35</v>
      </c>
      <c r="O27" s="14">
        <f t="shared" si="5"/>
        <v>12402.1738764</v>
      </c>
      <c r="P27" s="94">
        <f t="shared" si="6"/>
        <v>14528.260826640002</v>
      </c>
    </row>
    <row r="28" spans="1:16" x14ac:dyDescent="0.35">
      <c r="A28" s="91" t="str">
        <f>LEFT('2025 actual v budget'!A28,4)&amp;"26"</f>
        <v>Jan-26</v>
      </c>
      <c r="B28" s="12" t="str">
        <f>'2025 actual v budget'!B28</f>
        <v>USA</v>
      </c>
      <c r="C28" s="12" t="str">
        <f>'2025 actual v budget'!C28</f>
        <v>Cross-border Payouts</v>
      </c>
      <c r="D28" s="14">
        <f>'2025 actual v budget'!D28</f>
        <v>18328660.289999999</v>
      </c>
      <c r="E28" s="92">
        <f>SUMIFS('Assumption-Best'!$C$3:$C$32,'Assumption-Best'!$A$3:$A$32,$B28,'Assumption-Best'!$B$3:$B$32,$C28)</f>
        <v>0.2</v>
      </c>
      <c r="F28" s="14">
        <f t="shared" si="0"/>
        <v>21994392.347999997</v>
      </c>
      <c r="G28" s="93">
        <f>SUMIFS('Assumption-Best'!$D$3:$D$32,'Assumption-Best'!$A$3:$A$32,$B28,'Assumption-Best'!$B$3:$B$32,$C28)</f>
        <v>7.4999999999999997E-3</v>
      </c>
      <c r="H28" s="94">
        <f t="shared" si="1"/>
        <v>164957.94260999997</v>
      </c>
      <c r="I28" s="92">
        <f>SUMIFS('Assumption-Best'!$E$3:$E$32,'Assumption-Best'!$A$3:$A$32,$B28,'Assumption-Best'!$B$3:$B$32,$C28)</f>
        <v>0.35</v>
      </c>
      <c r="J28" s="14">
        <f t="shared" si="2"/>
        <v>57735.279913499988</v>
      </c>
      <c r="K28" s="95">
        <f>SUMIFS('Assumption-Best'!$F$3:$F$32,'Assumption-Best'!$A$3:$A$32,$B28,'Assumption-Best'!$B$3:$B$32,$C28)</f>
        <v>2.0000000000000001E-4</v>
      </c>
      <c r="L28" s="14">
        <f t="shared" si="3"/>
        <v>4398.8784695999993</v>
      </c>
      <c r="M28" s="94">
        <f t="shared" si="4"/>
        <v>102823.7842269</v>
      </c>
      <c r="N28" s="92">
        <f>SUMIFS('Assumption-Best'!$G$3:$G$32,'Assumption-Best'!$A$3:$A$32,$B28,'Assumption-Best'!$B$3:$B$32,$C28)</f>
        <v>0.35</v>
      </c>
      <c r="O28" s="14">
        <f t="shared" si="5"/>
        <v>57735.279913499988</v>
      </c>
      <c r="P28" s="94">
        <f t="shared" si="6"/>
        <v>45088.504313400008</v>
      </c>
    </row>
    <row r="29" spans="1:16" x14ac:dyDescent="0.35">
      <c r="A29" s="91" t="str">
        <f>LEFT('2025 actual v budget'!A29,4)&amp;"26"</f>
        <v>Jan-26</v>
      </c>
      <c r="B29" s="12" t="str">
        <f>'2025 actual v budget'!B29</f>
        <v>USA</v>
      </c>
      <c r="C29" s="12" t="str">
        <f>'2025 actual v budget'!C29</f>
        <v>FX Conversion</v>
      </c>
      <c r="D29" s="14">
        <f>'2025 actual v budget'!D29</f>
        <v>29042016.210000001</v>
      </c>
      <c r="E29" s="92">
        <f>SUMIFS('Assumption-Best'!$C$3:$C$32,'Assumption-Best'!$A$3:$A$32,$B29,'Assumption-Best'!$B$3:$B$32,$C29)</f>
        <v>0.2</v>
      </c>
      <c r="F29" s="14">
        <f t="shared" si="0"/>
        <v>34850419.452</v>
      </c>
      <c r="G29" s="93">
        <f>SUMIFS('Assumption-Best'!$D$3:$D$32,'Assumption-Best'!$A$3:$A$32,$B29,'Assumption-Best'!$B$3:$B$32,$C29)</f>
        <v>1.0500000000000001E-2</v>
      </c>
      <c r="H29" s="94">
        <f t="shared" si="1"/>
        <v>365929.40424599999</v>
      </c>
      <c r="I29" s="92">
        <f>SUMIFS('Assumption-Best'!$E$3:$E$32,'Assumption-Best'!$A$3:$A$32,$B29,'Assumption-Best'!$B$3:$B$32,$C29)</f>
        <v>0.28000000000000003</v>
      </c>
      <c r="J29" s="14">
        <f t="shared" si="2"/>
        <v>102460.23318888001</v>
      </c>
      <c r="K29" s="95">
        <f>SUMIFS('Assumption-Best'!$F$3:$F$32,'Assumption-Best'!$A$3:$A$32,$B29,'Assumption-Best'!$B$3:$B$32,$C29)</f>
        <v>2.0000000000000001E-4</v>
      </c>
      <c r="L29" s="14">
        <f t="shared" si="3"/>
        <v>6970.0838904000002</v>
      </c>
      <c r="M29" s="94">
        <f t="shared" si="4"/>
        <v>256499.08716671995</v>
      </c>
      <c r="N29" s="92">
        <f>SUMIFS('Assumption-Best'!$G$3:$G$32,'Assumption-Best'!$A$3:$A$32,$B29,'Assumption-Best'!$B$3:$B$32,$C29)</f>
        <v>0.35</v>
      </c>
      <c r="O29" s="14">
        <f t="shared" si="5"/>
        <v>128075.29148609999</v>
      </c>
      <c r="P29" s="94">
        <f t="shared" si="6"/>
        <v>128423.79568061997</v>
      </c>
    </row>
    <row r="30" spans="1:16" x14ac:dyDescent="0.35">
      <c r="A30" s="91" t="str">
        <f>LEFT('2025 actual v budget'!A30,4)&amp;"26"</f>
        <v>Jan-26</v>
      </c>
      <c r="B30" s="12" t="str">
        <f>'2025 actual v budget'!B30</f>
        <v>USA</v>
      </c>
      <c r="C30" s="12" t="str">
        <f>'2025 actual v budget'!C30</f>
        <v>Stablecoin Settlement</v>
      </c>
      <c r="D30" s="14">
        <f>'2025 actual v budget'!D30</f>
        <v>43922870.469999999</v>
      </c>
      <c r="E30" s="92">
        <f>SUMIFS('Assumption-Best'!$C$3:$C$32,'Assumption-Best'!$A$3:$A$32,$B30,'Assumption-Best'!$B$3:$B$32,$C30)</f>
        <v>0.4</v>
      </c>
      <c r="F30" s="14">
        <f t="shared" si="0"/>
        <v>61492018.657999992</v>
      </c>
      <c r="G30" s="93">
        <f>SUMIFS('Assumption-Best'!$D$3:$D$32,'Assumption-Best'!$A$3:$A$32,$B30,'Assumption-Best'!$B$3:$B$32,$C30)</f>
        <v>6.4999999999999997E-3</v>
      </c>
      <c r="H30" s="94">
        <f t="shared" si="1"/>
        <v>399698.12127699994</v>
      </c>
      <c r="I30" s="92">
        <f>SUMIFS('Assumption-Best'!$E$3:$E$32,'Assumption-Best'!$A$3:$A$32,$B30,'Assumption-Best'!$B$3:$B$32,$C30)</f>
        <v>0.32</v>
      </c>
      <c r="J30" s="14">
        <f t="shared" si="2"/>
        <v>127903.39880863998</v>
      </c>
      <c r="K30" s="95">
        <f>SUMIFS('Assumption-Best'!$F$3:$F$32,'Assumption-Best'!$A$3:$A$32,$B30,'Assumption-Best'!$B$3:$B$32,$C30)</f>
        <v>2.0000000000000001E-4</v>
      </c>
      <c r="L30" s="14">
        <f t="shared" si="3"/>
        <v>12298.403731599999</v>
      </c>
      <c r="M30" s="94">
        <f t="shared" si="4"/>
        <v>259496.31873675997</v>
      </c>
      <c r="N30" s="92">
        <f>SUMIFS('Assumption-Best'!$G$3:$G$32,'Assumption-Best'!$A$3:$A$32,$B30,'Assumption-Best'!$B$3:$B$32,$C30)</f>
        <v>0.35</v>
      </c>
      <c r="O30" s="14">
        <f t="shared" si="5"/>
        <v>139894.34244694997</v>
      </c>
      <c r="P30" s="94">
        <f t="shared" si="6"/>
        <v>119601.97628981</v>
      </c>
    </row>
    <row r="31" spans="1:16" x14ac:dyDescent="0.35">
      <c r="A31" s="91" t="str">
        <f>LEFT('2025 actual v budget'!A31,4)&amp;"26"</f>
        <v>Jan-26</v>
      </c>
      <c r="B31" s="12" t="str">
        <f>'2025 actual v budget'!B31</f>
        <v>USA</v>
      </c>
      <c r="C31" s="12" t="str">
        <f>'2025 actual v budget'!C31</f>
        <v>Treasury Yield</v>
      </c>
      <c r="D31" s="14">
        <f>'2025 actual v budget'!D31</f>
        <v>12237745.77</v>
      </c>
      <c r="E31" s="92">
        <f>SUMIFS('Assumption-Best'!$C$3:$C$32,'Assumption-Best'!$A$3:$A$32,$B31,'Assumption-Best'!$B$3:$B$32,$C31)</f>
        <v>0.2</v>
      </c>
      <c r="F31" s="14">
        <f t="shared" si="0"/>
        <v>14685294.923999999</v>
      </c>
      <c r="G31" s="93">
        <f>SUMIFS('Assumption-Best'!$D$3:$D$32,'Assumption-Best'!$A$3:$A$32,$B31,'Assumption-Best'!$B$3:$B$32,$C31)</f>
        <v>3.0000000000000001E-3</v>
      </c>
      <c r="H31" s="94">
        <f t="shared" si="1"/>
        <v>44055.884771999998</v>
      </c>
      <c r="I31" s="92">
        <f>SUMIFS('Assumption-Best'!$E$3:$E$32,'Assumption-Best'!$A$3:$A$32,$B31,'Assumption-Best'!$B$3:$B$32,$C31)</f>
        <v>0.18</v>
      </c>
      <c r="J31" s="14">
        <f t="shared" si="2"/>
        <v>7930.0592589599992</v>
      </c>
      <c r="K31" s="95">
        <f>SUMIFS('Assumption-Best'!$F$3:$F$32,'Assumption-Best'!$A$3:$A$32,$B31,'Assumption-Best'!$B$3:$B$32,$C31)</f>
        <v>2.0000000000000001E-4</v>
      </c>
      <c r="L31" s="14">
        <f t="shared" si="3"/>
        <v>2937.0589848</v>
      </c>
      <c r="M31" s="94">
        <f t="shared" si="4"/>
        <v>33188.766528239998</v>
      </c>
      <c r="N31" s="92">
        <f>SUMIFS('Assumption-Best'!$G$3:$G$32,'Assumption-Best'!$A$3:$A$32,$B31,'Assumption-Best'!$B$3:$B$32,$C31)</f>
        <v>0.35</v>
      </c>
      <c r="O31" s="14">
        <f t="shared" si="5"/>
        <v>15419.559670199998</v>
      </c>
      <c r="P31" s="94">
        <f t="shared" si="6"/>
        <v>17769.206858040001</v>
      </c>
    </row>
    <row r="32" spans="1:16" x14ac:dyDescent="0.35">
      <c r="A32" s="91" t="str">
        <f>LEFT('2025 actual v budget'!A32,4)&amp;"26"</f>
        <v>Jan-26</v>
      </c>
      <c r="B32" s="12" t="str">
        <f>'2025 actual v budget'!B32</f>
        <v>USA</v>
      </c>
      <c r="C32" s="12" t="str">
        <f>'2025 actual v budget'!C32</f>
        <v>Virtual Accounts</v>
      </c>
      <c r="D32" s="14">
        <f>'2025 actual v budget'!D32</f>
        <v>17896354.809999999</v>
      </c>
      <c r="E32" s="92">
        <f>SUMIFS('Assumption-Best'!$C$3:$C$32,'Assumption-Best'!$A$3:$A$32,$B32,'Assumption-Best'!$B$3:$B$32,$C32)</f>
        <v>0.2</v>
      </c>
      <c r="F32" s="14">
        <f t="shared" si="0"/>
        <v>21475625.771999996</v>
      </c>
      <c r="G32" s="93">
        <f>SUMIFS('Assumption-Best'!$D$3:$D$32,'Assumption-Best'!$A$3:$A$32,$B32,'Assumption-Best'!$B$3:$B$32,$C32)</f>
        <v>4.4999999999999997E-3</v>
      </c>
      <c r="H32" s="94">
        <f t="shared" si="1"/>
        <v>96640.315973999968</v>
      </c>
      <c r="I32" s="92">
        <f>SUMIFS('Assumption-Best'!$E$3:$E$32,'Assumption-Best'!$A$3:$A$32,$B32,'Assumption-Best'!$B$3:$B$32,$C32)</f>
        <v>0.22</v>
      </c>
      <c r="J32" s="14">
        <f t="shared" si="2"/>
        <v>21260.869514279992</v>
      </c>
      <c r="K32" s="95">
        <f>SUMIFS('Assumption-Best'!$F$3:$F$32,'Assumption-Best'!$A$3:$A$32,$B32,'Assumption-Best'!$B$3:$B$32,$C32)</f>
        <v>2.0000000000000001E-4</v>
      </c>
      <c r="L32" s="14">
        <f t="shared" si="3"/>
        <v>4295.1251543999997</v>
      </c>
      <c r="M32" s="94">
        <f t="shared" si="4"/>
        <v>71084.321305319972</v>
      </c>
      <c r="N32" s="92">
        <f>SUMIFS('Assumption-Best'!$G$3:$G$32,'Assumption-Best'!$A$3:$A$32,$B32,'Assumption-Best'!$B$3:$B$32,$C32)</f>
        <v>0.35</v>
      </c>
      <c r="O32" s="14">
        <f t="shared" si="5"/>
        <v>33824.110590899989</v>
      </c>
      <c r="P32" s="94">
        <f t="shared" si="6"/>
        <v>37260.210714419984</v>
      </c>
    </row>
    <row r="33" spans="1:16" x14ac:dyDescent="0.35">
      <c r="A33" s="96" t="str">
        <f>LEFT('2025 actual v budget'!A33,4)&amp;"26"</f>
        <v>Feb-26</v>
      </c>
      <c r="B33" s="17" t="str">
        <f>'2025 actual v budget'!B33</f>
        <v>Brazil</v>
      </c>
      <c r="C33" s="17" t="str">
        <f>'2025 actual v budget'!C33</f>
        <v>Cross-border Payouts</v>
      </c>
      <c r="D33" s="19">
        <f>'2025 actual v budget'!D33</f>
        <v>11369618.029999999</v>
      </c>
      <c r="E33" s="97">
        <f>SUMIFS('Assumption-Best'!$C$3:$C$32,'Assumption-Best'!$A$3:$A$32,$B33,'Assumption-Best'!$B$3:$B$32,$C33)</f>
        <v>0.4</v>
      </c>
      <c r="F33" s="19">
        <f t="shared" si="0"/>
        <v>15917465.241999999</v>
      </c>
      <c r="G33" s="98">
        <f>SUMIFS('Assumption-Best'!$D$3:$D$32,'Assumption-Best'!$A$3:$A$32,$B33,'Assumption-Best'!$B$3:$B$32,$C33)</f>
        <v>7.4999999999999997E-3</v>
      </c>
      <c r="H33" s="99">
        <f t="shared" si="1"/>
        <v>119380.98931499998</v>
      </c>
      <c r="I33" s="97">
        <f>SUMIFS('Assumption-Best'!$E$3:$E$32,'Assumption-Best'!$A$3:$A$32,$B33,'Assumption-Best'!$B$3:$B$32,$C33)</f>
        <v>0.35</v>
      </c>
      <c r="J33" s="19">
        <f t="shared" si="2"/>
        <v>41783.346260249993</v>
      </c>
      <c r="K33" s="100">
        <f>SUMIFS('Assumption-Best'!$F$3:$F$32,'Assumption-Best'!$A$3:$A$32,$B33,'Assumption-Best'!$B$3:$B$32,$C33)</f>
        <v>6.9999999999999994E-5</v>
      </c>
      <c r="L33" s="19">
        <f t="shared" si="3"/>
        <v>1114.2225669399998</v>
      </c>
      <c r="M33" s="99">
        <f t="shared" si="4"/>
        <v>76483.420487809984</v>
      </c>
      <c r="N33" s="97">
        <f>SUMIFS('Assumption-Best'!$G$3:$G$32,'Assumption-Best'!$A$3:$A$32,$B33,'Assumption-Best'!$B$3:$B$32,$C33)</f>
        <v>0.35</v>
      </c>
      <c r="O33" s="19">
        <f t="shared" si="5"/>
        <v>41783.346260249993</v>
      </c>
      <c r="P33" s="99">
        <f t="shared" si="6"/>
        <v>34700.074227559991</v>
      </c>
    </row>
    <row r="34" spans="1:16" x14ac:dyDescent="0.35">
      <c r="A34" s="96" t="str">
        <f>LEFT('2025 actual v budget'!A34,4)&amp;"26"</f>
        <v>Feb-26</v>
      </c>
      <c r="B34" s="17" t="str">
        <f>'2025 actual v budget'!B34</f>
        <v>Brazil</v>
      </c>
      <c r="C34" s="17" t="str">
        <f>'2025 actual v budget'!C34</f>
        <v>FX Conversion</v>
      </c>
      <c r="D34" s="19">
        <f>'2025 actual v budget'!D34</f>
        <v>18160814.719999999</v>
      </c>
      <c r="E34" s="97">
        <f>SUMIFS('Assumption-Best'!$C$3:$C$32,'Assumption-Best'!$A$3:$A$32,$B34,'Assumption-Best'!$B$3:$B$32,$C34)</f>
        <v>0.4</v>
      </c>
      <c r="F34" s="19">
        <f t="shared" si="0"/>
        <v>25425140.607999995</v>
      </c>
      <c r="G34" s="98">
        <f>SUMIFS('Assumption-Best'!$D$3:$D$32,'Assumption-Best'!$A$3:$A$32,$B34,'Assumption-Best'!$B$3:$B$32,$C34)</f>
        <v>1.0500000000000001E-2</v>
      </c>
      <c r="H34" s="99">
        <f t="shared" si="1"/>
        <v>266963.97638399998</v>
      </c>
      <c r="I34" s="97">
        <f>SUMIFS('Assumption-Best'!$E$3:$E$32,'Assumption-Best'!$A$3:$A$32,$B34,'Assumption-Best'!$B$3:$B$32,$C34)</f>
        <v>0.28000000000000003</v>
      </c>
      <c r="J34" s="19">
        <f t="shared" si="2"/>
        <v>74749.913387520006</v>
      </c>
      <c r="K34" s="100">
        <f>SUMIFS('Assumption-Best'!$F$3:$F$32,'Assumption-Best'!$A$3:$A$32,$B34,'Assumption-Best'!$B$3:$B$32,$C34)</f>
        <v>6.9999999999999994E-5</v>
      </c>
      <c r="L34" s="19">
        <f t="shared" si="3"/>
        <v>1779.7598425599995</v>
      </c>
      <c r="M34" s="99">
        <f t="shared" si="4"/>
        <v>190434.30315391999</v>
      </c>
      <c r="N34" s="97">
        <f>SUMIFS('Assumption-Best'!$G$3:$G$32,'Assumption-Best'!$A$3:$A$32,$B34,'Assumption-Best'!$B$3:$B$32,$C34)</f>
        <v>0.35</v>
      </c>
      <c r="O34" s="19">
        <f t="shared" si="5"/>
        <v>93437.391734399993</v>
      </c>
      <c r="P34" s="99">
        <f t="shared" si="6"/>
        <v>96996.911419519995</v>
      </c>
    </row>
    <row r="35" spans="1:16" x14ac:dyDescent="0.35">
      <c r="A35" s="96" t="str">
        <f>LEFT('2025 actual v budget'!A35,4)&amp;"26"</f>
        <v>Feb-26</v>
      </c>
      <c r="B35" s="17" t="str">
        <f>'2025 actual v budget'!B35</f>
        <v>Brazil</v>
      </c>
      <c r="C35" s="17" t="str">
        <f>'2025 actual v budget'!C35</f>
        <v>Stablecoin Settlement</v>
      </c>
      <c r="D35" s="19">
        <f>'2025 actual v budget'!D35</f>
        <v>26833248.969999999</v>
      </c>
      <c r="E35" s="97">
        <f>SUMIFS('Assumption-Best'!$C$3:$C$32,'Assumption-Best'!$A$3:$A$32,$B35,'Assumption-Best'!$B$3:$B$32,$C35)</f>
        <v>0.8</v>
      </c>
      <c r="F35" s="19">
        <f t="shared" si="0"/>
        <v>48299848.145999998</v>
      </c>
      <c r="G35" s="98">
        <f>SUMIFS('Assumption-Best'!$D$3:$D$32,'Assumption-Best'!$A$3:$A$32,$B35,'Assumption-Best'!$B$3:$B$32,$C35)</f>
        <v>6.4999999999999997E-3</v>
      </c>
      <c r="H35" s="99">
        <f t="shared" si="1"/>
        <v>313949.012949</v>
      </c>
      <c r="I35" s="97">
        <f>SUMIFS('Assumption-Best'!$E$3:$E$32,'Assumption-Best'!$A$3:$A$32,$B35,'Assumption-Best'!$B$3:$B$32,$C35)</f>
        <v>0.32</v>
      </c>
      <c r="J35" s="19">
        <f t="shared" si="2"/>
        <v>100463.68414368</v>
      </c>
      <c r="K35" s="100">
        <f>SUMIFS('Assumption-Best'!$F$3:$F$32,'Assumption-Best'!$A$3:$A$32,$B35,'Assumption-Best'!$B$3:$B$32,$C35)</f>
        <v>6.9999999999999994E-5</v>
      </c>
      <c r="L35" s="19">
        <f t="shared" si="3"/>
        <v>3380.9893702199997</v>
      </c>
      <c r="M35" s="99">
        <f t="shared" si="4"/>
        <v>210104.3394351</v>
      </c>
      <c r="N35" s="97">
        <f>SUMIFS('Assumption-Best'!$G$3:$G$32,'Assumption-Best'!$A$3:$A$32,$B35,'Assumption-Best'!$B$3:$B$32,$C35)</f>
        <v>0.35</v>
      </c>
      <c r="O35" s="19">
        <f t="shared" si="5"/>
        <v>109882.15453214999</v>
      </c>
      <c r="P35" s="99">
        <f t="shared" si="6"/>
        <v>100222.18490295002</v>
      </c>
    </row>
    <row r="36" spans="1:16" x14ac:dyDescent="0.35">
      <c r="A36" s="96" t="str">
        <f>LEFT('2025 actual v budget'!A36,4)&amp;"26"</f>
        <v>Feb-26</v>
      </c>
      <c r="B36" s="17" t="str">
        <f>'2025 actual v budget'!B36</f>
        <v>Brazil</v>
      </c>
      <c r="C36" s="17" t="str">
        <f>'2025 actual v budget'!C36</f>
        <v>Treasury Yield</v>
      </c>
      <c r="D36" s="19">
        <f>'2025 actual v budget'!D36</f>
        <v>7516502.7199999997</v>
      </c>
      <c r="E36" s="97">
        <f>SUMIFS('Assumption-Best'!$C$3:$C$32,'Assumption-Best'!$A$3:$A$32,$B36,'Assumption-Best'!$B$3:$B$32,$C36)</f>
        <v>0.4</v>
      </c>
      <c r="F36" s="19">
        <f t="shared" si="0"/>
        <v>10523103.807999998</v>
      </c>
      <c r="G36" s="98">
        <f>SUMIFS('Assumption-Best'!$D$3:$D$32,'Assumption-Best'!$A$3:$A$32,$B36,'Assumption-Best'!$B$3:$B$32,$C36)</f>
        <v>3.0000000000000001E-3</v>
      </c>
      <c r="H36" s="99">
        <f t="shared" si="1"/>
        <v>31569.311423999996</v>
      </c>
      <c r="I36" s="97">
        <f>SUMIFS('Assumption-Best'!$E$3:$E$32,'Assumption-Best'!$A$3:$A$32,$B36,'Assumption-Best'!$B$3:$B$32,$C36)</f>
        <v>0.18</v>
      </c>
      <c r="J36" s="19">
        <f t="shared" si="2"/>
        <v>5682.4760563199989</v>
      </c>
      <c r="K36" s="100">
        <f>SUMIFS('Assumption-Best'!$F$3:$F$32,'Assumption-Best'!$A$3:$A$32,$B36,'Assumption-Best'!$B$3:$B$32,$C36)</f>
        <v>6.9999999999999994E-5</v>
      </c>
      <c r="L36" s="19">
        <f t="shared" si="3"/>
        <v>736.61726655999985</v>
      </c>
      <c r="M36" s="99">
        <f t="shared" si="4"/>
        <v>25150.218101119997</v>
      </c>
      <c r="N36" s="97">
        <f>SUMIFS('Assumption-Best'!$G$3:$G$32,'Assumption-Best'!$A$3:$A$32,$B36,'Assumption-Best'!$B$3:$B$32,$C36)</f>
        <v>0.35</v>
      </c>
      <c r="O36" s="19">
        <f t="shared" si="5"/>
        <v>11049.258998399999</v>
      </c>
      <c r="P36" s="99">
        <f t="shared" si="6"/>
        <v>14100.959102719999</v>
      </c>
    </row>
    <row r="37" spans="1:16" x14ac:dyDescent="0.35">
      <c r="A37" s="96" t="str">
        <f>LEFT('2025 actual v budget'!A37,4)&amp;"26"</f>
        <v>Feb-26</v>
      </c>
      <c r="B37" s="17" t="str">
        <f>'2025 actual v budget'!B37</f>
        <v>Brazil</v>
      </c>
      <c r="C37" s="17" t="str">
        <f>'2025 actual v budget'!C37</f>
        <v>Virtual Accounts</v>
      </c>
      <c r="D37" s="19">
        <f>'2025 actual v budget'!D37</f>
        <v>10915992.92</v>
      </c>
      <c r="E37" s="97">
        <f>SUMIFS('Assumption-Best'!$C$3:$C$32,'Assumption-Best'!$A$3:$A$32,$B37,'Assumption-Best'!$B$3:$B$32,$C37)</f>
        <v>0.4</v>
      </c>
      <c r="F37" s="19">
        <f t="shared" si="0"/>
        <v>15282390.088</v>
      </c>
      <c r="G37" s="98">
        <f>SUMIFS('Assumption-Best'!$D$3:$D$32,'Assumption-Best'!$A$3:$A$32,$B37,'Assumption-Best'!$B$3:$B$32,$C37)</f>
        <v>4.4999999999999997E-3</v>
      </c>
      <c r="H37" s="99">
        <f t="shared" si="1"/>
        <v>68770.755395999993</v>
      </c>
      <c r="I37" s="97">
        <f>SUMIFS('Assumption-Best'!$E$3:$E$32,'Assumption-Best'!$A$3:$A$32,$B37,'Assumption-Best'!$B$3:$B$32,$C37)</f>
        <v>0.22</v>
      </c>
      <c r="J37" s="19">
        <f t="shared" si="2"/>
        <v>15129.566187119999</v>
      </c>
      <c r="K37" s="100">
        <f>SUMIFS('Assumption-Best'!$F$3:$F$32,'Assumption-Best'!$A$3:$A$32,$B37,'Assumption-Best'!$B$3:$B$32,$C37)</f>
        <v>6.9999999999999994E-5</v>
      </c>
      <c r="L37" s="19">
        <f t="shared" si="3"/>
        <v>1069.7673061599999</v>
      </c>
      <c r="M37" s="99">
        <f t="shared" si="4"/>
        <v>52571.421902719994</v>
      </c>
      <c r="N37" s="97">
        <f>SUMIFS('Assumption-Best'!$G$3:$G$32,'Assumption-Best'!$A$3:$A$32,$B37,'Assumption-Best'!$B$3:$B$32,$C37)</f>
        <v>0.35</v>
      </c>
      <c r="O37" s="19">
        <f t="shared" si="5"/>
        <v>24069.764388599997</v>
      </c>
      <c r="P37" s="99">
        <f t="shared" si="6"/>
        <v>28501.657514119997</v>
      </c>
    </row>
    <row r="38" spans="1:16" x14ac:dyDescent="0.35">
      <c r="A38" s="96" t="str">
        <f>LEFT('2025 actual v budget'!A38,4)&amp;"26"</f>
        <v>Feb-26</v>
      </c>
      <c r="B38" s="17" t="str">
        <f>'2025 actual v budget'!B38</f>
        <v>Germany</v>
      </c>
      <c r="C38" s="17" t="str">
        <f>'2025 actual v budget'!C38</f>
        <v>Cross-border Payouts</v>
      </c>
      <c r="D38" s="19">
        <f>'2025 actual v budget'!D38</f>
        <v>6056170.79</v>
      </c>
      <c r="E38" s="97">
        <f>SUMIFS('Assumption-Best'!$C$3:$C$32,'Assumption-Best'!$A$3:$A$32,$B38,'Assumption-Best'!$B$3:$B$32,$C38)</f>
        <v>0.12</v>
      </c>
      <c r="F38" s="19">
        <f t="shared" si="0"/>
        <v>6782911.2848000005</v>
      </c>
      <c r="G38" s="98">
        <f>SUMIFS('Assumption-Best'!$D$3:$D$32,'Assumption-Best'!$A$3:$A$32,$B38,'Assumption-Best'!$B$3:$B$32,$C38)</f>
        <v>7.4999999999999997E-3</v>
      </c>
      <c r="H38" s="99">
        <f t="shared" si="1"/>
        <v>50871.834636</v>
      </c>
      <c r="I38" s="97">
        <f>SUMIFS('Assumption-Best'!$E$3:$E$32,'Assumption-Best'!$A$3:$A$32,$B38,'Assumption-Best'!$B$3:$B$32,$C38)</f>
        <v>0.35</v>
      </c>
      <c r="J38" s="19">
        <f t="shared" si="2"/>
        <v>17805.142122599998</v>
      </c>
      <c r="K38" s="100">
        <f>SUMIFS('Assumption-Best'!$F$3:$F$32,'Assumption-Best'!$A$3:$A$32,$B38,'Assumption-Best'!$B$3:$B$32,$C38)</f>
        <v>1.4999999999999999E-4</v>
      </c>
      <c r="L38" s="19">
        <f t="shared" si="3"/>
        <v>1017.43669272</v>
      </c>
      <c r="M38" s="99">
        <f t="shared" si="4"/>
        <v>32049.255820680006</v>
      </c>
      <c r="N38" s="97">
        <f>SUMIFS('Assumption-Best'!$G$3:$G$32,'Assumption-Best'!$A$3:$A$32,$B38,'Assumption-Best'!$B$3:$B$32,$C38)</f>
        <v>0.35</v>
      </c>
      <c r="O38" s="19">
        <f t="shared" si="5"/>
        <v>17805.142122599998</v>
      </c>
      <c r="P38" s="99">
        <f t="shared" si="6"/>
        <v>14244.113698080007</v>
      </c>
    </row>
    <row r="39" spans="1:16" x14ac:dyDescent="0.35">
      <c r="A39" s="96" t="str">
        <f>LEFT('2025 actual v budget'!A39,4)&amp;"26"</f>
        <v>Feb-26</v>
      </c>
      <c r="B39" s="17" t="str">
        <f>'2025 actual v budget'!B39</f>
        <v>Germany</v>
      </c>
      <c r="C39" s="17" t="str">
        <f>'2025 actual v budget'!C39</f>
        <v>FX Conversion</v>
      </c>
      <c r="D39" s="19">
        <f>'2025 actual v budget'!D39</f>
        <v>9672714.25</v>
      </c>
      <c r="E39" s="97">
        <f>SUMIFS('Assumption-Best'!$C$3:$C$32,'Assumption-Best'!$A$3:$A$32,$B39,'Assumption-Best'!$B$3:$B$32,$C39)</f>
        <v>0.12</v>
      </c>
      <c r="F39" s="19">
        <f t="shared" si="0"/>
        <v>10833439.960000001</v>
      </c>
      <c r="G39" s="98">
        <f>SUMIFS('Assumption-Best'!$D$3:$D$32,'Assumption-Best'!$A$3:$A$32,$B39,'Assumption-Best'!$B$3:$B$32,$C39)</f>
        <v>1.0500000000000001E-2</v>
      </c>
      <c r="H39" s="99">
        <f t="shared" si="1"/>
        <v>113751.11958000001</v>
      </c>
      <c r="I39" s="97">
        <f>SUMIFS('Assumption-Best'!$E$3:$E$32,'Assumption-Best'!$A$3:$A$32,$B39,'Assumption-Best'!$B$3:$B$32,$C39)</f>
        <v>0.28000000000000003</v>
      </c>
      <c r="J39" s="19">
        <f t="shared" si="2"/>
        <v>31850.313482400008</v>
      </c>
      <c r="K39" s="100">
        <f>SUMIFS('Assumption-Best'!$F$3:$F$32,'Assumption-Best'!$A$3:$A$32,$B39,'Assumption-Best'!$B$3:$B$32,$C39)</f>
        <v>1.4999999999999999E-4</v>
      </c>
      <c r="L39" s="19">
        <f t="shared" si="3"/>
        <v>1625.0159940000001</v>
      </c>
      <c r="M39" s="99">
        <f t="shared" si="4"/>
        <v>80275.790103599997</v>
      </c>
      <c r="N39" s="97">
        <f>SUMIFS('Assumption-Best'!$G$3:$G$32,'Assumption-Best'!$A$3:$A$32,$B39,'Assumption-Best'!$B$3:$B$32,$C39)</f>
        <v>0.35</v>
      </c>
      <c r="O39" s="19">
        <f t="shared" si="5"/>
        <v>39812.891853000001</v>
      </c>
      <c r="P39" s="99">
        <f t="shared" si="6"/>
        <v>40462.898250599996</v>
      </c>
    </row>
    <row r="40" spans="1:16" x14ac:dyDescent="0.35">
      <c r="A40" s="96" t="str">
        <f>LEFT('2025 actual v budget'!A40,4)&amp;"26"</f>
        <v>Feb-26</v>
      </c>
      <c r="B40" s="17" t="str">
        <f>'2025 actual v budget'!B40</f>
        <v>Germany</v>
      </c>
      <c r="C40" s="17" t="str">
        <f>'2025 actual v budget'!C40</f>
        <v>Stablecoin Settlement</v>
      </c>
      <c r="D40" s="19">
        <f>'2025 actual v budget'!D40</f>
        <v>14293069.300000001</v>
      </c>
      <c r="E40" s="97">
        <f>SUMIFS('Assumption-Best'!$C$3:$C$32,'Assumption-Best'!$A$3:$A$32,$B40,'Assumption-Best'!$B$3:$B$32,$C40)</f>
        <v>0.24</v>
      </c>
      <c r="F40" s="19">
        <f t="shared" si="0"/>
        <v>17723405.932</v>
      </c>
      <c r="G40" s="98">
        <f>SUMIFS('Assumption-Best'!$D$3:$D$32,'Assumption-Best'!$A$3:$A$32,$B40,'Assumption-Best'!$B$3:$B$32,$C40)</f>
        <v>6.4999999999999997E-3</v>
      </c>
      <c r="H40" s="99">
        <f t="shared" si="1"/>
        <v>115202.13855799999</v>
      </c>
      <c r="I40" s="97">
        <f>SUMIFS('Assumption-Best'!$E$3:$E$32,'Assumption-Best'!$A$3:$A$32,$B40,'Assumption-Best'!$B$3:$B$32,$C40)</f>
        <v>0.32</v>
      </c>
      <c r="J40" s="19">
        <f t="shared" si="2"/>
        <v>36864.68433856</v>
      </c>
      <c r="K40" s="100">
        <f>SUMIFS('Assumption-Best'!$F$3:$F$32,'Assumption-Best'!$A$3:$A$32,$B40,'Assumption-Best'!$B$3:$B$32,$C40)</f>
        <v>1.4999999999999999E-4</v>
      </c>
      <c r="L40" s="19">
        <f t="shared" si="3"/>
        <v>2658.5108897999999</v>
      </c>
      <c r="M40" s="99">
        <f t="shared" si="4"/>
        <v>75678.943329639995</v>
      </c>
      <c r="N40" s="97">
        <f>SUMIFS('Assumption-Best'!$G$3:$G$32,'Assumption-Best'!$A$3:$A$32,$B40,'Assumption-Best'!$B$3:$B$32,$C40)</f>
        <v>0.35</v>
      </c>
      <c r="O40" s="19">
        <f t="shared" si="5"/>
        <v>40320.748495299995</v>
      </c>
      <c r="P40" s="99">
        <f t="shared" si="6"/>
        <v>35358.19483434</v>
      </c>
    </row>
    <row r="41" spans="1:16" x14ac:dyDescent="0.35">
      <c r="A41" s="96" t="str">
        <f>LEFT('2025 actual v budget'!A41,4)&amp;"26"</f>
        <v>Feb-26</v>
      </c>
      <c r="B41" s="17" t="str">
        <f>'2025 actual v budget'!B41</f>
        <v>Germany</v>
      </c>
      <c r="C41" s="17" t="str">
        <f>'2025 actual v budget'!C41</f>
        <v>Treasury Yield</v>
      </c>
      <c r="D41" s="19">
        <f>'2025 actual v budget'!D41</f>
        <v>4003398.75</v>
      </c>
      <c r="E41" s="97">
        <f>SUMIFS('Assumption-Best'!$C$3:$C$32,'Assumption-Best'!$A$3:$A$32,$B41,'Assumption-Best'!$B$3:$B$32,$C41)</f>
        <v>0.12</v>
      </c>
      <c r="F41" s="19">
        <f t="shared" si="0"/>
        <v>4483806.6000000006</v>
      </c>
      <c r="G41" s="98">
        <f>SUMIFS('Assumption-Best'!$D$3:$D$32,'Assumption-Best'!$A$3:$A$32,$B41,'Assumption-Best'!$B$3:$B$32,$C41)</f>
        <v>3.0000000000000001E-3</v>
      </c>
      <c r="H41" s="99">
        <f t="shared" si="1"/>
        <v>13451.419800000001</v>
      </c>
      <c r="I41" s="97">
        <f>SUMIFS('Assumption-Best'!$E$3:$E$32,'Assumption-Best'!$A$3:$A$32,$B41,'Assumption-Best'!$B$3:$B$32,$C41)</f>
        <v>0.18</v>
      </c>
      <c r="J41" s="19">
        <f t="shared" si="2"/>
        <v>2421.255564</v>
      </c>
      <c r="K41" s="100">
        <f>SUMIFS('Assumption-Best'!$F$3:$F$32,'Assumption-Best'!$A$3:$A$32,$B41,'Assumption-Best'!$B$3:$B$32,$C41)</f>
        <v>1.4999999999999999E-4</v>
      </c>
      <c r="L41" s="19">
        <f t="shared" si="3"/>
        <v>672.57099000000005</v>
      </c>
      <c r="M41" s="99">
        <f t="shared" si="4"/>
        <v>10357.593246</v>
      </c>
      <c r="N41" s="97">
        <f>SUMIFS('Assumption-Best'!$G$3:$G$32,'Assumption-Best'!$A$3:$A$32,$B41,'Assumption-Best'!$B$3:$B$32,$C41)</f>
        <v>0.35</v>
      </c>
      <c r="O41" s="19">
        <f t="shared" si="5"/>
        <v>4707.9969300000002</v>
      </c>
      <c r="P41" s="99">
        <f t="shared" si="6"/>
        <v>5649.5963160000001</v>
      </c>
    </row>
    <row r="42" spans="1:16" x14ac:dyDescent="0.35">
      <c r="A42" s="96" t="str">
        <f>LEFT('2025 actual v budget'!A42,4)&amp;"26"</f>
        <v>Feb-26</v>
      </c>
      <c r="B42" s="17" t="str">
        <f>'2025 actual v budget'!B42</f>
        <v>Germany</v>
      </c>
      <c r="C42" s="17" t="str">
        <f>'2025 actual v budget'!C42</f>
        <v>Virtual Accounts</v>
      </c>
      <c r="D42" s="19">
        <f>'2025 actual v budget'!D42</f>
        <v>5814016.71</v>
      </c>
      <c r="E42" s="97">
        <f>SUMIFS('Assumption-Best'!$C$3:$C$32,'Assumption-Best'!$A$3:$A$32,$B42,'Assumption-Best'!$B$3:$B$32,$C42)</f>
        <v>0.12</v>
      </c>
      <c r="F42" s="19">
        <f t="shared" si="0"/>
        <v>6511698.7152000004</v>
      </c>
      <c r="G42" s="98">
        <f>SUMIFS('Assumption-Best'!$D$3:$D$32,'Assumption-Best'!$A$3:$A$32,$B42,'Assumption-Best'!$B$3:$B$32,$C42)</f>
        <v>4.4999999999999997E-3</v>
      </c>
      <c r="H42" s="99">
        <f t="shared" si="1"/>
        <v>29302.644218400001</v>
      </c>
      <c r="I42" s="97">
        <f>SUMIFS('Assumption-Best'!$E$3:$E$32,'Assumption-Best'!$A$3:$A$32,$B42,'Assumption-Best'!$B$3:$B$32,$C42)</f>
        <v>0.22</v>
      </c>
      <c r="J42" s="19">
        <f t="shared" si="2"/>
        <v>6446.5817280480005</v>
      </c>
      <c r="K42" s="100">
        <f>SUMIFS('Assumption-Best'!$F$3:$F$32,'Assumption-Best'!$A$3:$A$32,$B42,'Assumption-Best'!$B$3:$B$32,$C42)</f>
        <v>1.4999999999999999E-4</v>
      </c>
      <c r="L42" s="19">
        <f t="shared" si="3"/>
        <v>976.75480728000002</v>
      </c>
      <c r="M42" s="99">
        <f t="shared" si="4"/>
        <v>21879.307683072002</v>
      </c>
      <c r="N42" s="97">
        <f>SUMIFS('Assumption-Best'!$G$3:$G$32,'Assumption-Best'!$A$3:$A$32,$B42,'Assumption-Best'!$B$3:$B$32,$C42)</f>
        <v>0.35</v>
      </c>
      <c r="O42" s="19">
        <f t="shared" si="5"/>
        <v>10255.925476439999</v>
      </c>
      <c r="P42" s="99">
        <f t="shared" si="6"/>
        <v>11623.382206632003</v>
      </c>
    </row>
    <row r="43" spans="1:16" x14ac:dyDescent="0.35">
      <c r="A43" s="96" t="str">
        <f>LEFT('2025 actual v budget'!A43,4)&amp;"26"</f>
        <v>Feb-26</v>
      </c>
      <c r="B43" s="17" t="str">
        <f>'2025 actual v budget'!B43</f>
        <v>India</v>
      </c>
      <c r="C43" s="17" t="str">
        <f>'2025 actual v budget'!C43</f>
        <v>Cross-border Payouts</v>
      </c>
      <c r="D43" s="19">
        <f>'2025 actual v budget'!D43</f>
        <v>7377669.6500000004</v>
      </c>
      <c r="E43" s="97">
        <f>SUMIFS('Assumption-Best'!$C$3:$C$32,'Assumption-Best'!$A$3:$A$32,$B43,'Assumption-Best'!$B$3:$B$32,$C43)</f>
        <v>0.24</v>
      </c>
      <c r="F43" s="19">
        <f t="shared" si="0"/>
        <v>9148310.3660000004</v>
      </c>
      <c r="G43" s="98">
        <f>SUMIFS('Assumption-Best'!$D$3:$D$32,'Assumption-Best'!$A$3:$A$32,$B43,'Assumption-Best'!$B$3:$B$32,$C43)</f>
        <v>7.4999999999999997E-3</v>
      </c>
      <c r="H43" s="99">
        <f t="shared" si="1"/>
        <v>68612.327745000002</v>
      </c>
      <c r="I43" s="97">
        <f>SUMIFS('Assumption-Best'!$E$3:$E$32,'Assumption-Best'!$A$3:$A$32,$B43,'Assumption-Best'!$B$3:$B$32,$C43)</f>
        <v>0.35</v>
      </c>
      <c r="J43" s="19">
        <f t="shared" si="2"/>
        <v>24014.314710750001</v>
      </c>
      <c r="K43" s="100">
        <f>SUMIFS('Assumption-Best'!$F$3:$F$32,'Assumption-Best'!$A$3:$A$32,$B43,'Assumption-Best'!$B$3:$B$32,$C43)</f>
        <v>1.8000000000000001E-4</v>
      </c>
      <c r="L43" s="19">
        <f t="shared" si="3"/>
        <v>1646.6958658800002</v>
      </c>
      <c r="M43" s="99">
        <f t="shared" si="4"/>
        <v>42951.317168370006</v>
      </c>
      <c r="N43" s="97">
        <f>SUMIFS('Assumption-Best'!$G$3:$G$32,'Assumption-Best'!$A$3:$A$32,$B43,'Assumption-Best'!$B$3:$B$32,$C43)</f>
        <v>0.35</v>
      </c>
      <c r="O43" s="19">
        <f t="shared" si="5"/>
        <v>24014.314710750001</v>
      </c>
      <c r="P43" s="99">
        <f t="shared" si="6"/>
        <v>18937.002457620005</v>
      </c>
    </row>
    <row r="44" spans="1:16" x14ac:dyDescent="0.35">
      <c r="A44" s="96" t="str">
        <f>LEFT('2025 actual v budget'!A44,4)&amp;"26"</f>
        <v>Feb-26</v>
      </c>
      <c r="B44" s="17" t="str">
        <f>'2025 actual v budget'!B44</f>
        <v>India</v>
      </c>
      <c r="C44" s="17" t="str">
        <f>'2025 actual v budget'!C44</f>
        <v>FX Conversion</v>
      </c>
      <c r="D44" s="19">
        <f>'2025 actual v budget'!D44</f>
        <v>11784949.17</v>
      </c>
      <c r="E44" s="97">
        <f>SUMIFS('Assumption-Best'!$C$3:$C$32,'Assumption-Best'!$A$3:$A$32,$B44,'Assumption-Best'!$B$3:$B$32,$C44)</f>
        <v>0.24</v>
      </c>
      <c r="F44" s="19">
        <f t="shared" si="0"/>
        <v>14613336.970799999</v>
      </c>
      <c r="G44" s="98">
        <f>SUMIFS('Assumption-Best'!$D$3:$D$32,'Assumption-Best'!$A$3:$A$32,$B44,'Assumption-Best'!$B$3:$B$32,$C44)</f>
        <v>1.0500000000000001E-2</v>
      </c>
      <c r="H44" s="99">
        <f t="shared" si="1"/>
        <v>153440.03819339999</v>
      </c>
      <c r="I44" s="97">
        <f>SUMIFS('Assumption-Best'!$E$3:$E$32,'Assumption-Best'!$A$3:$A$32,$B44,'Assumption-Best'!$B$3:$B$32,$C44)</f>
        <v>0.28000000000000003</v>
      </c>
      <c r="J44" s="19">
        <f t="shared" si="2"/>
        <v>42963.210694152003</v>
      </c>
      <c r="K44" s="100">
        <f>SUMIFS('Assumption-Best'!$F$3:$F$32,'Assumption-Best'!$A$3:$A$32,$B44,'Assumption-Best'!$B$3:$B$32,$C44)</f>
        <v>1.8000000000000001E-4</v>
      </c>
      <c r="L44" s="19">
        <f t="shared" si="3"/>
        <v>2630.4006547439999</v>
      </c>
      <c r="M44" s="99">
        <f t="shared" si="4"/>
        <v>107846.42684450399</v>
      </c>
      <c r="N44" s="97">
        <f>SUMIFS('Assumption-Best'!$G$3:$G$32,'Assumption-Best'!$A$3:$A$32,$B44,'Assumption-Best'!$B$3:$B$32,$C44)</f>
        <v>0.35</v>
      </c>
      <c r="O44" s="19">
        <f t="shared" si="5"/>
        <v>53704.013367689993</v>
      </c>
      <c r="P44" s="99">
        <f t="shared" si="6"/>
        <v>54142.413476813999</v>
      </c>
    </row>
    <row r="45" spans="1:16" x14ac:dyDescent="0.35">
      <c r="A45" s="96" t="str">
        <f>LEFT('2025 actual v budget'!A45,4)&amp;"26"</f>
        <v>Feb-26</v>
      </c>
      <c r="B45" s="17" t="str">
        <f>'2025 actual v budget'!B45</f>
        <v>India</v>
      </c>
      <c r="C45" s="17" t="str">
        <f>'2025 actual v budget'!C45</f>
        <v>Stablecoin Settlement</v>
      </c>
      <c r="D45" s="19">
        <f>'2025 actual v budget'!D45</f>
        <v>17411917.09</v>
      </c>
      <c r="E45" s="97">
        <f>SUMIFS('Assumption-Best'!$C$3:$C$32,'Assumption-Best'!$A$3:$A$32,$B45,'Assumption-Best'!$B$3:$B$32,$C45)</f>
        <v>0.48</v>
      </c>
      <c r="F45" s="19">
        <f t="shared" si="0"/>
        <v>25769637.293200001</v>
      </c>
      <c r="G45" s="98">
        <f>SUMIFS('Assumption-Best'!$D$3:$D$32,'Assumption-Best'!$A$3:$A$32,$B45,'Assumption-Best'!$B$3:$B$32,$C45)</f>
        <v>6.4999999999999997E-3</v>
      </c>
      <c r="H45" s="99">
        <f t="shared" si="1"/>
        <v>167502.6424058</v>
      </c>
      <c r="I45" s="97">
        <f>SUMIFS('Assumption-Best'!$E$3:$E$32,'Assumption-Best'!$A$3:$A$32,$B45,'Assumption-Best'!$B$3:$B$32,$C45)</f>
        <v>0.32</v>
      </c>
      <c r="J45" s="19">
        <f t="shared" si="2"/>
        <v>53600.845569855999</v>
      </c>
      <c r="K45" s="100">
        <f>SUMIFS('Assumption-Best'!$F$3:$F$32,'Assumption-Best'!$A$3:$A$32,$B45,'Assumption-Best'!$B$3:$B$32,$C45)</f>
        <v>1.8000000000000001E-4</v>
      </c>
      <c r="L45" s="19">
        <f t="shared" si="3"/>
        <v>4638.5347127760006</v>
      </c>
      <c r="M45" s="99">
        <f t="shared" si="4"/>
        <v>109263.262123168</v>
      </c>
      <c r="N45" s="97">
        <f>SUMIFS('Assumption-Best'!$G$3:$G$32,'Assumption-Best'!$A$3:$A$32,$B45,'Assumption-Best'!$B$3:$B$32,$C45)</f>
        <v>0.35</v>
      </c>
      <c r="O45" s="19">
        <f t="shared" si="5"/>
        <v>58625.924842029992</v>
      </c>
      <c r="P45" s="99">
        <f t="shared" si="6"/>
        <v>50637.337281138003</v>
      </c>
    </row>
    <row r="46" spans="1:16" x14ac:dyDescent="0.35">
      <c r="A46" s="96" t="str">
        <f>LEFT('2025 actual v budget'!A46,4)&amp;"26"</f>
        <v>Feb-26</v>
      </c>
      <c r="B46" s="17" t="str">
        <f>'2025 actual v budget'!B46</f>
        <v>India</v>
      </c>
      <c r="C46" s="17" t="str">
        <f>'2025 actual v budget'!C46</f>
        <v>Treasury Yield</v>
      </c>
      <c r="D46" s="19">
        <f>'2025 actual v budget'!D46</f>
        <v>4877622.72</v>
      </c>
      <c r="E46" s="97">
        <f>SUMIFS('Assumption-Best'!$C$3:$C$32,'Assumption-Best'!$A$3:$A$32,$B46,'Assumption-Best'!$B$3:$B$32,$C46)</f>
        <v>0.24</v>
      </c>
      <c r="F46" s="19">
        <f t="shared" si="0"/>
        <v>6048252.1727999998</v>
      </c>
      <c r="G46" s="98">
        <f>SUMIFS('Assumption-Best'!$D$3:$D$32,'Assumption-Best'!$A$3:$A$32,$B46,'Assumption-Best'!$B$3:$B$32,$C46)</f>
        <v>3.0000000000000001E-3</v>
      </c>
      <c r="H46" s="99">
        <f t="shared" si="1"/>
        <v>18144.756518400001</v>
      </c>
      <c r="I46" s="97">
        <f>SUMIFS('Assumption-Best'!$E$3:$E$32,'Assumption-Best'!$A$3:$A$32,$B46,'Assumption-Best'!$B$3:$B$32,$C46)</f>
        <v>0.18</v>
      </c>
      <c r="J46" s="19">
        <f t="shared" si="2"/>
        <v>3266.0561733120003</v>
      </c>
      <c r="K46" s="100">
        <f>SUMIFS('Assumption-Best'!$F$3:$F$32,'Assumption-Best'!$A$3:$A$32,$B46,'Assumption-Best'!$B$3:$B$32,$C46)</f>
        <v>1.8000000000000001E-4</v>
      </c>
      <c r="L46" s="19">
        <f t="shared" si="3"/>
        <v>1088.685391104</v>
      </c>
      <c r="M46" s="99">
        <f t="shared" si="4"/>
        <v>13790.014953984</v>
      </c>
      <c r="N46" s="97">
        <f>SUMIFS('Assumption-Best'!$G$3:$G$32,'Assumption-Best'!$A$3:$A$32,$B46,'Assumption-Best'!$B$3:$B$32,$C46)</f>
        <v>0.35</v>
      </c>
      <c r="O46" s="19">
        <f t="shared" si="5"/>
        <v>6350.6647814400003</v>
      </c>
      <c r="P46" s="99">
        <f t="shared" si="6"/>
        <v>7439.3501725440001</v>
      </c>
    </row>
    <row r="47" spans="1:16" x14ac:dyDescent="0.35">
      <c r="A47" s="96" t="str">
        <f>LEFT('2025 actual v budget'!A47,4)&amp;"26"</f>
        <v>Feb-26</v>
      </c>
      <c r="B47" s="17" t="str">
        <f>'2025 actual v budget'!B47</f>
        <v>India</v>
      </c>
      <c r="C47" s="17" t="str">
        <f>'2025 actual v budget'!C47</f>
        <v>Virtual Accounts</v>
      </c>
      <c r="D47" s="19">
        <f>'2025 actual v budget'!D47</f>
        <v>7083626.1299999999</v>
      </c>
      <c r="E47" s="97">
        <f>SUMIFS('Assumption-Best'!$C$3:$C$32,'Assumption-Best'!$A$3:$A$32,$B47,'Assumption-Best'!$B$3:$B$32,$C47)</f>
        <v>0.24</v>
      </c>
      <c r="F47" s="19">
        <f t="shared" si="0"/>
        <v>8783696.4012000002</v>
      </c>
      <c r="G47" s="98">
        <f>SUMIFS('Assumption-Best'!$D$3:$D$32,'Assumption-Best'!$A$3:$A$32,$B47,'Assumption-Best'!$B$3:$B$32,$C47)</f>
        <v>4.4999999999999997E-3</v>
      </c>
      <c r="H47" s="99">
        <f t="shared" si="1"/>
        <v>39526.633805400001</v>
      </c>
      <c r="I47" s="97">
        <f>SUMIFS('Assumption-Best'!$E$3:$E$32,'Assumption-Best'!$A$3:$A$32,$B47,'Assumption-Best'!$B$3:$B$32,$C47)</f>
        <v>0.22</v>
      </c>
      <c r="J47" s="19">
        <f t="shared" si="2"/>
        <v>8695.8594371880008</v>
      </c>
      <c r="K47" s="100">
        <f>SUMIFS('Assumption-Best'!$F$3:$F$32,'Assumption-Best'!$A$3:$A$32,$B47,'Assumption-Best'!$B$3:$B$32,$C47)</f>
        <v>1.8000000000000001E-4</v>
      </c>
      <c r="L47" s="19">
        <f t="shared" si="3"/>
        <v>1581.0653522160001</v>
      </c>
      <c r="M47" s="99">
        <f t="shared" si="4"/>
        <v>29249.709015995999</v>
      </c>
      <c r="N47" s="97">
        <f>SUMIFS('Assumption-Best'!$G$3:$G$32,'Assumption-Best'!$A$3:$A$32,$B47,'Assumption-Best'!$B$3:$B$32,$C47)</f>
        <v>0.35</v>
      </c>
      <c r="O47" s="19">
        <f t="shared" si="5"/>
        <v>13834.32183189</v>
      </c>
      <c r="P47" s="99">
        <f t="shared" si="6"/>
        <v>15415.387184105999</v>
      </c>
    </row>
    <row r="48" spans="1:16" x14ac:dyDescent="0.35">
      <c r="A48" s="96" t="str">
        <f>LEFT('2025 actual v budget'!A48,4)&amp;"26"</f>
        <v>Feb-26</v>
      </c>
      <c r="B48" s="17" t="str">
        <f>'2025 actual v budget'!B48</f>
        <v>Mexico</v>
      </c>
      <c r="C48" s="17" t="str">
        <f>'2025 actual v budget'!C48</f>
        <v>Cross-border Payouts</v>
      </c>
      <c r="D48" s="19">
        <f>'2025 actual v budget'!D48</f>
        <v>8975211.5500000007</v>
      </c>
      <c r="E48" s="97">
        <f>SUMIFS('Assumption-Best'!$C$3:$C$32,'Assumption-Best'!$A$3:$A$32,$B48,'Assumption-Best'!$B$3:$B$32,$C48)</f>
        <v>0.3</v>
      </c>
      <c r="F48" s="19">
        <f t="shared" si="0"/>
        <v>11667775.015000001</v>
      </c>
      <c r="G48" s="98">
        <f>SUMIFS('Assumption-Best'!$D$3:$D$32,'Assumption-Best'!$A$3:$A$32,$B48,'Assumption-Best'!$B$3:$B$32,$C48)</f>
        <v>7.4999999999999997E-3</v>
      </c>
      <c r="H48" s="99">
        <f t="shared" si="1"/>
        <v>87508.312612499998</v>
      </c>
      <c r="I48" s="97">
        <f>SUMIFS('Assumption-Best'!$E$3:$E$32,'Assumption-Best'!$A$3:$A$32,$B48,'Assumption-Best'!$B$3:$B$32,$C48)</f>
        <v>0.35</v>
      </c>
      <c r="J48" s="19">
        <f t="shared" si="2"/>
        <v>30627.909414374997</v>
      </c>
      <c r="K48" s="100">
        <f>SUMIFS('Assumption-Best'!$F$3:$F$32,'Assumption-Best'!$A$3:$A$32,$B48,'Assumption-Best'!$B$3:$B$32,$C48)</f>
        <v>8.0000000000000007E-5</v>
      </c>
      <c r="L48" s="19">
        <f t="shared" si="3"/>
        <v>933.42200120000007</v>
      </c>
      <c r="M48" s="99">
        <f t="shared" si="4"/>
        <v>55946.981196925</v>
      </c>
      <c r="N48" s="97">
        <f>SUMIFS('Assumption-Best'!$G$3:$G$32,'Assumption-Best'!$A$3:$A$32,$B48,'Assumption-Best'!$B$3:$B$32,$C48)</f>
        <v>0.35</v>
      </c>
      <c r="O48" s="19">
        <f t="shared" si="5"/>
        <v>30627.909414374997</v>
      </c>
      <c r="P48" s="99">
        <f t="shared" si="6"/>
        <v>25319.071782550003</v>
      </c>
    </row>
    <row r="49" spans="1:16" x14ac:dyDescent="0.35">
      <c r="A49" s="96" t="str">
        <f>LEFT('2025 actual v budget'!A49,4)&amp;"26"</f>
        <v>Feb-26</v>
      </c>
      <c r="B49" s="17" t="str">
        <f>'2025 actual v budget'!B49</f>
        <v>Mexico</v>
      </c>
      <c r="C49" s="17" t="str">
        <f>'2025 actual v budget'!C49</f>
        <v>FX Conversion</v>
      </c>
      <c r="D49" s="19">
        <f>'2025 actual v budget'!D49</f>
        <v>14336519.16</v>
      </c>
      <c r="E49" s="97">
        <f>SUMIFS('Assumption-Best'!$C$3:$C$32,'Assumption-Best'!$A$3:$A$32,$B49,'Assumption-Best'!$B$3:$B$32,$C49)</f>
        <v>0.3</v>
      </c>
      <c r="F49" s="19">
        <f t="shared" si="0"/>
        <v>18637474.908</v>
      </c>
      <c r="G49" s="98">
        <f>SUMIFS('Assumption-Best'!$D$3:$D$32,'Assumption-Best'!$A$3:$A$32,$B49,'Assumption-Best'!$B$3:$B$32,$C49)</f>
        <v>1.0500000000000001E-2</v>
      </c>
      <c r="H49" s="99">
        <f t="shared" si="1"/>
        <v>195693.486534</v>
      </c>
      <c r="I49" s="97">
        <f>SUMIFS('Assumption-Best'!$E$3:$E$32,'Assumption-Best'!$A$3:$A$32,$B49,'Assumption-Best'!$B$3:$B$32,$C49)</f>
        <v>0.28000000000000003</v>
      </c>
      <c r="J49" s="19">
        <f t="shared" si="2"/>
        <v>54794.176229520002</v>
      </c>
      <c r="K49" s="100">
        <f>SUMIFS('Assumption-Best'!$F$3:$F$32,'Assumption-Best'!$A$3:$A$32,$B49,'Assumption-Best'!$B$3:$B$32,$C49)</f>
        <v>8.0000000000000007E-5</v>
      </c>
      <c r="L49" s="19">
        <f t="shared" si="3"/>
        <v>1490.9979926400001</v>
      </c>
      <c r="M49" s="99">
        <f t="shared" si="4"/>
        <v>139408.31231183998</v>
      </c>
      <c r="N49" s="97">
        <f>SUMIFS('Assumption-Best'!$G$3:$G$32,'Assumption-Best'!$A$3:$A$32,$B49,'Assumption-Best'!$B$3:$B$32,$C49)</f>
        <v>0.35</v>
      </c>
      <c r="O49" s="19">
        <f t="shared" si="5"/>
        <v>68492.720286899988</v>
      </c>
      <c r="P49" s="99">
        <f t="shared" si="6"/>
        <v>70915.592024939993</v>
      </c>
    </row>
    <row r="50" spans="1:16" x14ac:dyDescent="0.35">
      <c r="A50" s="96" t="str">
        <f>LEFT('2025 actual v budget'!A50,4)&amp;"26"</f>
        <v>Feb-26</v>
      </c>
      <c r="B50" s="17" t="str">
        <f>'2025 actual v budget'!B50</f>
        <v>Mexico</v>
      </c>
      <c r="C50" s="17" t="str">
        <f>'2025 actual v budget'!C50</f>
        <v>Stablecoin Settlement</v>
      </c>
      <c r="D50" s="19">
        <f>'2025 actual v budget'!D50</f>
        <v>21182249.52</v>
      </c>
      <c r="E50" s="97">
        <f>SUMIFS('Assumption-Best'!$C$3:$C$32,'Assumption-Best'!$A$3:$A$32,$B50,'Assumption-Best'!$B$3:$B$32,$C50)</f>
        <v>0.6</v>
      </c>
      <c r="F50" s="19">
        <f t="shared" si="0"/>
        <v>33891599.232000001</v>
      </c>
      <c r="G50" s="98">
        <f>SUMIFS('Assumption-Best'!$D$3:$D$32,'Assumption-Best'!$A$3:$A$32,$B50,'Assumption-Best'!$B$3:$B$32,$C50)</f>
        <v>6.4999999999999997E-3</v>
      </c>
      <c r="H50" s="99">
        <f t="shared" si="1"/>
        <v>220295.39500799999</v>
      </c>
      <c r="I50" s="97">
        <f>SUMIFS('Assumption-Best'!$E$3:$E$32,'Assumption-Best'!$A$3:$A$32,$B50,'Assumption-Best'!$B$3:$B$32,$C50)</f>
        <v>0.32</v>
      </c>
      <c r="J50" s="19">
        <f t="shared" si="2"/>
        <v>70494.526402560004</v>
      </c>
      <c r="K50" s="100">
        <f>SUMIFS('Assumption-Best'!$F$3:$F$32,'Assumption-Best'!$A$3:$A$32,$B50,'Assumption-Best'!$B$3:$B$32,$C50)</f>
        <v>8.0000000000000007E-5</v>
      </c>
      <c r="L50" s="19">
        <f t="shared" si="3"/>
        <v>2711.3279385600003</v>
      </c>
      <c r="M50" s="99">
        <f t="shared" si="4"/>
        <v>147089.54066688</v>
      </c>
      <c r="N50" s="97">
        <f>SUMIFS('Assumption-Best'!$G$3:$G$32,'Assumption-Best'!$A$3:$A$32,$B50,'Assumption-Best'!$B$3:$B$32,$C50)</f>
        <v>0.35</v>
      </c>
      <c r="O50" s="19">
        <f t="shared" si="5"/>
        <v>77103.388252799996</v>
      </c>
      <c r="P50" s="99">
        <f t="shared" si="6"/>
        <v>69986.152414080003</v>
      </c>
    </row>
    <row r="51" spans="1:16" x14ac:dyDescent="0.35">
      <c r="A51" s="96" t="str">
        <f>LEFT('2025 actual v budget'!A51,4)&amp;"26"</f>
        <v>Feb-26</v>
      </c>
      <c r="B51" s="17" t="str">
        <f>'2025 actual v budget'!B51</f>
        <v>Mexico</v>
      </c>
      <c r="C51" s="17" t="str">
        <f>'2025 actual v budget'!C51</f>
        <v>Treasury Yield</v>
      </c>
      <c r="D51" s="19">
        <f>'2025 actual v budget'!D51</f>
        <v>5933681.2199999997</v>
      </c>
      <c r="E51" s="97">
        <f>SUMIFS('Assumption-Best'!$C$3:$C$32,'Assumption-Best'!$A$3:$A$32,$B51,'Assumption-Best'!$B$3:$B$32,$C51)</f>
        <v>0.3</v>
      </c>
      <c r="F51" s="19">
        <f t="shared" si="0"/>
        <v>7713785.5860000001</v>
      </c>
      <c r="G51" s="98">
        <f>SUMIFS('Assumption-Best'!$D$3:$D$32,'Assumption-Best'!$A$3:$A$32,$B51,'Assumption-Best'!$B$3:$B$32,$C51)</f>
        <v>3.0000000000000001E-3</v>
      </c>
      <c r="H51" s="99">
        <f t="shared" si="1"/>
        <v>23141.356758000002</v>
      </c>
      <c r="I51" s="97">
        <f>SUMIFS('Assumption-Best'!$E$3:$E$32,'Assumption-Best'!$A$3:$A$32,$B51,'Assumption-Best'!$B$3:$B$32,$C51)</f>
        <v>0.18</v>
      </c>
      <c r="J51" s="19">
        <f t="shared" si="2"/>
        <v>4165.4442164399998</v>
      </c>
      <c r="K51" s="100">
        <f>SUMIFS('Assumption-Best'!$F$3:$F$32,'Assumption-Best'!$A$3:$A$32,$B51,'Assumption-Best'!$B$3:$B$32,$C51)</f>
        <v>8.0000000000000007E-5</v>
      </c>
      <c r="L51" s="19">
        <f t="shared" si="3"/>
        <v>617.10284688000002</v>
      </c>
      <c r="M51" s="99">
        <f t="shared" si="4"/>
        <v>18358.809694680003</v>
      </c>
      <c r="N51" s="97">
        <f>SUMIFS('Assumption-Best'!$G$3:$G$32,'Assumption-Best'!$A$3:$A$32,$B51,'Assumption-Best'!$B$3:$B$32,$C51)</f>
        <v>0.35</v>
      </c>
      <c r="O51" s="19">
        <f t="shared" si="5"/>
        <v>8099.4748652999997</v>
      </c>
      <c r="P51" s="99">
        <f t="shared" si="6"/>
        <v>10259.334829380005</v>
      </c>
    </row>
    <row r="52" spans="1:16" x14ac:dyDescent="0.35">
      <c r="A52" s="96" t="str">
        <f>LEFT('2025 actual v budget'!A52,4)&amp;"26"</f>
        <v>Feb-26</v>
      </c>
      <c r="B52" s="17" t="str">
        <f>'2025 actual v budget'!B52</f>
        <v>Mexico</v>
      </c>
      <c r="C52" s="17" t="str">
        <f>'2025 actual v budget'!C52</f>
        <v>Virtual Accounts</v>
      </c>
      <c r="D52" s="19">
        <f>'2025 actual v budget'!D52</f>
        <v>8617308.4299999997</v>
      </c>
      <c r="E52" s="97">
        <f>SUMIFS('Assumption-Best'!$C$3:$C$32,'Assumption-Best'!$A$3:$A$32,$B52,'Assumption-Best'!$B$3:$B$32,$C52)</f>
        <v>0.3</v>
      </c>
      <c r="F52" s="19">
        <f t="shared" si="0"/>
        <v>11202500.959000001</v>
      </c>
      <c r="G52" s="98">
        <f>SUMIFS('Assumption-Best'!$D$3:$D$32,'Assumption-Best'!$A$3:$A$32,$B52,'Assumption-Best'!$B$3:$B$32,$C52)</f>
        <v>4.4999999999999997E-3</v>
      </c>
      <c r="H52" s="99">
        <f t="shared" si="1"/>
        <v>50411.254315500002</v>
      </c>
      <c r="I52" s="97">
        <f>SUMIFS('Assumption-Best'!$E$3:$E$32,'Assumption-Best'!$A$3:$A$32,$B52,'Assumption-Best'!$B$3:$B$32,$C52)</f>
        <v>0.22</v>
      </c>
      <c r="J52" s="19">
        <f t="shared" si="2"/>
        <v>11090.47594941</v>
      </c>
      <c r="K52" s="100">
        <f>SUMIFS('Assumption-Best'!$F$3:$F$32,'Assumption-Best'!$A$3:$A$32,$B52,'Assumption-Best'!$B$3:$B$32,$C52)</f>
        <v>8.0000000000000007E-5</v>
      </c>
      <c r="L52" s="19">
        <f t="shared" si="3"/>
        <v>896.20007672000008</v>
      </c>
      <c r="M52" s="99">
        <f t="shared" si="4"/>
        <v>38424.578289370002</v>
      </c>
      <c r="N52" s="97">
        <f>SUMIFS('Assumption-Best'!$G$3:$G$32,'Assumption-Best'!$A$3:$A$32,$B52,'Assumption-Best'!$B$3:$B$32,$C52)</f>
        <v>0.35</v>
      </c>
      <c r="O52" s="19">
        <f t="shared" si="5"/>
        <v>17643.939010424998</v>
      </c>
      <c r="P52" s="99">
        <f t="shared" si="6"/>
        <v>20780.639278945004</v>
      </c>
    </row>
    <row r="53" spans="1:16" x14ac:dyDescent="0.35">
      <c r="A53" s="96" t="str">
        <f>LEFT('2025 actual v budget'!A53,4)&amp;"26"</f>
        <v>Feb-26</v>
      </c>
      <c r="B53" s="17" t="str">
        <f>'2025 actual v budget'!B53</f>
        <v>Singapore</v>
      </c>
      <c r="C53" s="17" t="str">
        <f>'2025 actual v budget'!C53</f>
        <v>Cross-border Payouts</v>
      </c>
      <c r="D53" s="19">
        <f>'2025 actual v budget'!D53</f>
        <v>7723104.7199999997</v>
      </c>
      <c r="E53" s="97">
        <f>SUMIFS('Assumption-Best'!$C$3:$C$32,'Assumption-Best'!$A$3:$A$32,$B53,'Assumption-Best'!$B$3:$B$32,$C53)</f>
        <v>0.1</v>
      </c>
      <c r="F53" s="19">
        <f t="shared" si="0"/>
        <v>8495415.1919999998</v>
      </c>
      <c r="G53" s="98">
        <f>SUMIFS('Assumption-Best'!$D$3:$D$32,'Assumption-Best'!$A$3:$A$32,$B53,'Assumption-Best'!$B$3:$B$32,$C53)</f>
        <v>7.4999999999999997E-3</v>
      </c>
      <c r="H53" s="99">
        <f t="shared" si="1"/>
        <v>63715.613939999996</v>
      </c>
      <c r="I53" s="97">
        <f>SUMIFS('Assumption-Best'!$E$3:$E$32,'Assumption-Best'!$A$3:$A$32,$B53,'Assumption-Best'!$B$3:$B$32,$C53)</f>
        <v>0.35</v>
      </c>
      <c r="J53" s="19">
        <f t="shared" si="2"/>
        <v>22300.464878999996</v>
      </c>
      <c r="K53" s="100">
        <f>SUMIFS('Assumption-Best'!$F$3:$F$32,'Assumption-Best'!$A$3:$A$32,$B53,'Assumption-Best'!$B$3:$B$32,$C53)</f>
        <v>9.0000000000000006E-5</v>
      </c>
      <c r="L53" s="19">
        <f t="shared" si="3"/>
        <v>764.58736728000008</v>
      </c>
      <c r="M53" s="99">
        <f t="shared" si="4"/>
        <v>40650.561693720003</v>
      </c>
      <c r="N53" s="97">
        <f>SUMIFS('Assumption-Best'!$G$3:$G$32,'Assumption-Best'!$A$3:$A$32,$B53,'Assumption-Best'!$B$3:$B$32,$C53)</f>
        <v>0.35</v>
      </c>
      <c r="O53" s="19">
        <f t="shared" si="5"/>
        <v>22300.464878999996</v>
      </c>
      <c r="P53" s="99">
        <f t="shared" si="6"/>
        <v>18350.096814720007</v>
      </c>
    </row>
    <row r="54" spans="1:16" x14ac:dyDescent="0.35">
      <c r="A54" s="96" t="str">
        <f>LEFT('2025 actual v budget'!A54,4)&amp;"26"</f>
        <v>Feb-26</v>
      </c>
      <c r="B54" s="17" t="str">
        <f>'2025 actual v budget'!B54</f>
        <v>Singapore</v>
      </c>
      <c r="C54" s="17" t="str">
        <f>'2025 actual v budget'!C54</f>
        <v>FX Conversion</v>
      </c>
      <c r="D54" s="19">
        <f>'2025 actual v budget'!D54</f>
        <v>12335647.73</v>
      </c>
      <c r="E54" s="97">
        <f>SUMIFS('Assumption-Best'!$C$3:$C$32,'Assumption-Best'!$A$3:$A$32,$B54,'Assumption-Best'!$B$3:$B$32,$C54)</f>
        <v>0.1</v>
      </c>
      <c r="F54" s="19">
        <f t="shared" si="0"/>
        <v>13569212.503000002</v>
      </c>
      <c r="G54" s="98">
        <f>SUMIFS('Assumption-Best'!$D$3:$D$32,'Assumption-Best'!$A$3:$A$32,$B54,'Assumption-Best'!$B$3:$B$32,$C54)</f>
        <v>1.0500000000000001E-2</v>
      </c>
      <c r="H54" s="99">
        <f t="shared" si="1"/>
        <v>142476.73128150005</v>
      </c>
      <c r="I54" s="97">
        <f>SUMIFS('Assumption-Best'!$E$3:$E$32,'Assumption-Best'!$A$3:$A$32,$B54,'Assumption-Best'!$B$3:$B$32,$C54)</f>
        <v>0.28000000000000003</v>
      </c>
      <c r="J54" s="19">
        <f t="shared" si="2"/>
        <v>39893.484758820014</v>
      </c>
      <c r="K54" s="100">
        <f>SUMIFS('Assumption-Best'!$F$3:$F$32,'Assumption-Best'!$A$3:$A$32,$B54,'Assumption-Best'!$B$3:$B$32,$C54)</f>
        <v>9.0000000000000006E-5</v>
      </c>
      <c r="L54" s="19">
        <f t="shared" si="3"/>
        <v>1221.2291252700004</v>
      </c>
      <c r="M54" s="99">
        <f t="shared" si="4"/>
        <v>101362.01739741005</v>
      </c>
      <c r="N54" s="97">
        <f>SUMIFS('Assumption-Best'!$G$3:$G$32,'Assumption-Best'!$A$3:$A$32,$B54,'Assumption-Best'!$B$3:$B$32,$C54)</f>
        <v>0.35</v>
      </c>
      <c r="O54" s="19">
        <f t="shared" si="5"/>
        <v>49866.855948525015</v>
      </c>
      <c r="P54" s="99">
        <f t="shared" si="6"/>
        <v>51495.161448885032</v>
      </c>
    </row>
    <row r="55" spans="1:16" x14ac:dyDescent="0.35">
      <c r="A55" s="96" t="str">
        <f>LEFT('2025 actual v budget'!A55,4)&amp;"26"</f>
        <v>Feb-26</v>
      </c>
      <c r="B55" s="17" t="str">
        <f>'2025 actual v budget'!B55</f>
        <v>Singapore</v>
      </c>
      <c r="C55" s="17" t="str">
        <f>'2025 actual v budget'!C55</f>
        <v>Stablecoin Settlement</v>
      </c>
      <c r="D55" s="19">
        <f>'2025 actual v budget'!D55</f>
        <v>18227172.739999998</v>
      </c>
      <c r="E55" s="97">
        <f>SUMIFS('Assumption-Best'!$C$3:$C$32,'Assumption-Best'!$A$3:$A$32,$B55,'Assumption-Best'!$B$3:$B$32,$C55)</f>
        <v>0.2</v>
      </c>
      <c r="F55" s="19">
        <f t="shared" si="0"/>
        <v>21872607.287999999</v>
      </c>
      <c r="G55" s="98">
        <f>SUMIFS('Assumption-Best'!$D$3:$D$32,'Assumption-Best'!$A$3:$A$32,$B55,'Assumption-Best'!$B$3:$B$32,$C55)</f>
        <v>6.4999999999999997E-3</v>
      </c>
      <c r="H55" s="99">
        <f t="shared" si="1"/>
        <v>142171.947372</v>
      </c>
      <c r="I55" s="97">
        <f>SUMIFS('Assumption-Best'!$E$3:$E$32,'Assumption-Best'!$A$3:$A$32,$B55,'Assumption-Best'!$B$3:$B$32,$C55)</f>
        <v>0.32</v>
      </c>
      <c r="J55" s="19">
        <f t="shared" si="2"/>
        <v>45495.02315904</v>
      </c>
      <c r="K55" s="100">
        <f>SUMIFS('Assumption-Best'!$F$3:$F$32,'Assumption-Best'!$A$3:$A$32,$B55,'Assumption-Best'!$B$3:$B$32,$C55)</f>
        <v>9.0000000000000006E-5</v>
      </c>
      <c r="L55" s="19">
        <f t="shared" si="3"/>
        <v>1968.53465592</v>
      </c>
      <c r="M55" s="99">
        <f t="shared" si="4"/>
        <v>94708.389557040005</v>
      </c>
      <c r="N55" s="97">
        <f>SUMIFS('Assumption-Best'!$G$3:$G$32,'Assumption-Best'!$A$3:$A$32,$B55,'Assumption-Best'!$B$3:$B$32,$C55)</f>
        <v>0.35</v>
      </c>
      <c r="O55" s="19">
        <f t="shared" si="5"/>
        <v>49760.181580199998</v>
      </c>
      <c r="P55" s="99">
        <f t="shared" si="6"/>
        <v>44948.207976840007</v>
      </c>
    </row>
    <row r="56" spans="1:16" x14ac:dyDescent="0.35">
      <c r="A56" s="96" t="str">
        <f>LEFT('2025 actual v budget'!A56,4)&amp;"26"</f>
        <v>Feb-26</v>
      </c>
      <c r="B56" s="17" t="str">
        <f>'2025 actual v budget'!B56</f>
        <v>Singapore</v>
      </c>
      <c r="C56" s="17" t="str">
        <f>'2025 actual v budget'!C56</f>
        <v>Treasury Yield</v>
      </c>
      <c r="D56" s="19">
        <f>'2025 actual v budget'!D56</f>
        <v>5105549.01</v>
      </c>
      <c r="E56" s="97">
        <f>SUMIFS('Assumption-Best'!$C$3:$C$32,'Assumption-Best'!$A$3:$A$32,$B56,'Assumption-Best'!$B$3:$B$32,$C56)</f>
        <v>0.1</v>
      </c>
      <c r="F56" s="19">
        <f t="shared" si="0"/>
        <v>5616103.9110000003</v>
      </c>
      <c r="G56" s="98">
        <f>SUMIFS('Assumption-Best'!$D$3:$D$32,'Assumption-Best'!$A$3:$A$32,$B56,'Assumption-Best'!$B$3:$B$32,$C56)</f>
        <v>3.0000000000000001E-3</v>
      </c>
      <c r="H56" s="99">
        <f t="shared" si="1"/>
        <v>16848.311733000002</v>
      </c>
      <c r="I56" s="97">
        <f>SUMIFS('Assumption-Best'!$E$3:$E$32,'Assumption-Best'!$A$3:$A$32,$B56,'Assumption-Best'!$B$3:$B$32,$C56)</f>
        <v>0.18</v>
      </c>
      <c r="J56" s="19">
        <f t="shared" si="2"/>
        <v>3032.6961119400003</v>
      </c>
      <c r="K56" s="100">
        <f>SUMIFS('Assumption-Best'!$F$3:$F$32,'Assumption-Best'!$A$3:$A$32,$B56,'Assumption-Best'!$B$3:$B$32,$C56)</f>
        <v>9.0000000000000006E-5</v>
      </c>
      <c r="L56" s="19">
        <f t="shared" si="3"/>
        <v>505.44935199000008</v>
      </c>
      <c r="M56" s="99">
        <f t="shared" si="4"/>
        <v>13310.166269070001</v>
      </c>
      <c r="N56" s="97">
        <f>SUMIFS('Assumption-Best'!$G$3:$G$32,'Assumption-Best'!$A$3:$A$32,$B56,'Assumption-Best'!$B$3:$B$32,$C56)</f>
        <v>0.35</v>
      </c>
      <c r="O56" s="19">
        <f t="shared" si="5"/>
        <v>5896.9091065500006</v>
      </c>
      <c r="P56" s="99">
        <f t="shared" si="6"/>
        <v>7413.2571625200007</v>
      </c>
    </row>
    <row r="57" spans="1:16" x14ac:dyDescent="0.35">
      <c r="A57" s="96" t="str">
        <f>LEFT('2025 actual v budget'!A57,4)&amp;"26"</f>
        <v>Feb-26</v>
      </c>
      <c r="B57" s="17" t="str">
        <f>'2025 actual v budget'!B57</f>
        <v>Singapore</v>
      </c>
      <c r="C57" s="17" t="str">
        <f>'2025 actual v budget'!C57</f>
        <v>Virtual Accounts</v>
      </c>
      <c r="D57" s="19">
        <f>'2025 actual v budget'!D57</f>
        <v>7414636.7000000002</v>
      </c>
      <c r="E57" s="97">
        <f>SUMIFS('Assumption-Best'!$C$3:$C$32,'Assumption-Best'!$A$3:$A$32,$B57,'Assumption-Best'!$B$3:$B$32,$C57)</f>
        <v>0.1</v>
      </c>
      <c r="F57" s="19">
        <f t="shared" si="0"/>
        <v>8156100.370000001</v>
      </c>
      <c r="G57" s="98">
        <f>SUMIFS('Assumption-Best'!$D$3:$D$32,'Assumption-Best'!$A$3:$A$32,$B57,'Assumption-Best'!$B$3:$B$32,$C57)</f>
        <v>4.4999999999999997E-3</v>
      </c>
      <c r="H57" s="99">
        <f t="shared" si="1"/>
        <v>36702.451665000001</v>
      </c>
      <c r="I57" s="97">
        <f>SUMIFS('Assumption-Best'!$E$3:$E$32,'Assumption-Best'!$A$3:$A$32,$B57,'Assumption-Best'!$B$3:$B$32,$C57)</f>
        <v>0.22</v>
      </c>
      <c r="J57" s="19">
        <f t="shared" si="2"/>
        <v>8074.5393663000004</v>
      </c>
      <c r="K57" s="100">
        <f>SUMIFS('Assumption-Best'!$F$3:$F$32,'Assumption-Best'!$A$3:$A$32,$B57,'Assumption-Best'!$B$3:$B$32,$C57)</f>
        <v>9.0000000000000006E-5</v>
      </c>
      <c r="L57" s="19">
        <f t="shared" si="3"/>
        <v>734.04903330000013</v>
      </c>
      <c r="M57" s="99">
        <f t="shared" si="4"/>
        <v>27893.863265399999</v>
      </c>
      <c r="N57" s="97">
        <f>SUMIFS('Assumption-Best'!$G$3:$G$32,'Assumption-Best'!$A$3:$A$32,$B57,'Assumption-Best'!$B$3:$B$32,$C57)</f>
        <v>0.35</v>
      </c>
      <c r="O57" s="19">
        <f t="shared" si="5"/>
        <v>12845.858082749999</v>
      </c>
      <c r="P57" s="99">
        <f t="shared" si="6"/>
        <v>15048.00518265</v>
      </c>
    </row>
    <row r="58" spans="1:16" x14ac:dyDescent="0.35">
      <c r="A58" s="96" t="str">
        <f>LEFT('2025 actual v budget'!A58,4)&amp;"26"</f>
        <v>Feb-26</v>
      </c>
      <c r="B58" s="17" t="str">
        <f>'2025 actual v budget'!B58</f>
        <v>USA</v>
      </c>
      <c r="C58" s="17" t="str">
        <f>'2025 actual v budget'!C58</f>
        <v>Cross-border Payouts</v>
      </c>
      <c r="D58" s="19">
        <f>'2025 actual v budget'!D58</f>
        <v>19216255.829999998</v>
      </c>
      <c r="E58" s="97">
        <f>SUMIFS('Assumption-Best'!$C$3:$C$32,'Assumption-Best'!$A$3:$A$32,$B58,'Assumption-Best'!$B$3:$B$32,$C58)</f>
        <v>0.2</v>
      </c>
      <c r="F58" s="19">
        <f t="shared" si="0"/>
        <v>23059506.995999996</v>
      </c>
      <c r="G58" s="98">
        <f>SUMIFS('Assumption-Best'!$D$3:$D$32,'Assumption-Best'!$A$3:$A$32,$B58,'Assumption-Best'!$B$3:$B$32,$C58)</f>
        <v>7.4999999999999997E-3</v>
      </c>
      <c r="H58" s="99">
        <f t="shared" si="1"/>
        <v>172946.30246999997</v>
      </c>
      <c r="I58" s="97">
        <f>SUMIFS('Assumption-Best'!$E$3:$E$32,'Assumption-Best'!$A$3:$A$32,$B58,'Assumption-Best'!$B$3:$B$32,$C58)</f>
        <v>0.35</v>
      </c>
      <c r="J58" s="19">
        <f t="shared" si="2"/>
        <v>60531.205864499985</v>
      </c>
      <c r="K58" s="100">
        <f>SUMIFS('Assumption-Best'!$F$3:$F$32,'Assumption-Best'!$A$3:$A$32,$B58,'Assumption-Best'!$B$3:$B$32,$C58)</f>
        <v>2.0000000000000001E-4</v>
      </c>
      <c r="L58" s="19">
        <f t="shared" si="3"/>
        <v>4611.9013991999991</v>
      </c>
      <c r="M58" s="99">
        <f t="shared" si="4"/>
        <v>107803.19520629998</v>
      </c>
      <c r="N58" s="97">
        <f>SUMIFS('Assumption-Best'!$G$3:$G$32,'Assumption-Best'!$A$3:$A$32,$B58,'Assumption-Best'!$B$3:$B$32,$C58)</f>
        <v>0.35</v>
      </c>
      <c r="O58" s="19">
        <f t="shared" si="5"/>
        <v>60531.205864499985</v>
      </c>
      <c r="P58" s="99">
        <f t="shared" si="6"/>
        <v>47271.989341799992</v>
      </c>
    </row>
    <row r="59" spans="1:16" x14ac:dyDescent="0.35">
      <c r="A59" s="96" t="str">
        <f>LEFT('2025 actual v budget'!A59,4)&amp;"26"</f>
        <v>Feb-26</v>
      </c>
      <c r="B59" s="17" t="str">
        <f>'2025 actual v budget'!B59</f>
        <v>USA</v>
      </c>
      <c r="C59" s="17" t="str">
        <f>'2025 actual v budget'!C59</f>
        <v>FX Conversion</v>
      </c>
      <c r="D59" s="19">
        <f>'2025 actual v budget'!D59</f>
        <v>30692266.379999999</v>
      </c>
      <c r="E59" s="97">
        <f>SUMIFS('Assumption-Best'!$C$3:$C$32,'Assumption-Best'!$A$3:$A$32,$B59,'Assumption-Best'!$B$3:$B$32,$C59)</f>
        <v>0.2</v>
      </c>
      <c r="F59" s="19">
        <f t="shared" si="0"/>
        <v>36830719.655999996</v>
      </c>
      <c r="G59" s="98">
        <f>SUMIFS('Assumption-Best'!$D$3:$D$32,'Assumption-Best'!$A$3:$A$32,$B59,'Assumption-Best'!$B$3:$B$32,$C59)</f>
        <v>1.0500000000000001E-2</v>
      </c>
      <c r="H59" s="99">
        <f t="shared" si="1"/>
        <v>386722.55638799997</v>
      </c>
      <c r="I59" s="97">
        <f>SUMIFS('Assumption-Best'!$E$3:$E$32,'Assumption-Best'!$A$3:$A$32,$B59,'Assumption-Best'!$B$3:$B$32,$C59)</f>
        <v>0.28000000000000003</v>
      </c>
      <c r="J59" s="19">
        <f t="shared" si="2"/>
        <v>108282.31578864</v>
      </c>
      <c r="K59" s="100">
        <f>SUMIFS('Assumption-Best'!$F$3:$F$32,'Assumption-Best'!$A$3:$A$32,$B59,'Assumption-Best'!$B$3:$B$32,$C59)</f>
        <v>2.0000000000000001E-4</v>
      </c>
      <c r="L59" s="19">
        <f t="shared" si="3"/>
        <v>7366.1439311999993</v>
      </c>
      <c r="M59" s="99">
        <f t="shared" si="4"/>
        <v>271074.09666816</v>
      </c>
      <c r="N59" s="97">
        <f>SUMIFS('Assumption-Best'!$G$3:$G$32,'Assumption-Best'!$A$3:$A$32,$B59,'Assumption-Best'!$B$3:$B$32,$C59)</f>
        <v>0.35</v>
      </c>
      <c r="O59" s="19">
        <f t="shared" si="5"/>
        <v>135352.89473579999</v>
      </c>
      <c r="P59" s="99">
        <f t="shared" si="6"/>
        <v>135721.20193236001</v>
      </c>
    </row>
    <row r="60" spans="1:16" x14ac:dyDescent="0.35">
      <c r="A60" s="96" t="str">
        <f>LEFT('2025 actual v budget'!A60,4)&amp;"26"</f>
        <v>Feb-26</v>
      </c>
      <c r="B60" s="17" t="str">
        <f>'2025 actual v budget'!B60</f>
        <v>USA</v>
      </c>
      <c r="C60" s="17" t="str">
        <f>'2025 actual v budget'!C60</f>
        <v>Stablecoin Settlement</v>
      </c>
      <c r="D60" s="19">
        <f>'2025 actual v budget'!D60</f>
        <v>45351970.090000004</v>
      </c>
      <c r="E60" s="97">
        <f>SUMIFS('Assumption-Best'!$C$3:$C$32,'Assumption-Best'!$A$3:$A$32,$B60,'Assumption-Best'!$B$3:$B$32,$C60)</f>
        <v>0.4</v>
      </c>
      <c r="F60" s="19">
        <f t="shared" si="0"/>
        <v>63492758.126000002</v>
      </c>
      <c r="G60" s="98">
        <f>SUMIFS('Assumption-Best'!$D$3:$D$32,'Assumption-Best'!$A$3:$A$32,$B60,'Assumption-Best'!$B$3:$B$32,$C60)</f>
        <v>6.4999999999999997E-3</v>
      </c>
      <c r="H60" s="99">
        <f t="shared" si="1"/>
        <v>412702.92781899997</v>
      </c>
      <c r="I60" s="97">
        <f>SUMIFS('Assumption-Best'!$E$3:$E$32,'Assumption-Best'!$A$3:$A$32,$B60,'Assumption-Best'!$B$3:$B$32,$C60)</f>
        <v>0.32</v>
      </c>
      <c r="J60" s="19">
        <f t="shared" si="2"/>
        <v>132064.93690207999</v>
      </c>
      <c r="K60" s="100">
        <f>SUMIFS('Assumption-Best'!$F$3:$F$32,'Assumption-Best'!$A$3:$A$32,$B60,'Assumption-Best'!$B$3:$B$32,$C60)</f>
        <v>2.0000000000000001E-4</v>
      </c>
      <c r="L60" s="19">
        <f t="shared" si="3"/>
        <v>12698.551625200002</v>
      </c>
      <c r="M60" s="99">
        <f t="shared" si="4"/>
        <v>267939.43929171999</v>
      </c>
      <c r="N60" s="97">
        <f>SUMIFS('Assumption-Best'!$G$3:$G$32,'Assumption-Best'!$A$3:$A$32,$B60,'Assumption-Best'!$B$3:$B$32,$C60)</f>
        <v>0.35</v>
      </c>
      <c r="O60" s="19">
        <f t="shared" si="5"/>
        <v>144446.02473664997</v>
      </c>
      <c r="P60" s="99">
        <f t="shared" si="6"/>
        <v>123493.41455507002</v>
      </c>
    </row>
    <row r="61" spans="1:16" x14ac:dyDescent="0.35">
      <c r="A61" s="96" t="str">
        <f>LEFT('2025 actual v budget'!A61,4)&amp;"26"</f>
        <v>Feb-26</v>
      </c>
      <c r="B61" s="17" t="str">
        <f>'2025 actual v budget'!B61</f>
        <v>USA</v>
      </c>
      <c r="C61" s="17" t="str">
        <f>'2025 actual v budget'!C61</f>
        <v>Treasury Yield</v>
      </c>
      <c r="D61" s="19">
        <f>'2025 actual v budget'!D61</f>
        <v>12703092.189999999</v>
      </c>
      <c r="E61" s="97">
        <f>SUMIFS('Assumption-Best'!$C$3:$C$32,'Assumption-Best'!$A$3:$A$32,$B61,'Assumption-Best'!$B$3:$B$32,$C61)</f>
        <v>0.2</v>
      </c>
      <c r="F61" s="19">
        <f t="shared" si="0"/>
        <v>15243710.627999999</v>
      </c>
      <c r="G61" s="98">
        <f>SUMIFS('Assumption-Best'!$D$3:$D$32,'Assumption-Best'!$A$3:$A$32,$B61,'Assumption-Best'!$B$3:$B$32,$C61)</f>
        <v>3.0000000000000001E-3</v>
      </c>
      <c r="H61" s="99">
        <f t="shared" si="1"/>
        <v>45731.131883999995</v>
      </c>
      <c r="I61" s="97">
        <f>SUMIFS('Assumption-Best'!$E$3:$E$32,'Assumption-Best'!$A$3:$A$32,$B61,'Assumption-Best'!$B$3:$B$32,$C61)</f>
        <v>0.18</v>
      </c>
      <c r="J61" s="19">
        <f t="shared" si="2"/>
        <v>8231.6037391199989</v>
      </c>
      <c r="K61" s="100">
        <f>SUMIFS('Assumption-Best'!$F$3:$F$32,'Assumption-Best'!$A$3:$A$32,$B61,'Assumption-Best'!$B$3:$B$32,$C61)</f>
        <v>2.0000000000000001E-4</v>
      </c>
      <c r="L61" s="19">
        <f t="shared" si="3"/>
        <v>3048.7421255999998</v>
      </c>
      <c r="M61" s="99">
        <f t="shared" si="4"/>
        <v>34450.786019279993</v>
      </c>
      <c r="N61" s="97">
        <f>SUMIFS('Assumption-Best'!$G$3:$G$32,'Assumption-Best'!$A$3:$A$32,$B61,'Assumption-Best'!$B$3:$B$32,$C61)</f>
        <v>0.35</v>
      </c>
      <c r="O61" s="19">
        <f t="shared" si="5"/>
        <v>16005.896159399997</v>
      </c>
      <c r="P61" s="99">
        <f t="shared" si="6"/>
        <v>18444.889859879993</v>
      </c>
    </row>
    <row r="62" spans="1:16" x14ac:dyDescent="0.35">
      <c r="A62" s="96" t="str">
        <f>LEFT('2025 actual v budget'!A62,4)&amp;"26"</f>
        <v>Feb-26</v>
      </c>
      <c r="B62" s="17" t="str">
        <f>'2025 actual v budget'!B62</f>
        <v>USA</v>
      </c>
      <c r="C62" s="17" t="str">
        <f>'2025 actual v budget'!C62</f>
        <v>Virtual Accounts</v>
      </c>
      <c r="D62" s="19">
        <f>'2025 actual v budget'!D62</f>
        <v>18448322.260000002</v>
      </c>
      <c r="E62" s="97">
        <f>SUMIFS('Assumption-Best'!$C$3:$C$32,'Assumption-Best'!$A$3:$A$32,$B62,'Assumption-Best'!$B$3:$B$32,$C62)</f>
        <v>0.2</v>
      </c>
      <c r="F62" s="19">
        <f t="shared" si="0"/>
        <v>22137986.712000001</v>
      </c>
      <c r="G62" s="98">
        <f>SUMIFS('Assumption-Best'!$D$3:$D$32,'Assumption-Best'!$A$3:$A$32,$B62,'Assumption-Best'!$B$3:$B$32,$C62)</f>
        <v>4.4999999999999997E-3</v>
      </c>
      <c r="H62" s="99">
        <f t="shared" si="1"/>
        <v>99620.940203999999</v>
      </c>
      <c r="I62" s="97">
        <f>SUMIFS('Assumption-Best'!$E$3:$E$32,'Assumption-Best'!$A$3:$A$32,$B62,'Assumption-Best'!$B$3:$B$32,$C62)</f>
        <v>0.22</v>
      </c>
      <c r="J62" s="19">
        <f t="shared" si="2"/>
        <v>21916.60684488</v>
      </c>
      <c r="K62" s="100">
        <f>SUMIFS('Assumption-Best'!$F$3:$F$32,'Assumption-Best'!$A$3:$A$32,$B62,'Assumption-Best'!$B$3:$B$32,$C62)</f>
        <v>2.0000000000000001E-4</v>
      </c>
      <c r="L62" s="19">
        <f t="shared" si="3"/>
        <v>4427.5973424000003</v>
      </c>
      <c r="M62" s="99">
        <f t="shared" si="4"/>
        <v>73276.73601672001</v>
      </c>
      <c r="N62" s="97">
        <f>SUMIFS('Assumption-Best'!$G$3:$G$32,'Assumption-Best'!$A$3:$A$32,$B62,'Assumption-Best'!$B$3:$B$32,$C62)</f>
        <v>0.35</v>
      </c>
      <c r="O62" s="19">
        <f t="shared" si="5"/>
        <v>34867.329071399996</v>
      </c>
      <c r="P62" s="99">
        <f t="shared" si="6"/>
        <v>38409.406945320014</v>
      </c>
    </row>
    <row r="63" spans="1:16" x14ac:dyDescent="0.35">
      <c r="A63" s="91" t="str">
        <f>LEFT('2025 actual v budget'!A63,4)&amp;"26"</f>
        <v>Mar-26</v>
      </c>
      <c r="B63" s="12" t="str">
        <f>'2025 actual v budget'!B63</f>
        <v>Brazil</v>
      </c>
      <c r="C63" s="12" t="str">
        <f>'2025 actual v budget'!C63</f>
        <v>Cross-border Payouts</v>
      </c>
      <c r="D63" s="14">
        <f>'2025 actual v budget'!D63</f>
        <v>11907254.23</v>
      </c>
      <c r="E63" s="92">
        <f>SUMIFS('Assumption-Best'!$C$3:$C$32,'Assumption-Best'!$A$3:$A$32,$B63,'Assumption-Best'!$B$3:$B$32,$C63)</f>
        <v>0.4</v>
      </c>
      <c r="F63" s="14">
        <f t="shared" si="0"/>
        <v>16670155.922</v>
      </c>
      <c r="G63" s="93">
        <f>SUMIFS('Assumption-Best'!$D$3:$D$32,'Assumption-Best'!$A$3:$A$32,$B63,'Assumption-Best'!$B$3:$B$32,$C63)</f>
        <v>7.4999999999999997E-3</v>
      </c>
      <c r="H63" s="94">
        <f t="shared" si="1"/>
        <v>125026.169415</v>
      </c>
      <c r="I63" s="92">
        <f>SUMIFS('Assumption-Best'!$E$3:$E$32,'Assumption-Best'!$A$3:$A$32,$B63,'Assumption-Best'!$B$3:$B$32,$C63)</f>
        <v>0.35</v>
      </c>
      <c r="J63" s="14">
        <f t="shared" si="2"/>
        <v>43759.15929525</v>
      </c>
      <c r="K63" s="95">
        <f>SUMIFS('Assumption-Best'!$F$3:$F$32,'Assumption-Best'!$A$3:$A$32,$B63,'Assumption-Best'!$B$3:$B$32,$C63)</f>
        <v>6.9999999999999994E-5</v>
      </c>
      <c r="L63" s="14">
        <f t="shared" si="3"/>
        <v>1166.91091454</v>
      </c>
      <c r="M63" s="94">
        <f t="shared" si="4"/>
        <v>80100.09920520999</v>
      </c>
      <c r="N63" s="92">
        <f>SUMIFS('Assumption-Best'!$G$3:$G$32,'Assumption-Best'!$A$3:$A$32,$B63,'Assumption-Best'!$B$3:$B$32,$C63)</f>
        <v>0.35</v>
      </c>
      <c r="O63" s="14">
        <f t="shared" si="5"/>
        <v>43759.15929525</v>
      </c>
      <c r="P63" s="94">
        <f t="shared" si="6"/>
        <v>36340.93990995999</v>
      </c>
    </row>
    <row r="64" spans="1:16" x14ac:dyDescent="0.35">
      <c r="A64" s="91" t="str">
        <f>LEFT('2025 actual v budget'!A64,4)&amp;"26"</f>
        <v>Mar-26</v>
      </c>
      <c r="B64" s="12" t="str">
        <f>'2025 actual v budget'!B64</f>
        <v>Brazil</v>
      </c>
      <c r="C64" s="12" t="str">
        <f>'2025 actual v budget'!C64</f>
        <v>FX Conversion</v>
      </c>
      <c r="D64" s="14">
        <f>'2025 actual v budget'!D64</f>
        <v>19121982.91</v>
      </c>
      <c r="E64" s="92">
        <f>SUMIFS('Assumption-Best'!$C$3:$C$32,'Assumption-Best'!$A$3:$A$32,$B64,'Assumption-Best'!$B$3:$B$32,$C64)</f>
        <v>0.4</v>
      </c>
      <c r="F64" s="14">
        <f t="shared" si="0"/>
        <v>26770776.073999997</v>
      </c>
      <c r="G64" s="93">
        <f>SUMIFS('Assumption-Best'!$D$3:$D$32,'Assumption-Best'!$A$3:$A$32,$B64,'Assumption-Best'!$B$3:$B$32,$C64)</f>
        <v>1.0500000000000001E-2</v>
      </c>
      <c r="H64" s="94">
        <f t="shared" si="1"/>
        <v>281093.14877699997</v>
      </c>
      <c r="I64" s="92">
        <f>SUMIFS('Assumption-Best'!$E$3:$E$32,'Assumption-Best'!$A$3:$A$32,$B64,'Assumption-Best'!$B$3:$B$32,$C64)</f>
        <v>0.28000000000000003</v>
      </c>
      <c r="J64" s="14">
        <f t="shared" si="2"/>
        <v>78706.081657560004</v>
      </c>
      <c r="K64" s="95">
        <f>SUMIFS('Assumption-Best'!$F$3:$F$32,'Assumption-Best'!$A$3:$A$32,$B64,'Assumption-Best'!$B$3:$B$32,$C64)</f>
        <v>6.9999999999999994E-5</v>
      </c>
      <c r="L64" s="14">
        <f t="shared" si="3"/>
        <v>1873.9543251799996</v>
      </c>
      <c r="M64" s="94">
        <f t="shared" si="4"/>
        <v>200513.11279425994</v>
      </c>
      <c r="N64" s="92">
        <f>SUMIFS('Assumption-Best'!$G$3:$G$32,'Assumption-Best'!$A$3:$A$32,$B64,'Assumption-Best'!$B$3:$B$32,$C64)</f>
        <v>0.35</v>
      </c>
      <c r="O64" s="14">
        <f t="shared" si="5"/>
        <v>98382.602071949979</v>
      </c>
      <c r="P64" s="94">
        <f t="shared" si="6"/>
        <v>102130.51072230996</v>
      </c>
    </row>
    <row r="65" spans="1:16" x14ac:dyDescent="0.35">
      <c r="A65" s="91" t="str">
        <f>LEFT('2025 actual v budget'!A65,4)&amp;"26"</f>
        <v>Mar-26</v>
      </c>
      <c r="B65" s="12" t="str">
        <f>'2025 actual v budget'!B65</f>
        <v>Brazil</v>
      </c>
      <c r="C65" s="12" t="str">
        <f>'2025 actual v budget'!C65</f>
        <v>Stablecoin Settlement</v>
      </c>
      <c r="D65" s="14">
        <f>'2025 actual v budget'!D65</f>
        <v>28098728.609999999</v>
      </c>
      <c r="E65" s="92">
        <f>SUMIFS('Assumption-Best'!$C$3:$C$32,'Assumption-Best'!$A$3:$A$32,$B65,'Assumption-Best'!$B$3:$B$32,$C65)</f>
        <v>0.8</v>
      </c>
      <c r="F65" s="14">
        <f t="shared" si="0"/>
        <v>50577711.498000003</v>
      </c>
      <c r="G65" s="93">
        <f>SUMIFS('Assumption-Best'!$D$3:$D$32,'Assumption-Best'!$A$3:$A$32,$B65,'Assumption-Best'!$B$3:$B$32,$C65)</f>
        <v>6.4999999999999997E-3</v>
      </c>
      <c r="H65" s="94">
        <f t="shared" si="1"/>
        <v>328755.12473700003</v>
      </c>
      <c r="I65" s="92">
        <f>SUMIFS('Assumption-Best'!$E$3:$E$32,'Assumption-Best'!$A$3:$A$32,$B65,'Assumption-Best'!$B$3:$B$32,$C65)</f>
        <v>0.32</v>
      </c>
      <c r="J65" s="14">
        <f t="shared" si="2"/>
        <v>105201.63991584002</v>
      </c>
      <c r="K65" s="95">
        <f>SUMIFS('Assumption-Best'!$F$3:$F$32,'Assumption-Best'!$A$3:$A$32,$B65,'Assumption-Best'!$B$3:$B$32,$C65)</f>
        <v>6.9999999999999994E-5</v>
      </c>
      <c r="L65" s="14">
        <f t="shared" si="3"/>
        <v>3540.4398048600001</v>
      </c>
      <c r="M65" s="94">
        <f t="shared" si="4"/>
        <v>220013.04501630002</v>
      </c>
      <c r="N65" s="92">
        <f>SUMIFS('Assumption-Best'!$G$3:$G$32,'Assumption-Best'!$A$3:$A$32,$B65,'Assumption-Best'!$B$3:$B$32,$C65)</f>
        <v>0.35</v>
      </c>
      <c r="O65" s="14">
        <f t="shared" si="5"/>
        <v>115064.29365795001</v>
      </c>
      <c r="P65" s="94">
        <f t="shared" si="6"/>
        <v>104948.75135835001</v>
      </c>
    </row>
    <row r="66" spans="1:16" x14ac:dyDescent="0.35">
      <c r="A66" s="91" t="str">
        <f>LEFT('2025 actual v budget'!A66,4)&amp;"26"</f>
        <v>Mar-26</v>
      </c>
      <c r="B66" s="12" t="str">
        <f>'2025 actual v budget'!B66</f>
        <v>Brazil</v>
      </c>
      <c r="C66" s="12" t="str">
        <f>'2025 actual v budget'!C66</f>
        <v>Treasury Yield</v>
      </c>
      <c r="D66" s="14">
        <f>'2025 actual v budget'!D66</f>
        <v>7819911.6600000001</v>
      </c>
      <c r="E66" s="92">
        <f>SUMIFS('Assumption-Best'!$C$3:$C$32,'Assumption-Best'!$A$3:$A$32,$B66,'Assumption-Best'!$B$3:$B$32,$C66)</f>
        <v>0.4</v>
      </c>
      <c r="F66" s="14">
        <f t="shared" si="0"/>
        <v>10947876.323999999</v>
      </c>
      <c r="G66" s="93">
        <f>SUMIFS('Assumption-Best'!$D$3:$D$32,'Assumption-Best'!$A$3:$A$32,$B66,'Assumption-Best'!$B$3:$B$32,$C66)</f>
        <v>3.0000000000000001E-3</v>
      </c>
      <c r="H66" s="94">
        <f t="shared" si="1"/>
        <v>32843.628971999999</v>
      </c>
      <c r="I66" s="92">
        <f>SUMIFS('Assumption-Best'!$E$3:$E$32,'Assumption-Best'!$A$3:$A$32,$B66,'Assumption-Best'!$B$3:$B$32,$C66)</f>
        <v>0.18</v>
      </c>
      <c r="J66" s="14">
        <f t="shared" si="2"/>
        <v>5911.8532149599996</v>
      </c>
      <c r="K66" s="95">
        <f>SUMIFS('Assumption-Best'!$F$3:$F$32,'Assumption-Best'!$A$3:$A$32,$B66,'Assumption-Best'!$B$3:$B$32,$C66)</f>
        <v>6.9999999999999994E-5</v>
      </c>
      <c r="L66" s="14">
        <f t="shared" si="3"/>
        <v>766.3513426799999</v>
      </c>
      <c r="M66" s="94">
        <f t="shared" si="4"/>
        <v>26165.424414360001</v>
      </c>
      <c r="N66" s="92">
        <f>SUMIFS('Assumption-Best'!$G$3:$G$32,'Assumption-Best'!$A$3:$A$32,$B66,'Assumption-Best'!$B$3:$B$32,$C66)</f>
        <v>0.35</v>
      </c>
      <c r="O66" s="14">
        <f t="shared" si="5"/>
        <v>11495.270140199998</v>
      </c>
      <c r="P66" s="94">
        <f t="shared" si="6"/>
        <v>14670.154274160002</v>
      </c>
    </row>
    <row r="67" spans="1:16" x14ac:dyDescent="0.35">
      <c r="A67" s="91" t="str">
        <f>LEFT('2025 actual v budget'!A67,4)&amp;"26"</f>
        <v>Mar-26</v>
      </c>
      <c r="B67" s="12" t="str">
        <f>'2025 actual v budget'!B67</f>
        <v>Brazil</v>
      </c>
      <c r="C67" s="12" t="str">
        <f>'2025 actual v budget'!C67</f>
        <v>Virtual Accounts</v>
      </c>
      <c r="D67" s="14">
        <f>'2025 actual v budget'!D67</f>
        <v>11620600.050000001</v>
      </c>
      <c r="E67" s="92">
        <f>SUMIFS('Assumption-Best'!$C$3:$C$32,'Assumption-Best'!$A$3:$A$32,$B67,'Assumption-Best'!$B$3:$B$32,$C67)</f>
        <v>0.4</v>
      </c>
      <c r="F67" s="14">
        <f t="shared" ref="F67:F130" si="7">D67*(1+E67)</f>
        <v>16268840.07</v>
      </c>
      <c r="G67" s="93">
        <f>SUMIFS('Assumption-Best'!$D$3:$D$32,'Assumption-Best'!$A$3:$A$32,$B67,'Assumption-Best'!$B$3:$B$32,$C67)</f>
        <v>4.4999999999999997E-3</v>
      </c>
      <c r="H67" s="94">
        <f t="shared" ref="H67:H130" si="8">F67*G67</f>
        <v>73209.780314999996</v>
      </c>
      <c r="I67" s="92">
        <f>SUMIFS('Assumption-Best'!$E$3:$E$32,'Assumption-Best'!$A$3:$A$32,$B67,'Assumption-Best'!$B$3:$B$32,$C67)</f>
        <v>0.22</v>
      </c>
      <c r="J67" s="14">
        <f t="shared" ref="J67:J130" si="9">H67*I67</f>
        <v>16106.151669299999</v>
      </c>
      <c r="K67" s="95">
        <f>SUMIFS('Assumption-Best'!$F$3:$F$32,'Assumption-Best'!$A$3:$A$32,$B67,'Assumption-Best'!$B$3:$B$32,$C67)</f>
        <v>6.9999999999999994E-5</v>
      </c>
      <c r="L67" s="14">
        <f t="shared" ref="L67:L130" si="10">F67*K67</f>
        <v>1138.8188049</v>
      </c>
      <c r="M67" s="94">
        <f t="shared" ref="M67:M130" si="11">H67-J67-L67</f>
        <v>55964.809840799993</v>
      </c>
      <c r="N67" s="92">
        <f>SUMIFS('Assumption-Best'!$G$3:$G$32,'Assumption-Best'!$A$3:$A$32,$B67,'Assumption-Best'!$B$3:$B$32,$C67)</f>
        <v>0.35</v>
      </c>
      <c r="O67" s="14">
        <f t="shared" ref="O67:O130" si="12">H67*N67</f>
        <v>25623.423110249998</v>
      </c>
      <c r="P67" s="94">
        <f t="shared" ref="P67:P130" si="13">M67-O67</f>
        <v>30341.386730549995</v>
      </c>
    </row>
    <row r="68" spans="1:16" x14ac:dyDescent="0.35">
      <c r="A68" s="91" t="str">
        <f>LEFT('2025 actual v budget'!A68,4)&amp;"26"</f>
        <v>Mar-26</v>
      </c>
      <c r="B68" s="12" t="str">
        <f>'2025 actual v budget'!B68</f>
        <v>Germany</v>
      </c>
      <c r="C68" s="12" t="str">
        <f>'2025 actual v budget'!C68</f>
        <v>Cross-border Payouts</v>
      </c>
      <c r="D68" s="14">
        <f>'2025 actual v budget'!D68</f>
        <v>6223440.5899999999</v>
      </c>
      <c r="E68" s="92">
        <f>SUMIFS('Assumption-Best'!$C$3:$C$32,'Assumption-Best'!$A$3:$A$32,$B68,'Assumption-Best'!$B$3:$B$32,$C68)</f>
        <v>0.12</v>
      </c>
      <c r="F68" s="14">
        <f t="shared" si="7"/>
        <v>6970253.4608000005</v>
      </c>
      <c r="G68" s="93">
        <f>SUMIFS('Assumption-Best'!$D$3:$D$32,'Assumption-Best'!$A$3:$A$32,$B68,'Assumption-Best'!$B$3:$B$32,$C68)</f>
        <v>7.4999999999999997E-3</v>
      </c>
      <c r="H68" s="94">
        <f t="shared" si="8"/>
        <v>52276.900956000005</v>
      </c>
      <c r="I68" s="92">
        <f>SUMIFS('Assumption-Best'!$E$3:$E$32,'Assumption-Best'!$A$3:$A$32,$B68,'Assumption-Best'!$B$3:$B$32,$C68)</f>
        <v>0.35</v>
      </c>
      <c r="J68" s="14">
        <f t="shared" si="9"/>
        <v>18296.915334600002</v>
      </c>
      <c r="K68" s="95">
        <f>SUMIFS('Assumption-Best'!$F$3:$F$32,'Assumption-Best'!$A$3:$A$32,$B68,'Assumption-Best'!$B$3:$B$32,$C68)</f>
        <v>1.4999999999999999E-4</v>
      </c>
      <c r="L68" s="14">
        <f t="shared" si="10"/>
        <v>1045.5380191199999</v>
      </c>
      <c r="M68" s="94">
        <f t="shared" si="11"/>
        <v>32934.447602280001</v>
      </c>
      <c r="N68" s="92">
        <f>SUMIFS('Assumption-Best'!$G$3:$G$32,'Assumption-Best'!$A$3:$A$32,$B68,'Assumption-Best'!$B$3:$B$32,$C68)</f>
        <v>0.35</v>
      </c>
      <c r="O68" s="14">
        <f t="shared" si="12"/>
        <v>18296.915334600002</v>
      </c>
      <c r="P68" s="94">
        <f t="shared" si="13"/>
        <v>14637.532267679999</v>
      </c>
    </row>
    <row r="69" spans="1:16" x14ac:dyDescent="0.35">
      <c r="A69" s="91" t="str">
        <f>LEFT('2025 actual v budget'!A69,4)&amp;"26"</f>
        <v>Mar-26</v>
      </c>
      <c r="B69" s="12" t="str">
        <f>'2025 actual v budget'!B69</f>
        <v>Germany</v>
      </c>
      <c r="C69" s="12" t="str">
        <f>'2025 actual v budget'!C69</f>
        <v>FX Conversion</v>
      </c>
      <c r="D69" s="14">
        <f>'2025 actual v budget'!D69</f>
        <v>9992483.2799999993</v>
      </c>
      <c r="E69" s="92">
        <f>SUMIFS('Assumption-Best'!$C$3:$C$32,'Assumption-Best'!$A$3:$A$32,$B69,'Assumption-Best'!$B$3:$B$32,$C69)</f>
        <v>0.12</v>
      </c>
      <c r="F69" s="14">
        <f t="shared" si="7"/>
        <v>11191581.273600001</v>
      </c>
      <c r="G69" s="93">
        <f>SUMIFS('Assumption-Best'!$D$3:$D$32,'Assumption-Best'!$A$3:$A$32,$B69,'Assumption-Best'!$B$3:$B$32,$C69)</f>
        <v>1.0500000000000001E-2</v>
      </c>
      <c r="H69" s="94">
        <f t="shared" si="8"/>
        <v>117511.60337280002</v>
      </c>
      <c r="I69" s="92">
        <f>SUMIFS('Assumption-Best'!$E$3:$E$32,'Assumption-Best'!$A$3:$A$32,$B69,'Assumption-Best'!$B$3:$B$32,$C69)</f>
        <v>0.28000000000000003</v>
      </c>
      <c r="J69" s="14">
        <f t="shared" si="9"/>
        <v>32903.24894438401</v>
      </c>
      <c r="K69" s="95">
        <f>SUMIFS('Assumption-Best'!$F$3:$F$32,'Assumption-Best'!$A$3:$A$32,$B69,'Assumption-Best'!$B$3:$B$32,$C69)</f>
        <v>1.4999999999999999E-4</v>
      </c>
      <c r="L69" s="14">
        <f t="shared" si="10"/>
        <v>1678.73719104</v>
      </c>
      <c r="M69" s="94">
        <f t="shared" si="11"/>
        <v>82929.617237376006</v>
      </c>
      <c r="N69" s="92">
        <f>SUMIFS('Assumption-Best'!$G$3:$G$32,'Assumption-Best'!$A$3:$A$32,$B69,'Assumption-Best'!$B$3:$B$32,$C69)</f>
        <v>0.35</v>
      </c>
      <c r="O69" s="14">
        <f t="shared" si="12"/>
        <v>41129.061180480006</v>
      </c>
      <c r="P69" s="94">
        <f t="shared" si="13"/>
        <v>41800.556056895999</v>
      </c>
    </row>
    <row r="70" spans="1:16" x14ac:dyDescent="0.35">
      <c r="A70" s="91" t="str">
        <f>LEFT('2025 actual v budget'!A70,4)&amp;"26"</f>
        <v>Mar-26</v>
      </c>
      <c r="B70" s="12" t="str">
        <f>'2025 actual v budget'!B70</f>
        <v>Germany</v>
      </c>
      <c r="C70" s="12" t="str">
        <f>'2025 actual v budget'!C70</f>
        <v>Stablecoin Settlement</v>
      </c>
      <c r="D70" s="14">
        <f>'2025 actual v budget'!D70</f>
        <v>14686069.93</v>
      </c>
      <c r="E70" s="92">
        <f>SUMIFS('Assumption-Best'!$C$3:$C$32,'Assumption-Best'!$A$3:$A$32,$B70,'Assumption-Best'!$B$3:$B$32,$C70)</f>
        <v>0.24</v>
      </c>
      <c r="F70" s="14">
        <f t="shared" si="7"/>
        <v>18210726.713199999</v>
      </c>
      <c r="G70" s="93">
        <f>SUMIFS('Assumption-Best'!$D$3:$D$32,'Assumption-Best'!$A$3:$A$32,$B70,'Assumption-Best'!$B$3:$B$32,$C70)</f>
        <v>6.4999999999999997E-3</v>
      </c>
      <c r="H70" s="94">
        <f t="shared" si="8"/>
        <v>118369.72363579999</v>
      </c>
      <c r="I70" s="92">
        <f>SUMIFS('Assumption-Best'!$E$3:$E$32,'Assumption-Best'!$A$3:$A$32,$B70,'Assumption-Best'!$B$3:$B$32,$C70)</f>
        <v>0.32</v>
      </c>
      <c r="J70" s="14">
        <f t="shared" si="9"/>
        <v>37878.311563456002</v>
      </c>
      <c r="K70" s="95">
        <f>SUMIFS('Assumption-Best'!$F$3:$F$32,'Assumption-Best'!$A$3:$A$32,$B70,'Assumption-Best'!$B$3:$B$32,$C70)</f>
        <v>1.4999999999999999E-4</v>
      </c>
      <c r="L70" s="14">
        <f t="shared" si="10"/>
        <v>2731.6090069799998</v>
      </c>
      <c r="M70" s="94">
        <f t="shared" si="11"/>
        <v>77759.803065363987</v>
      </c>
      <c r="N70" s="92">
        <f>SUMIFS('Assumption-Best'!$G$3:$G$32,'Assumption-Best'!$A$3:$A$32,$B70,'Assumption-Best'!$B$3:$B$32,$C70)</f>
        <v>0.35</v>
      </c>
      <c r="O70" s="14">
        <f t="shared" si="12"/>
        <v>41429.403272529999</v>
      </c>
      <c r="P70" s="94">
        <f t="shared" si="13"/>
        <v>36330.399792833989</v>
      </c>
    </row>
    <row r="71" spans="1:16" x14ac:dyDescent="0.35">
      <c r="A71" s="91" t="str">
        <f>LEFT('2025 actual v budget'!A71,4)&amp;"26"</f>
        <v>Mar-26</v>
      </c>
      <c r="B71" s="12" t="str">
        <f>'2025 actual v budget'!B71</f>
        <v>Germany</v>
      </c>
      <c r="C71" s="12" t="str">
        <f>'2025 actual v budget'!C71</f>
        <v>Treasury Yield</v>
      </c>
      <c r="D71" s="14">
        <f>'2025 actual v budget'!D71</f>
        <v>4086413.89</v>
      </c>
      <c r="E71" s="92">
        <f>SUMIFS('Assumption-Best'!$C$3:$C$32,'Assumption-Best'!$A$3:$A$32,$B71,'Assumption-Best'!$B$3:$B$32,$C71)</f>
        <v>0.12</v>
      </c>
      <c r="F71" s="14">
        <f t="shared" si="7"/>
        <v>4576783.5568000004</v>
      </c>
      <c r="G71" s="93">
        <f>SUMIFS('Assumption-Best'!$D$3:$D$32,'Assumption-Best'!$A$3:$A$32,$B71,'Assumption-Best'!$B$3:$B$32,$C71)</f>
        <v>3.0000000000000001E-3</v>
      </c>
      <c r="H71" s="94">
        <f t="shared" si="8"/>
        <v>13730.350670400001</v>
      </c>
      <c r="I71" s="92">
        <f>SUMIFS('Assumption-Best'!$E$3:$E$32,'Assumption-Best'!$A$3:$A$32,$B71,'Assumption-Best'!$B$3:$B$32,$C71)</f>
        <v>0.18</v>
      </c>
      <c r="J71" s="14">
        <f t="shared" si="9"/>
        <v>2471.4631206720001</v>
      </c>
      <c r="K71" s="95">
        <f>SUMIFS('Assumption-Best'!$F$3:$F$32,'Assumption-Best'!$A$3:$A$32,$B71,'Assumption-Best'!$B$3:$B$32,$C71)</f>
        <v>1.4999999999999999E-4</v>
      </c>
      <c r="L71" s="14">
        <f t="shared" si="10"/>
        <v>686.51753352000003</v>
      </c>
      <c r="M71" s="94">
        <f t="shared" si="11"/>
        <v>10572.370016208</v>
      </c>
      <c r="N71" s="92">
        <f>SUMIFS('Assumption-Best'!$G$3:$G$32,'Assumption-Best'!$A$3:$A$32,$B71,'Assumption-Best'!$B$3:$B$32,$C71)</f>
        <v>0.35</v>
      </c>
      <c r="O71" s="14">
        <f t="shared" si="12"/>
        <v>4805.6227346400001</v>
      </c>
      <c r="P71" s="94">
        <f t="shared" si="13"/>
        <v>5766.7472815680003</v>
      </c>
    </row>
    <row r="72" spans="1:16" x14ac:dyDescent="0.35">
      <c r="A72" s="91" t="str">
        <f>LEFT('2025 actual v budget'!A72,4)&amp;"26"</f>
        <v>Mar-26</v>
      </c>
      <c r="B72" s="12" t="str">
        <f>'2025 actual v budget'!B72</f>
        <v>Germany</v>
      </c>
      <c r="C72" s="12" t="str">
        <f>'2025 actual v budget'!C72</f>
        <v>Virtual Accounts</v>
      </c>
      <c r="D72" s="14">
        <f>'2025 actual v budget'!D72</f>
        <v>6072521.4699999997</v>
      </c>
      <c r="E72" s="92">
        <f>SUMIFS('Assumption-Best'!$C$3:$C$32,'Assumption-Best'!$A$3:$A$32,$B72,'Assumption-Best'!$B$3:$B$32,$C72)</f>
        <v>0.12</v>
      </c>
      <c r="F72" s="14">
        <f t="shared" si="7"/>
        <v>6801224.0464000003</v>
      </c>
      <c r="G72" s="93">
        <f>SUMIFS('Assumption-Best'!$D$3:$D$32,'Assumption-Best'!$A$3:$A$32,$B72,'Assumption-Best'!$B$3:$B$32,$C72)</f>
        <v>4.4999999999999997E-3</v>
      </c>
      <c r="H72" s="94">
        <f t="shared" si="8"/>
        <v>30605.508208799998</v>
      </c>
      <c r="I72" s="92">
        <f>SUMIFS('Assumption-Best'!$E$3:$E$32,'Assumption-Best'!$A$3:$A$32,$B72,'Assumption-Best'!$B$3:$B$32,$C72)</f>
        <v>0.22</v>
      </c>
      <c r="J72" s="14">
        <f t="shared" si="9"/>
        <v>6733.211805936</v>
      </c>
      <c r="K72" s="95">
        <f>SUMIFS('Assumption-Best'!$F$3:$F$32,'Assumption-Best'!$A$3:$A$32,$B72,'Assumption-Best'!$B$3:$B$32,$C72)</f>
        <v>1.4999999999999999E-4</v>
      </c>
      <c r="L72" s="14">
        <f t="shared" si="10"/>
        <v>1020.1836069599999</v>
      </c>
      <c r="M72" s="94">
        <f t="shared" si="11"/>
        <v>22852.112795903999</v>
      </c>
      <c r="N72" s="92">
        <f>SUMIFS('Assumption-Best'!$G$3:$G$32,'Assumption-Best'!$A$3:$A$32,$B72,'Assumption-Best'!$B$3:$B$32,$C72)</f>
        <v>0.35</v>
      </c>
      <c r="O72" s="14">
        <f t="shared" si="12"/>
        <v>10711.927873079998</v>
      </c>
      <c r="P72" s="94">
        <f t="shared" si="13"/>
        <v>12140.184922824001</v>
      </c>
    </row>
    <row r="73" spans="1:16" x14ac:dyDescent="0.35">
      <c r="A73" s="91" t="str">
        <f>LEFT('2025 actual v budget'!A73,4)&amp;"26"</f>
        <v>Mar-26</v>
      </c>
      <c r="B73" s="12" t="str">
        <f>'2025 actual v budget'!B73</f>
        <v>India</v>
      </c>
      <c r="C73" s="12" t="str">
        <f>'2025 actual v budget'!C73</f>
        <v>Cross-border Payouts</v>
      </c>
      <c r="D73" s="14">
        <f>'2025 actual v budget'!D73</f>
        <v>7799087.8600000003</v>
      </c>
      <c r="E73" s="92">
        <f>SUMIFS('Assumption-Best'!$C$3:$C$32,'Assumption-Best'!$A$3:$A$32,$B73,'Assumption-Best'!$B$3:$B$32,$C73)</f>
        <v>0.24</v>
      </c>
      <c r="F73" s="14">
        <f t="shared" si="7"/>
        <v>9670868.9463999998</v>
      </c>
      <c r="G73" s="93">
        <f>SUMIFS('Assumption-Best'!$D$3:$D$32,'Assumption-Best'!$A$3:$A$32,$B73,'Assumption-Best'!$B$3:$B$32,$C73)</f>
        <v>7.4999999999999997E-3</v>
      </c>
      <c r="H73" s="94">
        <f t="shared" si="8"/>
        <v>72531.517097999997</v>
      </c>
      <c r="I73" s="92">
        <f>SUMIFS('Assumption-Best'!$E$3:$E$32,'Assumption-Best'!$A$3:$A$32,$B73,'Assumption-Best'!$B$3:$B$32,$C73)</f>
        <v>0.35</v>
      </c>
      <c r="J73" s="14">
        <f t="shared" si="9"/>
        <v>25386.030984299996</v>
      </c>
      <c r="K73" s="95">
        <f>SUMIFS('Assumption-Best'!$F$3:$F$32,'Assumption-Best'!$A$3:$A$32,$B73,'Assumption-Best'!$B$3:$B$32,$C73)</f>
        <v>1.8000000000000001E-4</v>
      </c>
      <c r="L73" s="14">
        <f t="shared" si="10"/>
        <v>1740.7564103520001</v>
      </c>
      <c r="M73" s="94">
        <f t="shared" si="11"/>
        <v>45404.729703347999</v>
      </c>
      <c r="N73" s="92">
        <f>SUMIFS('Assumption-Best'!$G$3:$G$32,'Assumption-Best'!$A$3:$A$32,$B73,'Assumption-Best'!$B$3:$B$32,$C73)</f>
        <v>0.35</v>
      </c>
      <c r="O73" s="14">
        <f t="shared" si="12"/>
        <v>25386.030984299996</v>
      </c>
      <c r="P73" s="94">
        <f t="shared" si="13"/>
        <v>20018.698719048003</v>
      </c>
    </row>
    <row r="74" spans="1:16" x14ac:dyDescent="0.35">
      <c r="A74" s="91" t="str">
        <f>LEFT('2025 actual v budget'!A74,4)&amp;"26"</f>
        <v>Mar-26</v>
      </c>
      <c r="B74" s="12" t="str">
        <f>'2025 actual v budget'!B74</f>
        <v>India</v>
      </c>
      <c r="C74" s="12" t="str">
        <f>'2025 actual v budget'!C74</f>
        <v>FX Conversion</v>
      </c>
      <c r="D74" s="14">
        <f>'2025 actual v budget'!D74</f>
        <v>12525735.140000001</v>
      </c>
      <c r="E74" s="92">
        <f>SUMIFS('Assumption-Best'!$C$3:$C$32,'Assumption-Best'!$A$3:$A$32,$B74,'Assumption-Best'!$B$3:$B$32,$C74)</f>
        <v>0.24</v>
      </c>
      <c r="F74" s="14">
        <f t="shared" si="7"/>
        <v>15531911.5736</v>
      </c>
      <c r="G74" s="93">
        <f>SUMIFS('Assumption-Best'!$D$3:$D$32,'Assumption-Best'!$A$3:$A$32,$B74,'Assumption-Best'!$B$3:$B$32,$C74)</f>
        <v>1.0500000000000001E-2</v>
      </c>
      <c r="H74" s="94">
        <f t="shared" si="8"/>
        <v>163085.07152280002</v>
      </c>
      <c r="I74" s="92">
        <f>SUMIFS('Assumption-Best'!$E$3:$E$32,'Assumption-Best'!$A$3:$A$32,$B74,'Assumption-Best'!$B$3:$B$32,$C74)</f>
        <v>0.28000000000000003</v>
      </c>
      <c r="J74" s="14">
        <f t="shared" si="9"/>
        <v>45663.820026384012</v>
      </c>
      <c r="K74" s="95">
        <f>SUMIFS('Assumption-Best'!$F$3:$F$32,'Assumption-Best'!$A$3:$A$32,$B74,'Assumption-Best'!$B$3:$B$32,$C74)</f>
        <v>1.8000000000000001E-4</v>
      </c>
      <c r="L74" s="14">
        <f t="shared" si="10"/>
        <v>2795.7440832480002</v>
      </c>
      <c r="M74" s="94">
        <f t="shared" si="11"/>
        <v>114625.507413168</v>
      </c>
      <c r="N74" s="92">
        <f>SUMIFS('Assumption-Best'!$G$3:$G$32,'Assumption-Best'!$A$3:$A$32,$B74,'Assumption-Best'!$B$3:$B$32,$C74)</f>
        <v>0.35</v>
      </c>
      <c r="O74" s="14">
        <f t="shared" si="12"/>
        <v>57079.775032980004</v>
      </c>
      <c r="P74" s="94">
        <f t="shared" si="13"/>
        <v>57545.732380187997</v>
      </c>
    </row>
    <row r="75" spans="1:16" x14ac:dyDescent="0.35">
      <c r="A75" s="91" t="str">
        <f>LEFT('2025 actual v budget'!A75,4)&amp;"26"</f>
        <v>Mar-26</v>
      </c>
      <c r="B75" s="12" t="str">
        <f>'2025 actual v budget'!B75</f>
        <v>India</v>
      </c>
      <c r="C75" s="12" t="str">
        <f>'2025 actual v budget'!C75</f>
        <v>Stablecoin Settlement</v>
      </c>
      <c r="D75" s="14">
        <f>'2025 actual v budget'!D75</f>
        <v>18404281.039999999</v>
      </c>
      <c r="E75" s="92">
        <f>SUMIFS('Assumption-Best'!$C$3:$C$32,'Assumption-Best'!$A$3:$A$32,$B75,'Assumption-Best'!$B$3:$B$32,$C75)</f>
        <v>0.48</v>
      </c>
      <c r="F75" s="14">
        <f t="shared" si="7"/>
        <v>27238335.939199999</v>
      </c>
      <c r="G75" s="93">
        <f>SUMIFS('Assumption-Best'!$D$3:$D$32,'Assumption-Best'!$A$3:$A$32,$B75,'Assumption-Best'!$B$3:$B$32,$C75)</f>
        <v>6.4999999999999997E-3</v>
      </c>
      <c r="H75" s="94">
        <f t="shared" si="8"/>
        <v>177049.1836048</v>
      </c>
      <c r="I75" s="92">
        <f>SUMIFS('Assumption-Best'!$E$3:$E$32,'Assumption-Best'!$A$3:$A$32,$B75,'Assumption-Best'!$B$3:$B$32,$C75)</f>
        <v>0.32</v>
      </c>
      <c r="J75" s="14">
        <f t="shared" si="9"/>
        <v>56655.738753536003</v>
      </c>
      <c r="K75" s="95">
        <f>SUMIFS('Assumption-Best'!$F$3:$F$32,'Assumption-Best'!$A$3:$A$32,$B75,'Assumption-Best'!$B$3:$B$32,$C75)</f>
        <v>1.8000000000000001E-4</v>
      </c>
      <c r="L75" s="14">
        <f t="shared" si="10"/>
        <v>4902.9004690560005</v>
      </c>
      <c r="M75" s="94">
        <f t="shared" si="11"/>
        <v>115490.544382208</v>
      </c>
      <c r="N75" s="92">
        <f>SUMIFS('Assumption-Best'!$G$3:$G$32,'Assumption-Best'!$A$3:$A$32,$B75,'Assumption-Best'!$B$3:$B$32,$C75)</f>
        <v>0.35</v>
      </c>
      <c r="O75" s="14">
        <f t="shared" si="12"/>
        <v>61967.214261679997</v>
      </c>
      <c r="P75" s="94">
        <f t="shared" si="13"/>
        <v>53523.330120528</v>
      </c>
    </row>
    <row r="76" spans="1:16" x14ac:dyDescent="0.35">
      <c r="A76" s="91" t="str">
        <f>LEFT('2025 actual v budget'!A76,4)&amp;"26"</f>
        <v>Mar-26</v>
      </c>
      <c r="B76" s="12" t="str">
        <f>'2025 actual v budget'!B76</f>
        <v>India</v>
      </c>
      <c r="C76" s="12" t="str">
        <f>'2025 actual v budget'!C76</f>
        <v>Treasury Yield</v>
      </c>
      <c r="D76" s="14">
        <f>'2025 actual v budget'!D76</f>
        <v>5122384.1500000004</v>
      </c>
      <c r="E76" s="92">
        <f>SUMIFS('Assumption-Best'!$C$3:$C$32,'Assumption-Best'!$A$3:$A$32,$B76,'Assumption-Best'!$B$3:$B$32,$C76)</f>
        <v>0.24</v>
      </c>
      <c r="F76" s="14">
        <f t="shared" si="7"/>
        <v>6351756.3460000008</v>
      </c>
      <c r="G76" s="93">
        <f>SUMIFS('Assumption-Best'!$D$3:$D$32,'Assumption-Best'!$A$3:$A$32,$B76,'Assumption-Best'!$B$3:$B$32,$C76)</f>
        <v>3.0000000000000001E-3</v>
      </c>
      <c r="H76" s="94">
        <f t="shared" si="8"/>
        <v>19055.269038000002</v>
      </c>
      <c r="I76" s="92">
        <f>SUMIFS('Assumption-Best'!$E$3:$E$32,'Assumption-Best'!$A$3:$A$32,$B76,'Assumption-Best'!$B$3:$B$32,$C76)</f>
        <v>0.18</v>
      </c>
      <c r="J76" s="14">
        <f t="shared" si="9"/>
        <v>3429.9484268400001</v>
      </c>
      <c r="K76" s="95">
        <f>SUMIFS('Assumption-Best'!$F$3:$F$32,'Assumption-Best'!$A$3:$A$32,$B76,'Assumption-Best'!$B$3:$B$32,$C76)</f>
        <v>1.8000000000000001E-4</v>
      </c>
      <c r="L76" s="14">
        <f t="shared" si="10"/>
        <v>1143.3161422800001</v>
      </c>
      <c r="M76" s="94">
        <f t="shared" si="11"/>
        <v>14482.004468880001</v>
      </c>
      <c r="N76" s="92">
        <f>SUMIFS('Assumption-Best'!$G$3:$G$32,'Assumption-Best'!$A$3:$A$32,$B76,'Assumption-Best'!$B$3:$B$32,$C76)</f>
        <v>0.35</v>
      </c>
      <c r="O76" s="14">
        <f t="shared" si="12"/>
        <v>6669.3441633000002</v>
      </c>
      <c r="P76" s="94">
        <f t="shared" si="13"/>
        <v>7812.6603055800006</v>
      </c>
    </row>
    <row r="77" spans="1:16" x14ac:dyDescent="0.35">
      <c r="A77" s="91" t="str">
        <f>LEFT('2025 actual v budget'!A77,4)&amp;"26"</f>
        <v>Mar-26</v>
      </c>
      <c r="B77" s="12" t="str">
        <f>'2025 actual v budget'!B77</f>
        <v>India</v>
      </c>
      <c r="C77" s="12" t="str">
        <f>'2025 actual v budget'!C77</f>
        <v>Virtual Accounts</v>
      </c>
      <c r="D77" s="14">
        <f>'2025 actual v budget'!D77</f>
        <v>7612001.2800000003</v>
      </c>
      <c r="E77" s="92">
        <f>SUMIFS('Assumption-Best'!$C$3:$C$32,'Assumption-Best'!$A$3:$A$32,$B77,'Assumption-Best'!$B$3:$B$32,$C77)</f>
        <v>0.24</v>
      </c>
      <c r="F77" s="14">
        <f t="shared" si="7"/>
        <v>9438881.5872000009</v>
      </c>
      <c r="G77" s="93">
        <f>SUMIFS('Assumption-Best'!$D$3:$D$32,'Assumption-Best'!$A$3:$A$32,$B77,'Assumption-Best'!$B$3:$B$32,$C77)</f>
        <v>4.4999999999999997E-3</v>
      </c>
      <c r="H77" s="94">
        <f t="shared" si="8"/>
        <v>42474.967142400004</v>
      </c>
      <c r="I77" s="92">
        <f>SUMIFS('Assumption-Best'!$E$3:$E$32,'Assumption-Best'!$A$3:$A$32,$B77,'Assumption-Best'!$B$3:$B$32,$C77)</f>
        <v>0.22</v>
      </c>
      <c r="J77" s="14">
        <f t="shared" si="9"/>
        <v>9344.4927713280013</v>
      </c>
      <c r="K77" s="95">
        <f>SUMIFS('Assumption-Best'!$F$3:$F$32,'Assumption-Best'!$A$3:$A$32,$B77,'Assumption-Best'!$B$3:$B$32,$C77)</f>
        <v>1.8000000000000001E-4</v>
      </c>
      <c r="L77" s="14">
        <f t="shared" si="10"/>
        <v>1698.9986856960002</v>
      </c>
      <c r="M77" s="94">
        <f t="shared" si="11"/>
        <v>31431.475685376008</v>
      </c>
      <c r="N77" s="92">
        <f>SUMIFS('Assumption-Best'!$G$3:$G$32,'Assumption-Best'!$A$3:$A$32,$B77,'Assumption-Best'!$B$3:$B$32,$C77)</f>
        <v>0.35</v>
      </c>
      <c r="O77" s="14">
        <f t="shared" si="12"/>
        <v>14866.238499840001</v>
      </c>
      <c r="P77" s="94">
        <f t="shared" si="13"/>
        <v>16565.237185536007</v>
      </c>
    </row>
    <row r="78" spans="1:16" x14ac:dyDescent="0.35">
      <c r="A78" s="91" t="str">
        <f>LEFT('2025 actual v budget'!A78,4)&amp;"26"</f>
        <v>Mar-26</v>
      </c>
      <c r="B78" s="12" t="str">
        <f>'2025 actual v budget'!B78</f>
        <v>Mexico</v>
      </c>
      <c r="C78" s="12" t="str">
        <f>'2025 actual v budget'!C78</f>
        <v>Cross-border Payouts</v>
      </c>
      <c r="D78" s="14">
        <f>'2025 actual v budget'!D78</f>
        <v>9443752.9100000001</v>
      </c>
      <c r="E78" s="92">
        <f>SUMIFS('Assumption-Best'!$C$3:$C$32,'Assumption-Best'!$A$3:$A$32,$B78,'Assumption-Best'!$B$3:$B$32,$C78)</f>
        <v>0.3</v>
      </c>
      <c r="F78" s="14">
        <f t="shared" si="7"/>
        <v>12276878.783</v>
      </c>
      <c r="G78" s="93">
        <f>SUMIFS('Assumption-Best'!$D$3:$D$32,'Assumption-Best'!$A$3:$A$32,$B78,'Assumption-Best'!$B$3:$B$32,$C78)</f>
        <v>7.4999999999999997E-3</v>
      </c>
      <c r="H78" s="94">
        <f t="shared" si="8"/>
        <v>92076.59087249999</v>
      </c>
      <c r="I78" s="92">
        <f>SUMIFS('Assumption-Best'!$E$3:$E$32,'Assumption-Best'!$A$3:$A$32,$B78,'Assumption-Best'!$B$3:$B$32,$C78)</f>
        <v>0.35</v>
      </c>
      <c r="J78" s="14">
        <f t="shared" si="9"/>
        <v>32226.806805374996</v>
      </c>
      <c r="K78" s="95">
        <f>SUMIFS('Assumption-Best'!$F$3:$F$32,'Assumption-Best'!$A$3:$A$32,$B78,'Assumption-Best'!$B$3:$B$32,$C78)</f>
        <v>8.0000000000000007E-5</v>
      </c>
      <c r="L78" s="14">
        <f t="shared" si="10"/>
        <v>982.15030264000006</v>
      </c>
      <c r="M78" s="94">
        <f t="shared" si="11"/>
        <v>58867.633764484992</v>
      </c>
      <c r="N78" s="92">
        <f>SUMIFS('Assumption-Best'!$G$3:$G$32,'Assumption-Best'!$A$3:$A$32,$B78,'Assumption-Best'!$B$3:$B$32,$C78)</f>
        <v>0.35</v>
      </c>
      <c r="O78" s="14">
        <f t="shared" si="12"/>
        <v>32226.806805374996</v>
      </c>
      <c r="P78" s="94">
        <f t="shared" si="13"/>
        <v>26640.826959109996</v>
      </c>
    </row>
    <row r="79" spans="1:16" x14ac:dyDescent="0.35">
      <c r="A79" s="91" t="str">
        <f>LEFT('2025 actual v budget'!A79,4)&amp;"26"</f>
        <v>Mar-26</v>
      </c>
      <c r="B79" s="12" t="str">
        <f>'2025 actual v budget'!B79</f>
        <v>Mexico</v>
      </c>
      <c r="C79" s="12" t="str">
        <f>'2025 actual v budget'!C79</f>
        <v>FX Conversion</v>
      </c>
      <c r="D79" s="14">
        <f>'2025 actual v budget'!D79</f>
        <v>15166489.199999999</v>
      </c>
      <c r="E79" s="92">
        <f>SUMIFS('Assumption-Best'!$C$3:$C$32,'Assumption-Best'!$A$3:$A$32,$B79,'Assumption-Best'!$B$3:$B$32,$C79)</f>
        <v>0.3</v>
      </c>
      <c r="F79" s="14">
        <f t="shared" si="7"/>
        <v>19716435.960000001</v>
      </c>
      <c r="G79" s="93">
        <f>SUMIFS('Assumption-Best'!$D$3:$D$32,'Assumption-Best'!$A$3:$A$32,$B79,'Assumption-Best'!$B$3:$B$32,$C79)</f>
        <v>1.0500000000000001E-2</v>
      </c>
      <c r="H79" s="94">
        <f t="shared" si="8"/>
        <v>207022.57758000001</v>
      </c>
      <c r="I79" s="92">
        <f>SUMIFS('Assumption-Best'!$E$3:$E$32,'Assumption-Best'!$A$3:$A$32,$B79,'Assumption-Best'!$B$3:$B$32,$C79)</f>
        <v>0.28000000000000003</v>
      </c>
      <c r="J79" s="14">
        <f t="shared" si="9"/>
        <v>57966.321722400011</v>
      </c>
      <c r="K79" s="95">
        <f>SUMIFS('Assumption-Best'!$F$3:$F$32,'Assumption-Best'!$A$3:$A$32,$B79,'Assumption-Best'!$B$3:$B$32,$C79)</f>
        <v>8.0000000000000007E-5</v>
      </c>
      <c r="L79" s="14">
        <f t="shared" si="10"/>
        <v>1577.3148768000001</v>
      </c>
      <c r="M79" s="94">
        <f t="shared" si="11"/>
        <v>147478.94098080002</v>
      </c>
      <c r="N79" s="92">
        <f>SUMIFS('Assumption-Best'!$G$3:$G$32,'Assumption-Best'!$A$3:$A$32,$B79,'Assumption-Best'!$B$3:$B$32,$C79)</f>
        <v>0.35</v>
      </c>
      <c r="O79" s="14">
        <f t="shared" si="12"/>
        <v>72457.902153000003</v>
      </c>
      <c r="P79" s="94">
        <f t="shared" si="13"/>
        <v>75021.038827800017</v>
      </c>
    </row>
    <row r="80" spans="1:16" x14ac:dyDescent="0.35">
      <c r="A80" s="91" t="str">
        <f>LEFT('2025 actual v budget'!A80,4)&amp;"26"</f>
        <v>Mar-26</v>
      </c>
      <c r="B80" s="12" t="str">
        <f>'2025 actual v budget'!B80</f>
        <v>Mexico</v>
      </c>
      <c r="C80" s="12" t="str">
        <f>'2025 actual v budget'!C80</f>
        <v>Stablecoin Settlement</v>
      </c>
      <c r="D80" s="14">
        <f>'2025 actual v budget'!D80</f>
        <v>22285360.25</v>
      </c>
      <c r="E80" s="92">
        <f>SUMIFS('Assumption-Best'!$C$3:$C$32,'Assumption-Best'!$A$3:$A$32,$B80,'Assumption-Best'!$B$3:$B$32,$C80)</f>
        <v>0.6</v>
      </c>
      <c r="F80" s="14">
        <f t="shared" si="7"/>
        <v>35656576.399999999</v>
      </c>
      <c r="G80" s="93">
        <f>SUMIFS('Assumption-Best'!$D$3:$D$32,'Assumption-Best'!$A$3:$A$32,$B80,'Assumption-Best'!$B$3:$B$32,$C80)</f>
        <v>6.4999999999999997E-3</v>
      </c>
      <c r="H80" s="94">
        <f t="shared" si="8"/>
        <v>231767.74659999998</v>
      </c>
      <c r="I80" s="92">
        <f>SUMIFS('Assumption-Best'!$E$3:$E$32,'Assumption-Best'!$A$3:$A$32,$B80,'Assumption-Best'!$B$3:$B$32,$C80)</f>
        <v>0.32</v>
      </c>
      <c r="J80" s="14">
        <f t="shared" si="9"/>
        <v>74165.678912000003</v>
      </c>
      <c r="K80" s="95">
        <f>SUMIFS('Assumption-Best'!$F$3:$F$32,'Assumption-Best'!$A$3:$A$32,$B80,'Assumption-Best'!$B$3:$B$32,$C80)</f>
        <v>8.0000000000000007E-5</v>
      </c>
      <c r="L80" s="14">
        <f t="shared" si="10"/>
        <v>2852.526112</v>
      </c>
      <c r="M80" s="94">
        <f t="shared" si="11"/>
        <v>154749.54157599999</v>
      </c>
      <c r="N80" s="92">
        <f>SUMIFS('Assumption-Best'!$G$3:$G$32,'Assumption-Best'!$A$3:$A$32,$B80,'Assumption-Best'!$B$3:$B$32,$C80)</f>
        <v>0.35</v>
      </c>
      <c r="O80" s="14">
        <f t="shared" si="12"/>
        <v>81118.711309999984</v>
      </c>
      <c r="P80" s="94">
        <f t="shared" si="13"/>
        <v>73630.830266000004</v>
      </c>
    </row>
    <row r="81" spans="1:16" x14ac:dyDescent="0.35">
      <c r="A81" s="91" t="str">
        <f>LEFT('2025 actual v budget'!A81,4)&amp;"26"</f>
        <v>Mar-26</v>
      </c>
      <c r="B81" s="12" t="str">
        <f>'2025 actual v budget'!B81</f>
        <v>Mexico</v>
      </c>
      <c r="C81" s="12" t="str">
        <f>'2025 actual v budget'!C81</f>
        <v>Treasury Yield</v>
      </c>
      <c r="D81" s="14">
        <f>'2025 actual v budget'!D81</f>
        <v>6202317.3099999996</v>
      </c>
      <c r="E81" s="92">
        <f>SUMIFS('Assumption-Best'!$C$3:$C$32,'Assumption-Best'!$A$3:$A$32,$B81,'Assumption-Best'!$B$3:$B$32,$C81)</f>
        <v>0.3</v>
      </c>
      <c r="F81" s="14">
        <f t="shared" si="7"/>
        <v>8063012.5029999996</v>
      </c>
      <c r="G81" s="93">
        <f>SUMIFS('Assumption-Best'!$D$3:$D$32,'Assumption-Best'!$A$3:$A$32,$B81,'Assumption-Best'!$B$3:$B$32,$C81)</f>
        <v>3.0000000000000001E-3</v>
      </c>
      <c r="H81" s="94">
        <f t="shared" si="8"/>
        <v>24189.037508999998</v>
      </c>
      <c r="I81" s="92">
        <f>SUMIFS('Assumption-Best'!$E$3:$E$32,'Assumption-Best'!$A$3:$A$32,$B81,'Assumption-Best'!$B$3:$B$32,$C81)</f>
        <v>0.18</v>
      </c>
      <c r="J81" s="14">
        <f t="shared" si="9"/>
        <v>4354.0267516199992</v>
      </c>
      <c r="K81" s="95">
        <f>SUMIFS('Assumption-Best'!$F$3:$F$32,'Assumption-Best'!$A$3:$A$32,$B81,'Assumption-Best'!$B$3:$B$32,$C81)</f>
        <v>8.0000000000000007E-5</v>
      </c>
      <c r="L81" s="14">
        <f t="shared" si="10"/>
        <v>645.04100024000002</v>
      </c>
      <c r="M81" s="94">
        <f t="shared" si="11"/>
        <v>19189.969757139999</v>
      </c>
      <c r="N81" s="92">
        <f>SUMIFS('Assumption-Best'!$G$3:$G$32,'Assumption-Best'!$A$3:$A$32,$B81,'Assumption-Best'!$B$3:$B$32,$C81)</f>
        <v>0.35</v>
      </c>
      <c r="O81" s="14">
        <f t="shared" si="12"/>
        <v>8466.1631281499995</v>
      </c>
      <c r="P81" s="94">
        <f t="shared" si="13"/>
        <v>10723.80662899</v>
      </c>
    </row>
    <row r="82" spans="1:16" x14ac:dyDescent="0.35">
      <c r="A82" s="91" t="str">
        <f>LEFT('2025 actual v budget'!A82,4)&amp;"26"</f>
        <v>Mar-26</v>
      </c>
      <c r="B82" s="12" t="str">
        <f>'2025 actual v budget'!B82</f>
        <v>Mexico</v>
      </c>
      <c r="C82" s="12" t="str">
        <f>'2025 actual v budget'!C82</f>
        <v>Virtual Accounts</v>
      </c>
      <c r="D82" s="14">
        <f>'2025 actual v budget'!D82</f>
        <v>9216811.1500000004</v>
      </c>
      <c r="E82" s="92">
        <f>SUMIFS('Assumption-Best'!$C$3:$C$32,'Assumption-Best'!$A$3:$A$32,$B82,'Assumption-Best'!$B$3:$B$32,$C82)</f>
        <v>0.3</v>
      </c>
      <c r="F82" s="14">
        <f t="shared" si="7"/>
        <v>11981854.495000001</v>
      </c>
      <c r="G82" s="93">
        <f>SUMIFS('Assumption-Best'!$D$3:$D$32,'Assumption-Best'!$A$3:$A$32,$B82,'Assumption-Best'!$B$3:$B$32,$C82)</f>
        <v>4.4999999999999997E-3</v>
      </c>
      <c r="H82" s="94">
        <f t="shared" si="8"/>
        <v>53918.345227500002</v>
      </c>
      <c r="I82" s="92">
        <f>SUMIFS('Assumption-Best'!$E$3:$E$32,'Assumption-Best'!$A$3:$A$32,$B82,'Assumption-Best'!$B$3:$B$32,$C82)</f>
        <v>0.22</v>
      </c>
      <c r="J82" s="14">
        <f t="shared" si="9"/>
        <v>11862.03595005</v>
      </c>
      <c r="K82" s="95">
        <f>SUMIFS('Assumption-Best'!$F$3:$F$32,'Assumption-Best'!$A$3:$A$32,$B82,'Assumption-Best'!$B$3:$B$32,$C82)</f>
        <v>8.0000000000000007E-5</v>
      </c>
      <c r="L82" s="14">
        <f t="shared" si="10"/>
        <v>958.54835960000014</v>
      </c>
      <c r="M82" s="94">
        <f t="shared" si="11"/>
        <v>41097.760917850006</v>
      </c>
      <c r="N82" s="92">
        <f>SUMIFS('Assumption-Best'!$G$3:$G$32,'Assumption-Best'!$A$3:$A$32,$B82,'Assumption-Best'!$B$3:$B$32,$C82)</f>
        <v>0.35</v>
      </c>
      <c r="O82" s="14">
        <f t="shared" si="12"/>
        <v>18871.420829625</v>
      </c>
      <c r="P82" s="94">
        <f t="shared" si="13"/>
        <v>22226.340088225006</v>
      </c>
    </row>
    <row r="83" spans="1:16" x14ac:dyDescent="0.35">
      <c r="A83" s="91" t="str">
        <f>LEFT('2025 actual v budget'!A83,4)&amp;"26"</f>
        <v>Mar-26</v>
      </c>
      <c r="B83" s="12" t="str">
        <f>'2025 actual v budget'!B83</f>
        <v>Singapore</v>
      </c>
      <c r="C83" s="12" t="str">
        <f>'2025 actual v budget'!C83</f>
        <v>Cross-border Payouts</v>
      </c>
      <c r="D83" s="14">
        <f>'2025 actual v budget'!D83</f>
        <v>8012361.3499999996</v>
      </c>
      <c r="E83" s="92">
        <f>SUMIFS('Assumption-Best'!$C$3:$C$32,'Assumption-Best'!$A$3:$A$32,$B83,'Assumption-Best'!$B$3:$B$32,$C83)</f>
        <v>0.1</v>
      </c>
      <c r="F83" s="14">
        <f t="shared" si="7"/>
        <v>8813597.4849999994</v>
      </c>
      <c r="G83" s="93">
        <f>SUMIFS('Assumption-Best'!$D$3:$D$32,'Assumption-Best'!$A$3:$A$32,$B83,'Assumption-Best'!$B$3:$B$32,$C83)</f>
        <v>7.4999999999999997E-3</v>
      </c>
      <c r="H83" s="94">
        <f t="shared" si="8"/>
        <v>66101.981137499999</v>
      </c>
      <c r="I83" s="92">
        <f>SUMIFS('Assumption-Best'!$E$3:$E$32,'Assumption-Best'!$A$3:$A$32,$B83,'Assumption-Best'!$B$3:$B$32,$C83)</f>
        <v>0.35</v>
      </c>
      <c r="J83" s="14">
        <f t="shared" si="9"/>
        <v>23135.693398124997</v>
      </c>
      <c r="K83" s="95">
        <f>SUMIFS('Assumption-Best'!$F$3:$F$32,'Assumption-Best'!$A$3:$A$32,$B83,'Assumption-Best'!$B$3:$B$32,$C83)</f>
        <v>9.0000000000000006E-5</v>
      </c>
      <c r="L83" s="14">
        <f t="shared" si="10"/>
        <v>793.22377365</v>
      </c>
      <c r="M83" s="94">
        <f t="shared" si="11"/>
        <v>42173.063965724999</v>
      </c>
      <c r="N83" s="92">
        <f>SUMIFS('Assumption-Best'!$G$3:$G$32,'Assumption-Best'!$A$3:$A$32,$B83,'Assumption-Best'!$B$3:$B$32,$C83)</f>
        <v>0.35</v>
      </c>
      <c r="O83" s="14">
        <f t="shared" si="12"/>
        <v>23135.693398124997</v>
      </c>
      <c r="P83" s="94">
        <f t="shared" si="13"/>
        <v>19037.370567600003</v>
      </c>
    </row>
    <row r="84" spans="1:16" x14ac:dyDescent="0.35">
      <c r="A84" s="91" t="str">
        <f>LEFT('2025 actual v budget'!A84,4)&amp;"26"</f>
        <v>Mar-26</v>
      </c>
      <c r="B84" s="12" t="str">
        <f>'2025 actual v budget'!B84</f>
        <v>Singapore</v>
      </c>
      <c r="C84" s="12" t="str">
        <f>'2025 actual v budget'!C84</f>
        <v>FX Conversion</v>
      </c>
      <c r="D84" s="14">
        <f>'2025 actual v budget'!D84</f>
        <v>12865983.52</v>
      </c>
      <c r="E84" s="92">
        <f>SUMIFS('Assumption-Best'!$C$3:$C$32,'Assumption-Best'!$A$3:$A$32,$B84,'Assumption-Best'!$B$3:$B$32,$C84)</f>
        <v>0.1</v>
      </c>
      <c r="F84" s="14">
        <f t="shared" si="7"/>
        <v>14152581.872000001</v>
      </c>
      <c r="G84" s="93">
        <f>SUMIFS('Assumption-Best'!$D$3:$D$32,'Assumption-Best'!$A$3:$A$32,$B84,'Assumption-Best'!$B$3:$B$32,$C84)</f>
        <v>1.0500000000000001E-2</v>
      </c>
      <c r="H84" s="94">
        <f t="shared" si="8"/>
        <v>148602.10965600002</v>
      </c>
      <c r="I84" s="92">
        <f>SUMIFS('Assumption-Best'!$E$3:$E$32,'Assumption-Best'!$A$3:$A$32,$B84,'Assumption-Best'!$B$3:$B$32,$C84)</f>
        <v>0.28000000000000003</v>
      </c>
      <c r="J84" s="14">
        <f t="shared" si="9"/>
        <v>41608.590703680005</v>
      </c>
      <c r="K84" s="95">
        <f>SUMIFS('Assumption-Best'!$F$3:$F$32,'Assumption-Best'!$A$3:$A$32,$B84,'Assumption-Best'!$B$3:$B$32,$C84)</f>
        <v>9.0000000000000006E-5</v>
      </c>
      <c r="L84" s="14">
        <f t="shared" si="10"/>
        <v>1273.7323684800001</v>
      </c>
      <c r="M84" s="94">
        <f t="shared" si="11"/>
        <v>105719.78658384</v>
      </c>
      <c r="N84" s="92">
        <f>SUMIFS('Assumption-Best'!$G$3:$G$32,'Assumption-Best'!$A$3:$A$32,$B84,'Assumption-Best'!$B$3:$B$32,$C84)</f>
        <v>0.35</v>
      </c>
      <c r="O84" s="14">
        <f t="shared" si="12"/>
        <v>52010.738379599999</v>
      </c>
      <c r="P84" s="94">
        <f t="shared" si="13"/>
        <v>53709.048204240004</v>
      </c>
    </row>
    <row r="85" spans="1:16" x14ac:dyDescent="0.35">
      <c r="A85" s="91" t="str">
        <f>LEFT('2025 actual v budget'!A85,4)&amp;"26"</f>
        <v>Mar-26</v>
      </c>
      <c r="B85" s="12" t="str">
        <f>'2025 actual v budget'!B85</f>
        <v>Singapore</v>
      </c>
      <c r="C85" s="12" t="str">
        <f>'2025 actual v budget'!C85</f>
        <v>Stablecoin Settlement</v>
      </c>
      <c r="D85" s="14">
        <f>'2025 actual v budget'!D85</f>
        <v>18907563.640000001</v>
      </c>
      <c r="E85" s="92">
        <f>SUMIFS('Assumption-Best'!$C$3:$C$32,'Assumption-Best'!$A$3:$A$32,$B85,'Assumption-Best'!$B$3:$B$32,$C85)</f>
        <v>0.2</v>
      </c>
      <c r="F85" s="14">
        <f t="shared" si="7"/>
        <v>22689076.368000001</v>
      </c>
      <c r="G85" s="93">
        <f>SUMIFS('Assumption-Best'!$D$3:$D$32,'Assumption-Best'!$A$3:$A$32,$B85,'Assumption-Best'!$B$3:$B$32,$C85)</f>
        <v>6.4999999999999997E-3</v>
      </c>
      <c r="H85" s="94">
        <f t="shared" si="8"/>
        <v>147478.996392</v>
      </c>
      <c r="I85" s="92">
        <f>SUMIFS('Assumption-Best'!$E$3:$E$32,'Assumption-Best'!$A$3:$A$32,$B85,'Assumption-Best'!$B$3:$B$32,$C85)</f>
        <v>0.32</v>
      </c>
      <c r="J85" s="14">
        <f t="shared" si="9"/>
        <v>47193.27884544</v>
      </c>
      <c r="K85" s="95">
        <f>SUMIFS('Assumption-Best'!$F$3:$F$32,'Assumption-Best'!$A$3:$A$32,$B85,'Assumption-Best'!$B$3:$B$32,$C85)</f>
        <v>9.0000000000000006E-5</v>
      </c>
      <c r="L85" s="14">
        <f t="shared" si="10"/>
        <v>2042.0168731200001</v>
      </c>
      <c r="M85" s="94">
        <f t="shared" si="11"/>
        <v>98243.700673440006</v>
      </c>
      <c r="N85" s="92">
        <f>SUMIFS('Assumption-Best'!$G$3:$G$32,'Assumption-Best'!$A$3:$A$32,$B85,'Assumption-Best'!$B$3:$B$32,$C85)</f>
        <v>0.35</v>
      </c>
      <c r="O85" s="14">
        <f t="shared" si="12"/>
        <v>51617.648737199997</v>
      </c>
      <c r="P85" s="94">
        <f t="shared" si="13"/>
        <v>46626.051936240008</v>
      </c>
    </row>
    <row r="86" spans="1:16" x14ac:dyDescent="0.35">
      <c r="A86" s="91" t="str">
        <f>LEFT('2025 actual v budget'!A86,4)&amp;"26"</f>
        <v>Mar-26</v>
      </c>
      <c r="B86" s="12" t="str">
        <f>'2025 actual v budget'!B86</f>
        <v>Singapore</v>
      </c>
      <c r="C86" s="12" t="str">
        <f>'2025 actual v budget'!C86</f>
        <v>Treasury Yield</v>
      </c>
      <c r="D86" s="14">
        <f>'2025 actual v budget'!D86</f>
        <v>5261528.3099999996</v>
      </c>
      <c r="E86" s="92">
        <f>SUMIFS('Assumption-Best'!$C$3:$C$32,'Assumption-Best'!$A$3:$A$32,$B86,'Assumption-Best'!$B$3:$B$32,$C86)</f>
        <v>0.1</v>
      </c>
      <c r="F86" s="14">
        <f t="shared" si="7"/>
        <v>5787681.1409999998</v>
      </c>
      <c r="G86" s="93">
        <f>SUMIFS('Assumption-Best'!$D$3:$D$32,'Assumption-Best'!$A$3:$A$32,$B86,'Assumption-Best'!$B$3:$B$32,$C86)</f>
        <v>3.0000000000000001E-3</v>
      </c>
      <c r="H86" s="94">
        <f t="shared" si="8"/>
        <v>17363.043422999999</v>
      </c>
      <c r="I86" s="92">
        <f>SUMIFS('Assumption-Best'!$E$3:$E$32,'Assumption-Best'!$A$3:$A$32,$B86,'Assumption-Best'!$B$3:$B$32,$C86)</f>
        <v>0.18</v>
      </c>
      <c r="J86" s="14">
        <f t="shared" si="9"/>
        <v>3125.3478161399998</v>
      </c>
      <c r="K86" s="95">
        <f>SUMIFS('Assumption-Best'!$F$3:$F$32,'Assumption-Best'!$A$3:$A$32,$B86,'Assumption-Best'!$B$3:$B$32,$C86)</f>
        <v>9.0000000000000006E-5</v>
      </c>
      <c r="L86" s="14">
        <f t="shared" si="10"/>
        <v>520.89130268999997</v>
      </c>
      <c r="M86" s="94">
        <f t="shared" si="11"/>
        <v>13716.80430417</v>
      </c>
      <c r="N86" s="92">
        <f>SUMIFS('Assumption-Best'!$G$3:$G$32,'Assumption-Best'!$A$3:$A$32,$B86,'Assumption-Best'!$B$3:$B$32,$C86)</f>
        <v>0.35</v>
      </c>
      <c r="O86" s="14">
        <f t="shared" si="12"/>
        <v>6077.0651980499997</v>
      </c>
      <c r="P86" s="94">
        <f t="shared" si="13"/>
        <v>7639.7391061200005</v>
      </c>
    </row>
    <row r="87" spans="1:16" x14ac:dyDescent="0.35">
      <c r="A87" s="91" t="str">
        <f>LEFT('2025 actual v budget'!A87,4)&amp;"26"</f>
        <v>Mar-26</v>
      </c>
      <c r="B87" s="12" t="str">
        <f>'2025 actual v budget'!B87</f>
        <v>Singapore</v>
      </c>
      <c r="C87" s="12" t="str">
        <f>'2025 actual v budget'!C87</f>
        <v>Virtual Accounts</v>
      </c>
      <c r="D87" s="14">
        <f>'2025 actual v budget'!D87</f>
        <v>7818773.2599999998</v>
      </c>
      <c r="E87" s="92">
        <f>SUMIFS('Assumption-Best'!$C$3:$C$32,'Assumption-Best'!$A$3:$A$32,$B87,'Assumption-Best'!$B$3:$B$32,$C87)</f>
        <v>0.1</v>
      </c>
      <c r="F87" s="14">
        <f t="shared" si="7"/>
        <v>8600650.5860000011</v>
      </c>
      <c r="G87" s="93">
        <f>SUMIFS('Assumption-Best'!$D$3:$D$32,'Assumption-Best'!$A$3:$A$32,$B87,'Assumption-Best'!$B$3:$B$32,$C87)</f>
        <v>4.4999999999999997E-3</v>
      </c>
      <c r="H87" s="94">
        <f t="shared" si="8"/>
        <v>38702.927637000001</v>
      </c>
      <c r="I87" s="92">
        <f>SUMIFS('Assumption-Best'!$E$3:$E$32,'Assumption-Best'!$A$3:$A$32,$B87,'Assumption-Best'!$B$3:$B$32,$C87)</f>
        <v>0.22</v>
      </c>
      <c r="J87" s="14">
        <f t="shared" si="9"/>
        <v>8514.6440801400004</v>
      </c>
      <c r="K87" s="95">
        <f>SUMIFS('Assumption-Best'!$F$3:$F$32,'Assumption-Best'!$A$3:$A$32,$B87,'Assumption-Best'!$B$3:$B$32,$C87)</f>
        <v>9.0000000000000006E-5</v>
      </c>
      <c r="L87" s="14">
        <f t="shared" si="10"/>
        <v>774.0585527400001</v>
      </c>
      <c r="M87" s="94">
        <f t="shared" si="11"/>
        <v>29414.225004119999</v>
      </c>
      <c r="N87" s="92">
        <f>SUMIFS('Assumption-Best'!$G$3:$G$32,'Assumption-Best'!$A$3:$A$32,$B87,'Assumption-Best'!$B$3:$B$32,$C87)</f>
        <v>0.35</v>
      </c>
      <c r="O87" s="14">
        <f t="shared" si="12"/>
        <v>13546.02467295</v>
      </c>
      <c r="P87" s="94">
        <f t="shared" si="13"/>
        <v>15868.200331169999</v>
      </c>
    </row>
    <row r="88" spans="1:16" x14ac:dyDescent="0.35">
      <c r="A88" s="91" t="str">
        <f>LEFT('2025 actual v budget'!A88,4)&amp;"26"</f>
        <v>Mar-26</v>
      </c>
      <c r="B88" s="12" t="str">
        <f>'2025 actual v budget'!B88</f>
        <v>USA</v>
      </c>
      <c r="C88" s="12" t="str">
        <f>'2025 actual v budget'!C88</f>
        <v>Cross-border Payouts</v>
      </c>
      <c r="D88" s="14">
        <f>'2025 actual v budget'!D88</f>
        <v>19841486.920000002</v>
      </c>
      <c r="E88" s="92">
        <f>SUMIFS('Assumption-Best'!$C$3:$C$32,'Assumption-Best'!$A$3:$A$32,$B88,'Assumption-Best'!$B$3:$B$32,$C88)</f>
        <v>0.2</v>
      </c>
      <c r="F88" s="14">
        <f t="shared" si="7"/>
        <v>23809784.304000001</v>
      </c>
      <c r="G88" s="93">
        <f>SUMIFS('Assumption-Best'!$D$3:$D$32,'Assumption-Best'!$A$3:$A$32,$B88,'Assumption-Best'!$B$3:$B$32,$C88)</f>
        <v>7.4999999999999997E-3</v>
      </c>
      <c r="H88" s="94">
        <f t="shared" si="8"/>
        <v>178573.38227999999</v>
      </c>
      <c r="I88" s="92">
        <f>SUMIFS('Assumption-Best'!$E$3:$E$32,'Assumption-Best'!$A$3:$A$32,$B88,'Assumption-Best'!$B$3:$B$32,$C88)</f>
        <v>0.35</v>
      </c>
      <c r="J88" s="14">
        <f t="shared" si="9"/>
        <v>62500.683797999991</v>
      </c>
      <c r="K88" s="95">
        <f>SUMIFS('Assumption-Best'!$F$3:$F$32,'Assumption-Best'!$A$3:$A$32,$B88,'Assumption-Best'!$B$3:$B$32,$C88)</f>
        <v>2.0000000000000001E-4</v>
      </c>
      <c r="L88" s="14">
        <f t="shared" si="10"/>
        <v>4761.9568608000009</v>
      </c>
      <c r="M88" s="94">
        <f t="shared" si="11"/>
        <v>111310.74162120001</v>
      </c>
      <c r="N88" s="92">
        <f>SUMIFS('Assumption-Best'!$G$3:$G$32,'Assumption-Best'!$A$3:$A$32,$B88,'Assumption-Best'!$B$3:$B$32,$C88)</f>
        <v>0.35</v>
      </c>
      <c r="O88" s="14">
        <f t="shared" si="12"/>
        <v>62500.683797999991</v>
      </c>
      <c r="P88" s="94">
        <f t="shared" si="13"/>
        <v>48810.057823200019</v>
      </c>
    </row>
    <row r="89" spans="1:16" x14ac:dyDescent="0.35">
      <c r="A89" s="91" t="str">
        <f>LEFT('2025 actual v budget'!A89,4)&amp;"26"</f>
        <v>Mar-26</v>
      </c>
      <c r="B89" s="12" t="str">
        <f>'2025 actual v budget'!B89</f>
        <v>USA</v>
      </c>
      <c r="C89" s="12" t="str">
        <f>'2025 actual v budget'!C89</f>
        <v>FX Conversion</v>
      </c>
      <c r="D89" s="14">
        <f>'2025 actual v budget'!D89</f>
        <v>31859355.210000001</v>
      </c>
      <c r="E89" s="92">
        <f>SUMIFS('Assumption-Best'!$C$3:$C$32,'Assumption-Best'!$A$3:$A$32,$B89,'Assumption-Best'!$B$3:$B$32,$C89)</f>
        <v>0.2</v>
      </c>
      <c r="F89" s="14">
        <f t="shared" si="7"/>
        <v>38231226.251999997</v>
      </c>
      <c r="G89" s="93">
        <f>SUMIFS('Assumption-Best'!$D$3:$D$32,'Assumption-Best'!$A$3:$A$32,$B89,'Assumption-Best'!$B$3:$B$32,$C89)</f>
        <v>1.0500000000000001E-2</v>
      </c>
      <c r="H89" s="94">
        <f t="shared" si="8"/>
        <v>401427.87564599997</v>
      </c>
      <c r="I89" s="92">
        <f>SUMIFS('Assumption-Best'!$E$3:$E$32,'Assumption-Best'!$A$3:$A$32,$B89,'Assumption-Best'!$B$3:$B$32,$C89)</f>
        <v>0.28000000000000003</v>
      </c>
      <c r="J89" s="14">
        <f t="shared" si="9"/>
        <v>112399.80518088001</v>
      </c>
      <c r="K89" s="95">
        <f>SUMIFS('Assumption-Best'!$F$3:$F$32,'Assumption-Best'!$A$3:$A$32,$B89,'Assumption-Best'!$B$3:$B$32,$C89)</f>
        <v>2.0000000000000001E-4</v>
      </c>
      <c r="L89" s="14">
        <f t="shared" si="10"/>
        <v>7646.2452503999993</v>
      </c>
      <c r="M89" s="94">
        <f t="shared" si="11"/>
        <v>281381.82521471998</v>
      </c>
      <c r="N89" s="92">
        <f>SUMIFS('Assumption-Best'!$G$3:$G$32,'Assumption-Best'!$A$3:$A$32,$B89,'Assumption-Best'!$B$3:$B$32,$C89)</f>
        <v>0.35</v>
      </c>
      <c r="O89" s="14">
        <f t="shared" si="12"/>
        <v>140499.75647609998</v>
      </c>
      <c r="P89" s="94">
        <f t="shared" si="13"/>
        <v>140882.06873862</v>
      </c>
    </row>
    <row r="90" spans="1:16" x14ac:dyDescent="0.35">
      <c r="A90" s="91" t="str">
        <f>LEFT('2025 actual v budget'!A90,4)&amp;"26"</f>
        <v>Mar-26</v>
      </c>
      <c r="B90" s="12" t="str">
        <f>'2025 actual v budget'!B90</f>
        <v>USA</v>
      </c>
      <c r="C90" s="12" t="str">
        <f>'2025 actual v budget'!C90</f>
        <v>Stablecoin Settlement</v>
      </c>
      <c r="D90" s="14">
        <f>'2025 actual v budget'!D90</f>
        <v>46821924.289999999</v>
      </c>
      <c r="E90" s="92">
        <f>SUMIFS('Assumption-Best'!$C$3:$C$32,'Assumption-Best'!$A$3:$A$32,$B90,'Assumption-Best'!$B$3:$B$32,$C90)</f>
        <v>0.4</v>
      </c>
      <c r="F90" s="14">
        <f t="shared" si="7"/>
        <v>65550694.005999997</v>
      </c>
      <c r="G90" s="93">
        <f>SUMIFS('Assumption-Best'!$D$3:$D$32,'Assumption-Best'!$A$3:$A$32,$B90,'Assumption-Best'!$B$3:$B$32,$C90)</f>
        <v>6.4999999999999997E-3</v>
      </c>
      <c r="H90" s="94">
        <f t="shared" si="8"/>
        <v>426079.51103899995</v>
      </c>
      <c r="I90" s="92">
        <f>SUMIFS('Assumption-Best'!$E$3:$E$32,'Assumption-Best'!$A$3:$A$32,$B90,'Assumption-Best'!$B$3:$B$32,$C90)</f>
        <v>0.32</v>
      </c>
      <c r="J90" s="14">
        <f t="shared" si="9"/>
        <v>136345.44353247999</v>
      </c>
      <c r="K90" s="95">
        <f>SUMIFS('Assumption-Best'!$F$3:$F$32,'Assumption-Best'!$A$3:$A$32,$B90,'Assumption-Best'!$B$3:$B$32,$C90)</f>
        <v>2.0000000000000001E-4</v>
      </c>
      <c r="L90" s="14">
        <f t="shared" si="10"/>
        <v>13110.138801200001</v>
      </c>
      <c r="M90" s="94">
        <f t="shared" si="11"/>
        <v>276623.92870531994</v>
      </c>
      <c r="N90" s="92">
        <f>SUMIFS('Assumption-Best'!$G$3:$G$32,'Assumption-Best'!$A$3:$A$32,$B90,'Assumption-Best'!$B$3:$B$32,$C90)</f>
        <v>0.35</v>
      </c>
      <c r="O90" s="14">
        <f t="shared" si="12"/>
        <v>149127.82886364998</v>
      </c>
      <c r="P90" s="94">
        <f t="shared" si="13"/>
        <v>127496.09984166996</v>
      </c>
    </row>
    <row r="91" spans="1:16" x14ac:dyDescent="0.35">
      <c r="A91" s="91" t="str">
        <f>LEFT('2025 actual v budget'!A91,4)&amp;"26"</f>
        <v>Mar-26</v>
      </c>
      <c r="B91" s="12" t="str">
        <f>'2025 actual v budget'!B91</f>
        <v>USA</v>
      </c>
      <c r="C91" s="12" t="str">
        <f>'2025 actual v budget'!C91</f>
        <v>Treasury Yield</v>
      </c>
      <c r="D91" s="14">
        <f>'2025 actual v budget'!D91</f>
        <v>13028844.57</v>
      </c>
      <c r="E91" s="92">
        <f>SUMIFS('Assumption-Best'!$C$3:$C$32,'Assumption-Best'!$A$3:$A$32,$B91,'Assumption-Best'!$B$3:$B$32,$C91)</f>
        <v>0.2</v>
      </c>
      <c r="F91" s="14">
        <f t="shared" si="7"/>
        <v>15634613.483999999</v>
      </c>
      <c r="G91" s="93">
        <f>SUMIFS('Assumption-Best'!$D$3:$D$32,'Assumption-Best'!$A$3:$A$32,$B91,'Assumption-Best'!$B$3:$B$32,$C91)</f>
        <v>3.0000000000000001E-3</v>
      </c>
      <c r="H91" s="94">
        <f t="shared" si="8"/>
        <v>46903.840451999997</v>
      </c>
      <c r="I91" s="92">
        <f>SUMIFS('Assumption-Best'!$E$3:$E$32,'Assumption-Best'!$A$3:$A$32,$B91,'Assumption-Best'!$B$3:$B$32,$C91)</f>
        <v>0.18</v>
      </c>
      <c r="J91" s="14">
        <f t="shared" si="9"/>
        <v>8442.6912813599993</v>
      </c>
      <c r="K91" s="95">
        <f>SUMIFS('Assumption-Best'!$F$3:$F$32,'Assumption-Best'!$A$3:$A$32,$B91,'Assumption-Best'!$B$3:$B$32,$C91)</f>
        <v>2.0000000000000001E-4</v>
      </c>
      <c r="L91" s="14">
        <f t="shared" si="10"/>
        <v>3126.9226967999998</v>
      </c>
      <c r="M91" s="94">
        <f t="shared" si="11"/>
        <v>35334.226473839997</v>
      </c>
      <c r="N91" s="92">
        <f>SUMIFS('Assumption-Best'!$G$3:$G$32,'Assumption-Best'!$A$3:$A$32,$B91,'Assumption-Best'!$B$3:$B$32,$C91)</f>
        <v>0.35</v>
      </c>
      <c r="O91" s="14">
        <f t="shared" si="12"/>
        <v>16416.344158199998</v>
      </c>
      <c r="P91" s="94">
        <f t="shared" si="13"/>
        <v>18917.882315639999</v>
      </c>
    </row>
    <row r="92" spans="1:16" x14ac:dyDescent="0.35">
      <c r="A92" s="91" t="str">
        <f>LEFT('2025 actual v budget'!A92,4)&amp;"26"</f>
        <v>Mar-26</v>
      </c>
      <c r="B92" s="12" t="str">
        <f>'2025 actual v budget'!B92</f>
        <v>USA</v>
      </c>
      <c r="C92" s="12" t="str">
        <f>'2025 actual v budget'!C92</f>
        <v>Virtual Accounts</v>
      </c>
      <c r="D92" s="14">
        <f>'2025 actual v budget'!D92</f>
        <v>19361215.129999999</v>
      </c>
      <c r="E92" s="92">
        <f>SUMIFS('Assumption-Best'!$C$3:$C$32,'Assumption-Best'!$A$3:$A$32,$B92,'Assumption-Best'!$B$3:$B$32,$C92)</f>
        <v>0.2</v>
      </c>
      <c r="F92" s="14">
        <f t="shared" si="7"/>
        <v>23233458.155999999</v>
      </c>
      <c r="G92" s="93">
        <f>SUMIFS('Assumption-Best'!$D$3:$D$32,'Assumption-Best'!$A$3:$A$32,$B92,'Assumption-Best'!$B$3:$B$32,$C92)</f>
        <v>4.4999999999999997E-3</v>
      </c>
      <c r="H92" s="94">
        <f t="shared" si="8"/>
        <v>104550.56170199999</v>
      </c>
      <c r="I92" s="92">
        <f>SUMIFS('Assumption-Best'!$E$3:$E$32,'Assumption-Best'!$A$3:$A$32,$B92,'Assumption-Best'!$B$3:$B$32,$C92)</f>
        <v>0.22</v>
      </c>
      <c r="J92" s="14">
        <f t="shared" si="9"/>
        <v>23001.12357444</v>
      </c>
      <c r="K92" s="95">
        <f>SUMIFS('Assumption-Best'!$F$3:$F$32,'Assumption-Best'!$A$3:$A$32,$B92,'Assumption-Best'!$B$3:$B$32,$C92)</f>
        <v>2.0000000000000001E-4</v>
      </c>
      <c r="L92" s="14">
        <f t="shared" si="10"/>
        <v>4646.6916312000003</v>
      </c>
      <c r="M92" s="94">
        <f t="shared" si="11"/>
        <v>76902.746496359992</v>
      </c>
      <c r="N92" s="92">
        <f>SUMIFS('Assumption-Best'!$G$3:$G$32,'Assumption-Best'!$A$3:$A$32,$B92,'Assumption-Best'!$B$3:$B$32,$C92)</f>
        <v>0.35</v>
      </c>
      <c r="O92" s="14">
        <f t="shared" si="12"/>
        <v>36592.696595699992</v>
      </c>
      <c r="P92" s="94">
        <f t="shared" si="13"/>
        <v>40310.04990066</v>
      </c>
    </row>
    <row r="93" spans="1:16" x14ac:dyDescent="0.35">
      <c r="A93" s="96" t="str">
        <f>LEFT('2025 actual v budget'!A93,4)&amp;"26"</f>
        <v>Apr-26</v>
      </c>
      <c r="B93" s="17" t="str">
        <f>'2025 actual v budget'!B93</f>
        <v>Brazil</v>
      </c>
      <c r="C93" s="17" t="str">
        <f>'2025 actual v budget'!C93</f>
        <v>Cross-border Payouts</v>
      </c>
      <c r="D93" s="19">
        <f>'2025 actual v budget'!D93</f>
        <v>12468810.82</v>
      </c>
      <c r="E93" s="97">
        <f>SUMIFS('Assumption-Best'!$C$3:$C$32,'Assumption-Best'!$A$3:$A$32,$B93,'Assumption-Best'!$B$3:$B$32,$C93)</f>
        <v>0.4</v>
      </c>
      <c r="F93" s="19">
        <f t="shared" si="7"/>
        <v>17456335.147999998</v>
      </c>
      <c r="G93" s="98">
        <f>SUMIFS('Assumption-Best'!$D$3:$D$32,'Assumption-Best'!$A$3:$A$32,$B93,'Assumption-Best'!$B$3:$B$32,$C93)</f>
        <v>7.4999999999999997E-3</v>
      </c>
      <c r="H93" s="99">
        <f t="shared" si="8"/>
        <v>130922.51360999998</v>
      </c>
      <c r="I93" s="97">
        <f>SUMIFS('Assumption-Best'!$E$3:$E$32,'Assumption-Best'!$A$3:$A$32,$B93,'Assumption-Best'!$B$3:$B$32,$C93)</f>
        <v>0.35</v>
      </c>
      <c r="J93" s="19">
        <f t="shared" si="9"/>
        <v>45822.879763499994</v>
      </c>
      <c r="K93" s="100">
        <f>SUMIFS('Assumption-Best'!$F$3:$F$32,'Assumption-Best'!$A$3:$A$32,$B93,'Assumption-Best'!$B$3:$B$32,$C93)</f>
        <v>6.9999999999999994E-5</v>
      </c>
      <c r="L93" s="19">
        <f t="shared" si="10"/>
        <v>1221.9434603599998</v>
      </c>
      <c r="M93" s="99">
        <f t="shared" si="11"/>
        <v>83877.690386139991</v>
      </c>
      <c r="N93" s="97">
        <f>SUMIFS('Assumption-Best'!$G$3:$G$32,'Assumption-Best'!$A$3:$A$32,$B93,'Assumption-Best'!$B$3:$B$32,$C93)</f>
        <v>0.35</v>
      </c>
      <c r="O93" s="19">
        <f t="shared" si="12"/>
        <v>45822.879763499994</v>
      </c>
      <c r="P93" s="99">
        <f t="shared" si="13"/>
        <v>38054.810622639998</v>
      </c>
    </row>
    <row r="94" spans="1:16" x14ac:dyDescent="0.35">
      <c r="A94" s="96" t="str">
        <f>LEFT('2025 actual v budget'!A94,4)&amp;"26"</f>
        <v>Apr-26</v>
      </c>
      <c r="B94" s="17" t="str">
        <f>'2025 actual v budget'!B94</f>
        <v>Brazil</v>
      </c>
      <c r="C94" s="17" t="str">
        <f>'2025 actual v budget'!C94</f>
        <v>FX Conversion</v>
      </c>
      <c r="D94" s="19">
        <f>'2025 actual v budget'!D94</f>
        <v>19893855.25</v>
      </c>
      <c r="E94" s="97">
        <f>SUMIFS('Assumption-Best'!$C$3:$C$32,'Assumption-Best'!$A$3:$A$32,$B94,'Assumption-Best'!$B$3:$B$32,$C94)</f>
        <v>0.4</v>
      </c>
      <c r="F94" s="19">
        <f t="shared" si="7"/>
        <v>27851397.349999998</v>
      </c>
      <c r="G94" s="98">
        <f>SUMIFS('Assumption-Best'!$D$3:$D$32,'Assumption-Best'!$A$3:$A$32,$B94,'Assumption-Best'!$B$3:$B$32,$C94)</f>
        <v>1.0500000000000001E-2</v>
      </c>
      <c r="H94" s="99">
        <f t="shared" si="8"/>
        <v>292439.67217500001</v>
      </c>
      <c r="I94" s="97">
        <f>SUMIFS('Assumption-Best'!$E$3:$E$32,'Assumption-Best'!$A$3:$A$32,$B94,'Assumption-Best'!$B$3:$B$32,$C94)</f>
        <v>0.28000000000000003</v>
      </c>
      <c r="J94" s="19">
        <f t="shared" si="9"/>
        <v>81883.108209000013</v>
      </c>
      <c r="K94" s="100">
        <f>SUMIFS('Assumption-Best'!$F$3:$F$32,'Assumption-Best'!$A$3:$A$32,$B94,'Assumption-Best'!$B$3:$B$32,$C94)</f>
        <v>6.9999999999999994E-5</v>
      </c>
      <c r="L94" s="19">
        <f t="shared" si="10"/>
        <v>1949.5978144999997</v>
      </c>
      <c r="M94" s="99">
        <f t="shared" si="11"/>
        <v>208606.96615149998</v>
      </c>
      <c r="N94" s="97">
        <f>SUMIFS('Assumption-Best'!$G$3:$G$32,'Assumption-Best'!$A$3:$A$32,$B94,'Assumption-Best'!$B$3:$B$32,$C94)</f>
        <v>0.35</v>
      </c>
      <c r="O94" s="19">
        <f t="shared" si="12"/>
        <v>102353.88526125</v>
      </c>
      <c r="P94" s="99">
        <f t="shared" si="13"/>
        <v>106253.08089024997</v>
      </c>
    </row>
    <row r="95" spans="1:16" x14ac:dyDescent="0.35">
      <c r="A95" s="96" t="str">
        <f>LEFT('2025 actual v budget'!A95,4)&amp;"26"</f>
        <v>Apr-26</v>
      </c>
      <c r="B95" s="17" t="str">
        <f>'2025 actual v budget'!B95</f>
        <v>Brazil</v>
      </c>
      <c r="C95" s="17" t="str">
        <f>'2025 actual v budget'!C95</f>
        <v>Stablecoin Settlement</v>
      </c>
      <c r="D95" s="19">
        <f>'2025 actual v budget'!D95</f>
        <v>29889008.460000001</v>
      </c>
      <c r="E95" s="97">
        <f>SUMIFS('Assumption-Best'!$C$3:$C$32,'Assumption-Best'!$A$3:$A$32,$B95,'Assumption-Best'!$B$3:$B$32,$C95)</f>
        <v>0.8</v>
      </c>
      <c r="F95" s="19">
        <f t="shared" si="7"/>
        <v>53800215.228</v>
      </c>
      <c r="G95" s="98">
        <f>SUMIFS('Assumption-Best'!$D$3:$D$32,'Assumption-Best'!$A$3:$A$32,$B95,'Assumption-Best'!$B$3:$B$32,$C95)</f>
        <v>6.4999999999999997E-3</v>
      </c>
      <c r="H95" s="99">
        <f t="shared" si="8"/>
        <v>349701.39898200001</v>
      </c>
      <c r="I95" s="97">
        <f>SUMIFS('Assumption-Best'!$E$3:$E$32,'Assumption-Best'!$A$3:$A$32,$B95,'Assumption-Best'!$B$3:$B$32,$C95)</f>
        <v>0.32</v>
      </c>
      <c r="J95" s="19">
        <f t="shared" si="9"/>
        <v>111904.44767424</v>
      </c>
      <c r="K95" s="100">
        <f>SUMIFS('Assumption-Best'!$F$3:$F$32,'Assumption-Best'!$A$3:$A$32,$B95,'Assumption-Best'!$B$3:$B$32,$C95)</f>
        <v>6.9999999999999994E-5</v>
      </c>
      <c r="L95" s="19">
        <f t="shared" si="10"/>
        <v>3766.0150659599999</v>
      </c>
      <c r="M95" s="99">
        <f t="shared" si="11"/>
        <v>234030.93624180002</v>
      </c>
      <c r="N95" s="97">
        <f>SUMIFS('Assumption-Best'!$G$3:$G$32,'Assumption-Best'!$A$3:$A$32,$B95,'Assumption-Best'!$B$3:$B$32,$C95)</f>
        <v>0.35</v>
      </c>
      <c r="O95" s="19">
        <f t="shared" si="12"/>
        <v>122395.4896437</v>
      </c>
      <c r="P95" s="99">
        <f t="shared" si="13"/>
        <v>111635.44659810002</v>
      </c>
    </row>
    <row r="96" spans="1:16" x14ac:dyDescent="0.35">
      <c r="A96" s="96" t="str">
        <f>LEFT('2025 actual v budget'!A96,4)&amp;"26"</f>
        <v>Apr-26</v>
      </c>
      <c r="B96" s="17" t="str">
        <f>'2025 actual v budget'!B96</f>
        <v>Brazil</v>
      </c>
      <c r="C96" s="17" t="str">
        <f>'2025 actual v budget'!C96</f>
        <v>Treasury Yield</v>
      </c>
      <c r="D96" s="19">
        <f>'2025 actual v budget'!D96</f>
        <v>8176806.4299999997</v>
      </c>
      <c r="E96" s="97">
        <f>SUMIFS('Assumption-Best'!$C$3:$C$32,'Assumption-Best'!$A$3:$A$32,$B96,'Assumption-Best'!$B$3:$B$32,$C96)</f>
        <v>0.4</v>
      </c>
      <c r="F96" s="19">
        <f t="shared" si="7"/>
        <v>11447529.001999998</v>
      </c>
      <c r="G96" s="98">
        <f>SUMIFS('Assumption-Best'!$D$3:$D$32,'Assumption-Best'!$A$3:$A$32,$B96,'Assumption-Best'!$B$3:$B$32,$C96)</f>
        <v>3.0000000000000001E-3</v>
      </c>
      <c r="H96" s="99">
        <f t="shared" si="8"/>
        <v>34342.587005999994</v>
      </c>
      <c r="I96" s="97">
        <f>SUMIFS('Assumption-Best'!$E$3:$E$32,'Assumption-Best'!$A$3:$A$32,$B96,'Assumption-Best'!$B$3:$B$32,$C96)</f>
        <v>0.18</v>
      </c>
      <c r="J96" s="19">
        <f t="shared" si="9"/>
        <v>6181.6656610799992</v>
      </c>
      <c r="K96" s="100">
        <f>SUMIFS('Assumption-Best'!$F$3:$F$32,'Assumption-Best'!$A$3:$A$32,$B96,'Assumption-Best'!$B$3:$B$32,$C96)</f>
        <v>6.9999999999999994E-5</v>
      </c>
      <c r="L96" s="19">
        <f t="shared" si="10"/>
        <v>801.32703013999981</v>
      </c>
      <c r="M96" s="99">
        <f t="shared" si="11"/>
        <v>27359.594314779995</v>
      </c>
      <c r="N96" s="97">
        <f>SUMIFS('Assumption-Best'!$G$3:$G$32,'Assumption-Best'!$A$3:$A$32,$B96,'Assumption-Best'!$B$3:$B$32,$C96)</f>
        <v>0.35</v>
      </c>
      <c r="O96" s="19">
        <f t="shared" si="12"/>
        <v>12019.905452099998</v>
      </c>
      <c r="P96" s="99">
        <f t="shared" si="13"/>
        <v>15339.688862679997</v>
      </c>
    </row>
    <row r="97" spans="1:16" x14ac:dyDescent="0.35">
      <c r="A97" s="96" t="str">
        <f>LEFT('2025 actual v budget'!A97,4)&amp;"26"</f>
        <v>Apr-26</v>
      </c>
      <c r="B97" s="17" t="str">
        <f>'2025 actual v budget'!B97</f>
        <v>Brazil</v>
      </c>
      <c r="C97" s="17" t="str">
        <f>'2025 actual v budget'!C97</f>
        <v>Virtual Accounts</v>
      </c>
      <c r="D97" s="19">
        <f>'2025 actual v budget'!D97</f>
        <v>12543154.289999999</v>
      </c>
      <c r="E97" s="97">
        <f>SUMIFS('Assumption-Best'!$C$3:$C$32,'Assumption-Best'!$A$3:$A$32,$B97,'Assumption-Best'!$B$3:$B$32,$C97)</f>
        <v>0.4</v>
      </c>
      <c r="F97" s="19">
        <f t="shared" si="7"/>
        <v>17560416.005999997</v>
      </c>
      <c r="G97" s="98">
        <f>SUMIFS('Assumption-Best'!$D$3:$D$32,'Assumption-Best'!$A$3:$A$32,$B97,'Assumption-Best'!$B$3:$B$32,$C97)</f>
        <v>4.4999999999999997E-3</v>
      </c>
      <c r="H97" s="99">
        <f t="shared" si="8"/>
        <v>79021.872026999976</v>
      </c>
      <c r="I97" s="97">
        <f>SUMIFS('Assumption-Best'!$E$3:$E$32,'Assumption-Best'!$A$3:$A$32,$B97,'Assumption-Best'!$B$3:$B$32,$C97)</f>
        <v>0.22</v>
      </c>
      <c r="J97" s="19">
        <f t="shared" si="9"/>
        <v>17384.811845939996</v>
      </c>
      <c r="K97" s="100">
        <f>SUMIFS('Assumption-Best'!$F$3:$F$32,'Assumption-Best'!$A$3:$A$32,$B97,'Assumption-Best'!$B$3:$B$32,$C97)</f>
        <v>6.9999999999999994E-5</v>
      </c>
      <c r="L97" s="19">
        <f t="shared" si="10"/>
        <v>1229.2291204199996</v>
      </c>
      <c r="M97" s="99">
        <f t="shared" si="11"/>
        <v>60407.831060639975</v>
      </c>
      <c r="N97" s="97">
        <f>SUMIFS('Assumption-Best'!$G$3:$G$32,'Assumption-Best'!$A$3:$A$32,$B97,'Assumption-Best'!$B$3:$B$32,$C97)</f>
        <v>0.35</v>
      </c>
      <c r="O97" s="19">
        <f t="shared" si="12"/>
        <v>27657.655209449989</v>
      </c>
      <c r="P97" s="99">
        <f t="shared" si="13"/>
        <v>32750.175851189986</v>
      </c>
    </row>
    <row r="98" spans="1:16" x14ac:dyDescent="0.35">
      <c r="A98" s="96" t="str">
        <f>LEFT('2025 actual v budget'!A98,4)&amp;"26"</f>
        <v>Apr-26</v>
      </c>
      <c r="B98" s="17" t="str">
        <f>'2025 actual v budget'!B98</f>
        <v>Germany</v>
      </c>
      <c r="C98" s="17" t="str">
        <f>'2025 actual v budget'!C98</f>
        <v>Cross-border Payouts</v>
      </c>
      <c r="D98" s="19">
        <f>'2025 actual v budget'!D98</f>
        <v>6394559.6100000003</v>
      </c>
      <c r="E98" s="97">
        <f>SUMIFS('Assumption-Best'!$C$3:$C$32,'Assumption-Best'!$A$3:$A$32,$B98,'Assumption-Best'!$B$3:$B$32,$C98)</f>
        <v>0.12</v>
      </c>
      <c r="F98" s="19">
        <f t="shared" si="7"/>
        <v>7161906.7632000009</v>
      </c>
      <c r="G98" s="98">
        <f>SUMIFS('Assumption-Best'!$D$3:$D$32,'Assumption-Best'!$A$3:$A$32,$B98,'Assumption-Best'!$B$3:$B$32,$C98)</f>
        <v>7.4999999999999997E-3</v>
      </c>
      <c r="H98" s="99">
        <f t="shared" si="8"/>
        <v>53714.300724000008</v>
      </c>
      <c r="I98" s="97">
        <f>SUMIFS('Assumption-Best'!$E$3:$E$32,'Assumption-Best'!$A$3:$A$32,$B98,'Assumption-Best'!$B$3:$B$32,$C98)</f>
        <v>0.35</v>
      </c>
      <c r="J98" s="19">
        <f t="shared" si="9"/>
        <v>18800.005253400002</v>
      </c>
      <c r="K98" s="100">
        <f>SUMIFS('Assumption-Best'!$F$3:$F$32,'Assumption-Best'!$A$3:$A$32,$B98,'Assumption-Best'!$B$3:$B$32,$C98)</f>
        <v>1.4999999999999999E-4</v>
      </c>
      <c r="L98" s="19">
        <f t="shared" si="10"/>
        <v>1074.2860144799999</v>
      </c>
      <c r="M98" s="99">
        <f t="shared" si="11"/>
        <v>33840.009456120002</v>
      </c>
      <c r="N98" s="97">
        <f>SUMIFS('Assumption-Best'!$G$3:$G$32,'Assumption-Best'!$A$3:$A$32,$B98,'Assumption-Best'!$B$3:$B$32,$C98)</f>
        <v>0.35</v>
      </c>
      <c r="O98" s="19">
        <f t="shared" si="12"/>
        <v>18800.005253400002</v>
      </c>
      <c r="P98" s="99">
        <f t="shared" si="13"/>
        <v>15040.00420272</v>
      </c>
    </row>
    <row r="99" spans="1:16" x14ac:dyDescent="0.35">
      <c r="A99" s="96" t="str">
        <f>LEFT('2025 actual v budget'!A99,4)&amp;"26"</f>
        <v>Apr-26</v>
      </c>
      <c r="B99" s="17" t="str">
        <f>'2025 actual v budget'!B99</f>
        <v>Germany</v>
      </c>
      <c r="C99" s="17" t="str">
        <f>'2025 actual v budget'!C99</f>
        <v>FX Conversion</v>
      </c>
      <c r="D99" s="19">
        <f>'2025 actual v budget'!D99</f>
        <v>10199689.060000001</v>
      </c>
      <c r="E99" s="97">
        <f>SUMIFS('Assumption-Best'!$C$3:$C$32,'Assumption-Best'!$A$3:$A$32,$B99,'Assumption-Best'!$B$3:$B$32,$C99)</f>
        <v>0.12</v>
      </c>
      <c r="F99" s="19">
        <f t="shared" si="7"/>
        <v>11423651.747200001</v>
      </c>
      <c r="G99" s="98">
        <f>SUMIFS('Assumption-Best'!$D$3:$D$32,'Assumption-Best'!$A$3:$A$32,$B99,'Assumption-Best'!$B$3:$B$32,$C99)</f>
        <v>1.0500000000000001E-2</v>
      </c>
      <c r="H99" s="99">
        <f t="shared" si="8"/>
        <v>119948.34334560002</v>
      </c>
      <c r="I99" s="97">
        <f>SUMIFS('Assumption-Best'!$E$3:$E$32,'Assumption-Best'!$A$3:$A$32,$B99,'Assumption-Best'!$B$3:$B$32,$C99)</f>
        <v>0.28000000000000003</v>
      </c>
      <c r="J99" s="19">
        <f t="shared" si="9"/>
        <v>33585.536136768009</v>
      </c>
      <c r="K99" s="100">
        <f>SUMIFS('Assumption-Best'!$F$3:$F$32,'Assumption-Best'!$A$3:$A$32,$B99,'Assumption-Best'!$B$3:$B$32,$C99)</f>
        <v>1.4999999999999999E-4</v>
      </c>
      <c r="L99" s="19">
        <f t="shared" si="10"/>
        <v>1713.54776208</v>
      </c>
      <c r="M99" s="99">
        <f t="shared" si="11"/>
        <v>84649.25944675201</v>
      </c>
      <c r="N99" s="97">
        <f>SUMIFS('Assumption-Best'!$G$3:$G$32,'Assumption-Best'!$A$3:$A$32,$B99,'Assumption-Best'!$B$3:$B$32,$C99)</f>
        <v>0.35</v>
      </c>
      <c r="O99" s="19">
        <f t="shared" si="12"/>
        <v>41981.920170960002</v>
      </c>
      <c r="P99" s="99">
        <f t="shared" si="13"/>
        <v>42667.339275792008</v>
      </c>
    </row>
    <row r="100" spans="1:16" x14ac:dyDescent="0.35">
      <c r="A100" s="96" t="str">
        <f>LEFT('2025 actual v budget'!A100,4)&amp;"26"</f>
        <v>Apr-26</v>
      </c>
      <c r="B100" s="17" t="str">
        <f>'2025 actual v budget'!B100</f>
        <v>Germany</v>
      </c>
      <c r="C100" s="17" t="str">
        <f>'2025 actual v budget'!C100</f>
        <v>Stablecoin Settlement</v>
      </c>
      <c r="D100" s="19">
        <f>'2025 actual v budget'!D100</f>
        <v>15328410.15</v>
      </c>
      <c r="E100" s="97">
        <f>SUMIFS('Assumption-Best'!$C$3:$C$32,'Assumption-Best'!$A$3:$A$32,$B100,'Assumption-Best'!$B$3:$B$32,$C100)</f>
        <v>0.24</v>
      </c>
      <c r="F100" s="19">
        <f t="shared" si="7"/>
        <v>19007228.585999999</v>
      </c>
      <c r="G100" s="98">
        <f>SUMIFS('Assumption-Best'!$D$3:$D$32,'Assumption-Best'!$A$3:$A$32,$B100,'Assumption-Best'!$B$3:$B$32,$C100)</f>
        <v>6.4999999999999997E-3</v>
      </c>
      <c r="H100" s="99">
        <f t="shared" si="8"/>
        <v>123546.98580899999</v>
      </c>
      <c r="I100" s="97">
        <f>SUMIFS('Assumption-Best'!$E$3:$E$32,'Assumption-Best'!$A$3:$A$32,$B100,'Assumption-Best'!$B$3:$B$32,$C100)</f>
        <v>0.32</v>
      </c>
      <c r="J100" s="19">
        <f t="shared" si="9"/>
        <v>39535.035458879996</v>
      </c>
      <c r="K100" s="100">
        <f>SUMIFS('Assumption-Best'!$F$3:$F$32,'Assumption-Best'!$A$3:$A$32,$B100,'Assumption-Best'!$B$3:$B$32,$C100)</f>
        <v>1.4999999999999999E-4</v>
      </c>
      <c r="L100" s="19">
        <f t="shared" si="10"/>
        <v>2851.0842878999997</v>
      </c>
      <c r="M100" s="99">
        <f t="shared" si="11"/>
        <v>81160.866062219997</v>
      </c>
      <c r="N100" s="97">
        <f>SUMIFS('Assumption-Best'!$G$3:$G$32,'Assumption-Best'!$A$3:$A$32,$B100,'Assumption-Best'!$B$3:$B$32,$C100)</f>
        <v>0.35</v>
      </c>
      <c r="O100" s="19">
        <f t="shared" si="12"/>
        <v>43241.445033149997</v>
      </c>
      <c r="P100" s="99">
        <f t="shared" si="13"/>
        <v>37919.421029069999</v>
      </c>
    </row>
    <row r="101" spans="1:16" x14ac:dyDescent="0.35">
      <c r="A101" s="96" t="str">
        <f>LEFT('2025 actual v budget'!A101,4)&amp;"26"</f>
        <v>Apr-26</v>
      </c>
      <c r="B101" s="17" t="str">
        <f>'2025 actual v budget'!B101</f>
        <v>Germany</v>
      </c>
      <c r="C101" s="17" t="str">
        <f>'2025 actual v budget'!C101</f>
        <v>Treasury Yield</v>
      </c>
      <c r="D101" s="19">
        <f>'2025 actual v budget'!D101</f>
        <v>4192293.65</v>
      </c>
      <c r="E101" s="97">
        <f>SUMIFS('Assumption-Best'!$C$3:$C$32,'Assumption-Best'!$A$3:$A$32,$B101,'Assumption-Best'!$B$3:$B$32,$C101)</f>
        <v>0.12</v>
      </c>
      <c r="F101" s="19">
        <f t="shared" si="7"/>
        <v>4695368.8880000003</v>
      </c>
      <c r="G101" s="98">
        <f>SUMIFS('Assumption-Best'!$D$3:$D$32,'Assumption-Best'!$A$3:$A$32,$B101,'Assumption-Best'!$B$3:$B$32,$C101)</f>
        <v>3.0000000000000001E-3</v>
      </c>
      <c r="H101" s="99">
        <f t="shared" si="8"/>
        <v>14086.106664000001</v>
      </c>
      <c r="I101" s="97">
        <f>SUMIFS('Assumption-Best'!$E$3:$E$32,'Assumption-Best'!$A$3:$A$32,$B101,'Assumption-Best'!$B$3:$B$32,$C101)</f>
        <v>0.18</v>
      </c>
      <c r="J101" s="19">
        <f t="shared" si="9"/>
        <v>2535.4991995200003</v>
      </c>
      <c r="K101" s="100">
        <f>SUMIFS('Assumption-Best'!$F$3:$F$32,'Assumption-Best'!$A$3:$A$32,$B101,'Assumption-Best'!$B$3:$B$32,$C101)</f>
        <v>1.4999999999999999E-4</v>
      </c>
      <c r="L101" s="19">
        <f t="shared" si="10"/>
        <v>704.30533319999995</v>
      </c>
      <c r="M101" s="99">
        <f t="shared" si="11"/>
        <v>10846.302131280001</v>
      </c>
      <c r="N101" s="97">
        <f>SUMIFS('Assumption-Best'!$G$3:$G$32,'Assumption-Best'!$A$3:$A$32,$B101,'Assumption-Best'!$B$3:$B$32,$C101)</f>
        <v>0.35</v>
      </c>
      <c r="O101" s="19">
        <f t="shared" si="12"/>
        <v>4930.1373323999997</v>
      </c>
      <c r="P101" s="99">
        <f t="shared" si="13"/>
        <v>5916.1647988800014</v>
      </c>
    </row>
    <row r="102" spans="1:16" x14ac:dyDescent="0.35">
      <c r="A102" s="96" t="str">
        <f>LEFT('2025 actual v budget'!A102,4)&amp;"26"</f>
        <v>Apr-26</v>
      </c>
      <c r="B102" s="17" t="str">
        <f>'2025 actual v budget'!B102</f>
        <v>Germany</v>
      </c>
      <c r="C102" s="17" t="str">
        <f>'2025 actual v budget'!C102</f>
        <v>Virtual Accounts</v>
      </c>
      <c r="D102" s="19">
        <f>'2025 actual v budget'!D102</f>
        <v>6430944.2300000004</v>
      </c>
      <c r="E102" s="97">
        <f>SUMIFS('Assumption-Best'!$C$3:$C$32,'Assumption-Best'!$A$3:$A$32,$B102,'Assumption-Best'!$B$3:$B$32,$C102)</f>
        <v>0.12</v>
      </c>
      <c r="F102" s="19">
        <f t="shared" si="7"/>
        <v>7202657.5376000013</v>
      </c>
      <c r="G102" s="98">
        <f>SUMIFS('Assumption-Best'!$D$3:$D$32,'Assumption-Best'!$A$3:$A$32,$B102,'Assumption-Best'!$B$3:$B$32,$C102)</f>
        <v>4.4999999999999997E-3</v>
      </c>
      <c r="H102" s="99">
        <f t="shared" si="8"/>
        <v>32411.958919200002</v>
      </c>
      <c r="I102" s="97">
        <f>SUMIFS('Assumption-Best'!$E$3:$E$32,'Assumption-Best'!$A$3:$A$32,$B102,'Assumption-Best'!$B$3:$B$32,$C102)</f>
        <v>0.22</v>
      </c>
      <c r="J102" s="19">
        <f t="shared" si="9"/>
        <v>7130.6309622240005</v>
      </c>
      <c r="K102" s="100">
        <f>SUMIFS('Assumption-Best'!$F$3:$F$32,'Assumption-Best'!$A$3:$A$32,$B102,'Assumption-Best'!$B$3:$B$32,$C102)</f>
        <v>1.4999999999999999E-4</v>
      </c>
      <c r="L102" s="19">
        <f t="shared" si="10"/>
        <v>1080.3986306400002</v>
      </c>
      <c r="M102" s="99">
        <f t="shared" si="11"/>
        <v>24200.929326336001</v>
      </c>
      <c r="N102" s="97">
        <f>SUMIFS('Assumption-Best'!$G$3:$G$32,'Assumption-Best'!$A$3:$A$32,$B102,'Assumption-Best'!$B$3:$B$32,$C102)</f>
        <v>0.35</v>
      </c>
      <c r="O102" s="19">
        <f t="shared" si="12"/>
        <v>11344.18562172</v>
      </c>
      <c r="P102" s="99">
        <f t="shared" si="13"/>
        <v>12856.743704616001</v>
      </c>
    </row>
    <row r="103" spans="1:16" x14ac:dyDescent="0.35">
      <c r="A103" s="96" t="str">
        <f>LEFT('2025 actual v budget'!A103,4)&amp;"26"</f>
        <v>Apr-26</v>
      </c>
      <c r="B103" s="17" t="str">
        <f>'2025 actual v budget'!B103</f>
        <v>India</v>
      </c>
      <c r="C103" s="17" t="str">
        <f>'2025 actual v budget'!C103</f>
        <v>Cross-border Payouts</v>
      </c>
      <c r="D103" s="19">
        <f>'2025 actual v budget'!D103</f>
        <v>8243584.2199999997</v>
      </c>
      <c r="E103" s="97">
        <f>SUMIFS('Assumption-Best'!$C$3:$C$32,'Assumption-Best'!$A$3:$A$32,$B103,'Assumption-Best'!$B$3:$B$32,$C103)</f>
        <v>0.24</v>
      </c>
      <c r="F103" s="19">
        <f t="shared" si="7"/>
        <v>10222044.432800001</v>
      </c>
      <c r="G103" s="98">
        <f>SUMIFS('Assumption-Best'!$D$3:$D$32,'Assumption-Best'!$A$3:$A$32,$B103,'Assumption-Best'!$B$3:$B$32,$C103)</f>
        <v>7.4999999999999997E-3</v>
      </c>
      <c r="H103" s="99">
        <f t="shared" si="8"/>
        <v>76665.333245999995</v>
      </c>
      <c r="I103" s="97">
        <f>SUMIFS('Assumption-Best'!$E$3:$E$32,'Assumption-Best'!$A$3:$A$32,$B103,'Assumption-Best'!$B$3:$B$32,$C103)</f>
        <v>0.35</v>
      </c>
      <c r="J103" s="19">
        <f t="shared" si="9"/>
        <v>26832.866636099996</v>
      </c>
      <c r="K103" s="100">
        <f>SUMIFS('Assumption-Best'!$F$3:$F$32,'Assumption-Best'!$A$3:$A$32,$B103,'Assumption-Best'!$B$3:$B$32,$C103)</f>
        <v>1.8000000000000001E-4</v>
      </c>
      <c r="L103" s="19">
        <f t="shared" si="10"/>
        <v>1839.9679979040002</v>
      </c>
      <c r="M103" s="99">
        <f t="shared" si="11"/>
        <v>47992.498611996001</v>
      </c>
      <c r="N103" s="97">
        <f>SUMIFS('Assumption-Best'!$G$3:$G$32,'Assumption-Best'!$A$3:$A$32,$B103,'Assumption-Best'!$B$3:$B$32,$C103)</f>
        <v>0.35</v>
      </c>
      <c r="O103" s="19">
        <f t="shared" si="12"/>
        <v>26832.866636099996</v>
      </c>
      <c r="P103" s="99">
        <f t="shared" si="13"/>
        <v>21159.631975896005</v>
      </c>
    </row>
    <row r="104" spans="1:16" x14ac:dyDescent="0.35">
      <c r="A104" s="96" t="str">
        <f>LEFT('2025 actual v budget'!A104,4)&amp;"26"</f>
        <v>Apr-26</v>
      </c>
      <c r="B104" s="17" t="str">
        <f>'2025 actual v budget'!B104</f>
        <v>India</v>
      </c>
      <c r="C104" s="17" t="str">
        <f>'2025 actual v budget'!C104</f>
        <v>FX Conversion</v>
      </c>
      <c r="D104" s="19">
        <f>'2025 actual v budget'!D104</f>
        <v>13154282.51</v>
      </c>
      <c r="E104" s="97">
        <f>SUMIFS('Assumption-Best'!$C$3:$C$32,'Assumption-Best'!$A$3:$A$32,$B104,'Assumption-Best'!$B$3:$B$32,$C104)</f>
        <v>0.24</v>
      </c>
      <c r="F104" s="19">
        <f t="shared" si="7"/>
        <v>16311310.3124</v>
      </c>
      <c r="G104" s="98">
        <f>SUMIFS('Assumption-Best'!$D$3:$D$32,'Assumption-Best'!$A$3:$A$32,$B104,'Assumption-Best'!$B$3:$B$32,$C104)</f>
        <v>1.0500000000000001E-2</v>
      </c>
      <c r="H104" s="99">
        <f t="shared" si="8"/>
        <v>171268.75828020001</v>
      </c>
      <c r="I104" s="97">
        <f>SUMIFS('Assumption-Best'!$E$3:$E$32,'Assumption-Best'!$A$3:$A$32,$B104,'Assumption-Best'!$B$3:$B$32,$C104)</f>
        <v>0.28000000000000003</v>
      </c>
      <c r="J104" s="19">
        <f t="shared" si="9"/>
        <v>47955.252318456005</v>
      </c>
      <c r="K104" s="100">
        <f>SUMIFS('Assumption-Best'!$F$3:$F$32,'Assumption-Best'!$A$3:$A$32,$B104,'Assumption-Best'!$B$3:$B$32,$C104)</f>
        <v>1.8000000000000001E-4</v>
      </c>
      <c r="L104" s="19">
        <f t="shared" si="10"/>
        <v>2936.0358562320002</v>
      </c>
      <c r="M104" s="99">
        <f t="shared" si="11"/>
        <v>120377.47010551199</v>
      </c>
      <c r="N104" s="97">
        <f>SUMIFS('Assumption-Best'!$G$3:$G$32,'Assumption-Best'!$A$3:$A$32,$B104,'Assumption-Best'!$B$3:$B$32,$C104)</f>
        <v>0.35</v>
      </c>
      <c r="O104" s="19">
        <f t="shared" si="12"/>
        <v>59944.065398070001</v>
      </c>
      <c r="P104" s="99">
        <f t="shared" si="13"/>
        <v>60433.404707441994</v>
      </c>
    </row>
    <row r="105" spans="1:16" x14ac:dyDescent="0.35">
      <c r="A105" s="96" t="str">
        <f>LEFT('2025 actual v budget'!A105,4)&amp;"26"</f>
        <v>Apr-26</v>
      </c>
      <c r="B105" s="17" t="str">
        <f>'2025 actual v budget'!B105</f>
        <v>India</v>
      </c>
      <c r="C105" s="17" t="str">
        <f>'2025 actual v budget'!C105</f>
        <v>Stablecoin Settlement</v>
      </c>
      <c r="D105" s="19">
        <f>'2025 actual v budget'!D105</f>
        <v>19760710.289999999</v>
      </c>
      <c r="E105" s="97">
        <f>SUMIFS('Assumption-Best'!$C$3:$C$32,'Assumption-Best'!$A$3:$A$32,$B105,'Assumption-Best'!$B$3:$B$32,$C105)</f>
        <v>0.48</v>
      </c>
      <c r="F105" s="19">
        <f t="shared" si="7"/>
        <v>29245851.229199998</v>
      </c>
      <c r="G105" s="98">
        <f>SUMIFS('Assumption-Best'!$D$3:$D$32,'Assumption-Best'!$A$3:$A$32,$B105,'Assumption-Best'!$B$3:$B$32,$C105)</f>
        <v>6.4999999999999997E-3</v>
      </c>
      <c r="H105" s="99">
        <f t="shared" si="8"/>
        <v>190098.03298979998</v>
      </c>
      <c r="I105" s="97">
        <f>SUMIFS('Assumption-Best'!$E$3:$E$32,'Assumption-Best'!$A$3:$A$32,$B105,'Assumption-Best'!$B$3:$B$32,$C105)</f>
        <v>0.32</v>
      </c>
      <c r="J105" s="19">
        <f t="shared" si="9"/>
        <v>60831.370556735994</v>
      </c>
      <c r="K105" s="100">
        <f>SUMIFS('Assumption-Best'!$F$3:$F$32,'Assumption-Best'!$A$3:$A$32,$B105,'Assumption-Best'!$B$3:$B$32,$C105)</f>
        <v>1.8000000000000001E-4</v>
      </c>
      <c r="L105" s="19">
        <f t="shared" si="10"/>
        <v>5264.253221256</v>
      </c>
      <c r="M105" s="99">
        <f t="shared" si="11"/>
        <v>124002.40921180799</v>
      </c>
      <c r="N105" s="97">
        <f>SUMIFS('Assumption-Best'!$G$3:$G$32,'Assumption-Best'!$A$3:$A$32,$B105,'Assumption-Best'!$B$3:$B$32,$C105)</f>
        <v>0.35</v>
      </c>
      <c r="O105" s="19">
        <f t="shared" si="12"/>
        <v>66534.311546429992</v>
      </c>
      <c r="P105" s="99">
        <f t="shared" si="13"/>
        <v>57468.097665377994</v>
      </c>
    </row>
    <row r="106" spans="1:16" x14ac:dyDescent="0.35">
      <c r="A106" s="96" t="str">
        <f>LEFT('2025 actual v budget'!A106,4)&amp;"26"</f>
        <v>Apr-26</v>
      </c>
      <c r="B106" s="17" t="str">
        <f>'2025 actual v budget'!B106</f>
        <v>India</v>
      </c>
      <c r="C106" s="17" t="str">
        <f>'2025 actual v budget'!C106</f>
        <v>Treasury Yield</v>
      </c>
      <c r="D106" s="19">
        <f>'2025 actual v budget'!D106</f>
        <v>5406695.71</v>
      </c>
      <c r="E106" s="97">
        <f>SUMIFS('Assumption-Best'!$C$3:$C$32,'Assumption-Best'!$A$3:$A$32,$B106,'Assumption-Best'!$B$3:$B$32,$C106)</f>
        <v>0.24</v>
      </c>
      <c r="F106" s="19">
        <f t="shared" si="7"/>
        <v>6704302.6804</v>
      </c>
      <c r="G106" s="98">
        <f>SUMIFS('Assumption-Best'!$D$3:$D$32,'Assumption-Best'!$A$3:$A$32,$B106,'Assumption-Best'!$B$3:$B$32,$C106)</f>
        <v>3.0000000000000001E-3</v>
      </c>
      <c r="H106" s="99">
        <f t="shared" si="8"/>
        <v>20112.9080412</v>
      </c>
      <c r="I106" s="97">
        <f>SUMIFS('Assumption-Best'!$E$3:$E$32,'Assumption-Best'!$A$3:$A$32,$B106,'Assumption-Best'!$B$3:$B$32,$C106)</f>
        <v>0.18</v>
      </c>
      <c r="J106" s="19">
        <f t="shared" si="9"/>
        <v>3620.3234474159999</v>
      </c>
      <c r="K106" s="100">
        <f>SUMIFS('Assumption-Best'!$F$3:$F$32,'Assumption-Best'!$A$3:$A$32,$B106,'Assumption-Best'!$B$3:$B$32,$C106)</f>
        <v>1.8000000000000001E-4</v>
      </c>
      <c r="L106" s="19">
        <f t="shared" si="10"/>
        <v>1206.774482472</v>
      </c>
      <c r="M106" s="99">
        <f t="shared" si="11"/>
        <v>15285.810111311999</v>
      </c>
      <c r="N106" s="97">
        <f>SUMIFS('Assumption-Best'!$G$3:$G$32,'Assumption-Best'!$A$3:$A$32,$B106,'Assumption-Best'!$B$3:$B$32,$C106)</f>
        <v>0.35</v>
      </c>
      <c r="O106" s="19">
        <f t="shared" si="12"/>
        <v>7039.5178144199999</v>
      </c>
      <c r="P106" s="99">
        <f t="shared" si="13"/>
        <v>8246.2922968919993</v>
      </c>
    </row>
    <row r="107" spans="1:16" x14ac:dyDescent="0.35">
      <c r="A107" s="96" t="str">
        <f>LEFT('2025 actual v budget'!A107,4)&amp;"26"</f>
        <v>Apr-26</v>
      </c>
      <c r="B107" s="17" t="str">
        <f>'2025 actual v budget'!B107</f>
        <v>India</v>
      </c>
      <c r="C107" s="17" t="str">
        <f>'2025 actual v budget'!C107</f>
        <v>Virtual Accounts</v>
      </c>
      <c r="D107" s="19">
        <f>'2025 actual v budget'!D107</f>
        <v>8293827.0599999996</v>
      </c>
      <c r="E107" s="97">
        <f>SUMIFS('Assumption-Best'!$C$3:$C$32,'Assumption-Best'!$A$3:$A$32,$B107,'Assumption-Best'!$B$3:$B$32,$C107)</f>
        <v>0.24</v>
      </c>
      <c r="F107" s="19">
        <f t="shared" si="7"/>
        <v>10284345.554399999</v>
      </c>
      <c r="G107" s="98">
        <f>SUMIFS('Assumption-Best'!$D$3:$D$32,'Assumption-Best'!$A$3:$A$32,$B107,'Assumption-Best'!$B$3:$B$32,$C107)</f>
        <v>4.4999999999999997E-3</v>
      </c>
      <c r="H107" s="99">
        <f t="shared" si="8"/>
        <v>46279.55499479999</v>
      </c>
      <c r="I107" s="97">
        <f>SUMIFS('Assumption-Best'!$E$3:$E$32,'Assumption-Best'!$A$3:$A$32,$B107,'Assumption-Best'!$B$3:$B$32,$C107)</f>
        <v>0.22</v>
      </c>
      <c r="J107" s="19">
        <f t="shared" si="9"/>
        <v>10181.502098855997</v>
      </c>
      <c r="K107" s="100">
        <f>SUMIFS('Assumption-Best'!$F$3:$F$32,'Assumption-Best'!$A$3:$A$32,$B107,'Assumption-Best'!$B$3:$B$32,$C107)</f>
        <v>1.8000000000000001E-4</v>
      </c>
      <c r="L107" s="19">
        <f t="shared" si="10"/>
        <v>1851.1821997919999</v>
      </c>
      <c r="M107" s="99">
        <f t="shared" si="11"/>
        <v>34246.870696151993</v>
      </c>
      <c r="N107" s="97">
        <f>SUMIFS('Assumption-Best'!$G$3:$G$32,'Assumption-Best'!$A$3:$A$32,$B107,'Assumption-Best'!$B$3:$B$32,$C107)</f>
        <v>0.35</v>
      </c>
      <c r="O107" s="19">
        <f t="shared" si="12"/>
        <v>16197.844248179996</v>
      </c>
      <c r="P107" s="99">
        <f t="shared" si="13"/>
        <v>18049.026447971999</v>
      </c>
    </row>
    <row r="108" spans="1:16" x14ac:dyDescent="0.35">
      <c r="A108" s="96" t="str">
        <f>LEFT('2025 actual v budget'!A108,4)&amp;"26"</f>
        <v>Apr-26</v>
      </c>
      <c r="B108" s="17" t="str">
        <f>'2025 actual v budget'!B108</f>
        <v>Mexico</v>
      </c>
      <c r="C108" s="17" t="str">
        <f>'2025 actual v budget'!C108</f>
        <v>Cross-border Payouts</v>
      </c>
      <c r="D108" s="19">
        <f>'2025 actual v budget'!D108</f>
        <v>9935556.4499999993</v>
      </c>
      <c r="E108" s="97">
        <f>SUMIFS('Assumption-Best'!$C$3:$C$32,'Assumption-Best'!$A$3:$A$32,$B108,'Assumption-Best'!$B$3:$B$32,$C108)</f>
        <v>0.3</v>
      </c>
      <c r="F108" s="19">
        <f t="shared" si="7"/>
        <v>12916223.385</v>
      </c>
      <c r="G108" s="98">
        <f>SUMIFS('Assumption-Best'!$D$3:$D$32,'Assumption-Best'!$A$3:$A$32,$B108,'Assumption-Best'!$B$3:$B$32,$C108)</f>
        <v>7.4999999999999997E-3</v>
      </c>
      <c r="H108" s="99">
        <f t="shared" si="8"/>
        <v>96871.675387499999</v>
      </c>
      <c r="I108" s="97">
        <f>SUMIFS('Assumption-Best'!$E$3:$E$32,'Assumption-Best'!$A$3:$A$32,$B108,'Assumption-Best'!$B$3:$B$32,$C108)</f>
        <v>0.35</v>
      </c>
      <c r="J108" s="19">
        <f t="shared" si="9"/>
        <v>33905.086385625</v>
      </c>
      <c r="K108" s="100">
        <f>SUMIFS('Assumption-Best'!$F$3:$F$32,'Assumption-Best'!$A$3:$A$32,$B108,'Assumption-Best'!$B$3:$B$32,$C108)</f>
        <v>8.0000000000000007E-5</v>
      </c>
      <c r="L108" s="19">
        <f t="shared" si="10"/>
        <v>1033.2978708000001</v>
      </c>
      <c r="M108" s="99">
        <f t="shared" si="11"/>
        <v>61933.291131074999</v>
      </c>
      <c r="N108" s="97">
        <f>SUMIFS('Assumption-Best'!$G$3:$G$32,'Assumption-Best'!$A$3:$A$32,$B108,'Assumption-Best'!$B$3:$B$32,$C108)</f>
        <v>0.35</v>
      </c>
      <c r="O108" s="19">
        <f t="shared" si="12"/>
        <v>33905.086385625</v>
      </c>
      <c r="P108" s="99">
        <f t="shared" si="13"/>
        <v>28028.204745449999</v>
      </c>
    </row>
    <row r="109" spans="1:16" x14ac:dyDescent="0.35">
      <c r="A109" s="96" t="str">
        <f>LEFT('2025 actual v budget'!A109,4)&amp;"26"</f>
        <v>Apr-26</v>
      </c>
      <c r="B109" s="17" t="str">
        <f>'2025 actual v budget'!B109</f>
        <v>Mexico</v>
      </c>
      <c r="C109" s="17" t="str">
        <f>'2025 actual v budget'!C109</f>
        <v>FX Conversion</v>
      </c>
      <c r="D109" s="19">
        <f>'2025 actual v budget'!D109</f>
        <v>15853123.060000001</v>
      </c>
      <c r="E109" s="97">
        <f>SUMIFS('Assumption-Best'!$C$3:$C$32,'Assumption-Best'!$A$3:$A$32,$B109,'Assumption-Best'!$B$3:$B$32,$C109)</f>
        <v>0.3</v>
      </c>
      <c r="F109" s="19">
        <f t="shared" si="7"/>
        <v>20609059.978</v>
      </c>
      <c r="G109" s="98">
        <f>SUMIFS('Assumption-Best'!$D$3:$D$32,'Assumption-Best'!$A$3:$A$32,$B109,'Assumption-Best'!$B$3:$B$32,$C109)</f>
        <v>1.0500000000000001E-2</v>
      </c>
      <c r="H109" s="99">
        <f t="shared" si="8"/>
        <v>216395.12976900002</v>
      </c>
      <c r="I109" s="97">
        <f>SUMIFS('Assumption-Best'!$E$3:$E$32,'Assumption-Best'!$A$3:$A$32,$B109,'Assumption-Best'!$B$3:$B$32,$C109)</f>
        <v>0.28000000000000003</v>
      </c>
      <c r="J109" s="19">
        <f t="shared" si="9"/>
        <v>60590.636335320014</v>
      </c>
      <c r="K109" s="100">
        <f>SUMIFS('Assumption-Best'!$F$3:$F$32,'Assumption-Best'!$A$3:$A$32,$B109,'Assumption-Best'!$B$3:$B$32,$C109)</f>
        <v>8.0000000000000007E-5</v>
      </c>
      <c r="L109" s="19">
        <f t="shared" si="10"/>
        <v>1648.7247982400002</v>
      </c>
      <c r="M109" s="99">
        <f t="shared" si="11"/>
        <v>154155.76863544001</v>
      </c>
      <c r="N109" s="97">
        <f>SUMIFS('Assumption-Best'!$G$3:$G$32,'Assumption-Best'!$A$3:$A$32,$B109,'Assumption-Best'!$B$3:$B$32,$C109)</f>
        <v>0.35</v>
      </c>
      <c r="O109" s="19">
        <f t="shared" si="12"/>
        <v>75738.295419150003</v>
      </c>
      <c r="P109" s="99">
        <f t="shared" si="13"/>
        <v>78417.473216290004</v>
      </c>
    </row>
    <row r="110" spans="1:16" x14ac:dyDescent="0.35">
      <c r="A110" s="96" t="str">
        <f>LEFT('2025 actual v budget'!A110,4)&amp;"26"</f>
        <v>Apr-26</v>
      </c>
      <c r="B110" s="17" t="str">
        <f>'2025 actual v budget'!B110</f>
        <v>Mexico</v>
      </c>
      <c r="C110" s="17" t="str">
        <f>'2025 actual v budget'!C110</f>
        <v>Stablecoin Settlement</v>
      </c>
      <c r="D110" s="19">
        <f>'2025 actual v budget'!D110</f>
        <v>23816539.920000002</v>
      </c>
      <c r="E110" s="97">
        <f>SUMIFS('Assumption-Best'!$C$3:$C$32,'Assumption-Best'!$A$3:$A$32,$B110,'Assumption-Best'!$B$3:$B$32,$C110)</f>
        <v>0.6</v>
      </c>
      <c r="F110" s="19">
        <f t="shared" si="7"/>
        <v>38106463.872000001</v>
      </c>
      <c r="G110" s="98">
        <f>SUMIFS('Assumption-Best'!$D$3:$D$32,'Assumption-Best'!$A$3:$A$32,$B110,'Assumption-Best'!$B$3:$B$32,$C110)</f>
        <v>6.4999999999999997E-3</v>
      </c>
      <c r="H110" s="99">
        <f t="shared" si="8"/>
        <v>247692.01516799998</v>
      </c>
      <c r="I110" s="97">
        <f>SUMIFS('Assumption-Best'!$E$3:$E$32,'Assumption-Best'!$A$3:$A$32,$B110,'Assumption-Best'!$B$3:$B$32,$C110)</f>
        <v>0.32</v>
      </c>
      <c r="J110" s="19">
        <f t="shared" si="9"/>
        <v>79261.444853759996</v>
      </c>
      <c r="K110" s="100">
        <f>SUMIFS('Assumption-Best'!$F$3:$F$32,'Assumption-Best'!$A$3:$A$32,$B110,'Assumption-Best'!$B$3:$B$32,$C110)</f>
        <v>8.0000000000000007E-5</v>
      </c>
      <c r="L110" s="19">
        <f t="shared" si="10"/>
        <v>3048.5171097600005</v>
      </c>
      <c r="M110" s="99">
        <f t="shared" si="11"/>
        <v>165382.05320448001</v>
      </c>
      <c r="N110" s="97">
        <f>SUMIFS('Assumption-Best'!$G$3:$G$32,'Assumption-Best'!$A$3:$A$32,$B110,'Assumption-Best'!$B$3:$B$32,$C110)</f>
        <v>0.35</v>
      </c>
      <c r="O110" s="19">
        <f t="shared" si="12"/>
        <v>86692.205308799996</v>
      </c>
      <c r="P110" s="99">
        <f t="shared" si="13"/>
        <v>78689.84789568001</v>
      </c>
    </row>
    <row r="111" spans="1:16" x14ac:dyDescent="0.35">
      <c r="A111" s="96" t="str">
        <f>LEFT('2025 actual v budget'!A111,4)&amp;"26"</f>
        <v>Apr-26</v>
      </c>
      <c r="B111" s="17" t="str">
        <f>'2025 actual v budget'!B111</f>
        <v>Mexico</v>
      </c>
      <c r="C111" s="17" t="str">
        <f>'2025 actual v budget'!C111</f>
        <v>Treasury Yield</v>
      </c>
      <c r="D111" s="19">
        <f>'2025 actual v budget'!D111</f>
        <v>6515977.7699999996</v>
      </c>
      <c r="E111" s="97">
        <f>SUMIFS('Assumption-Best'!$C$3:$C$32,'Assumption-Best'!$A$3:$A$32,$B111,'Assumption-Best'!$B$3:$B$32,$C111)</f>
        <v>0.3</v>
      </c>
      <c r="F111" s="19">
        <f t="shared" si="7"/>
        <v>8470771.1009999998</v>
      </c>
      <c r="G111" s="98">
        <f>SUMIFS('Assumption-Best'!$D$3:$D$32,'Assumption-Best'!$A$3:$A$32,$B111,'Assumption-Best'!$B$3:$B$32,$C111)</f>
        <v>3.0000000000000001E-3</v>
      </c>
      <c r="H111" s="99">
        <f t="shared" si="8"/>
        <v>25412.313302999999</v>
      </c>
      <c r="I111" s="97">
        <f>SUMIFS('Assumption-Best'!$E$3:$E$32,'Assumption-Best'!$A$3:$A$32,$B111,'Assumption-Best'!$B$3:$B$32,$C111)</f>
        <v>0.18</v>
      </c>
      <c r="J111" s="19">
        <f t="shared" si="9"/>
        <v>4574.2163945399998</v>
      </c>
      <c r="K111" s="100">
        <f>SUMIFS('Assumption-Best'!$F$3:$F$32,'Assumption-Best'!$A$3:$A$32,$B111,'Assumption-Best'!$B$3:$B$32,$C111)</f>
        <v>8.0000000000000007E-5</v>
      </c>
      <c r="L111" s="19">
        <f t="shared" si="10"/>
        <v>677.66168808000009</v>
      </c>
      <c r="M111" s="99">
        <f t="shared" si="11"/>
        <v>20160.435220380001</v>
      </c>
      <c r="N111" s="97">
        <f>SUMIFS('Assumption-Best'!$G$3:$G$32,'Assumption-Best'!$A$3:$A$32,$B111,'Assumption-Best'!$B$3:$B$32,$C111)</f>
        <v>0.35</v>
      </c>
      <c r="O111" s="19">
        <f t="shared" si="12"/>
        <v>8894.3096560499998</v>
      </c>
      <c r="P111" s="99">
        <f t="shared" si="13"/>
        <v>11266.125564330001</v>
      </c>
    </row>
    <row r="112" spans="1:16" x14ac:dyDescent="0.35">
      <c r="A112" s="96" t="str">
        <f>LEFT('2025 actual v budget'!A112,4)&amp;"26"</f>
        <v>Apr-26</v>
      </c>
      <c r="B112" s="17" t="str">
        <f>'2025 actual v budget'!B112</f>
        <v>Mexico</v>
      </c>
      <c r="C112" s="17" t="str">
        <f>'2025 actual v budget'!C112</f>
        <v>Virtual Accounts</v>
      </c>
      <c r="D112" s="19">
        <f>'2025 actual v budget'!D112</f>
        <v>9995456.6899999995</v>
      </c>
      <c r="E112" s="97">
        <f>SUMIFS('Assumption-Best'!$C$3:$C$32,'Assumption-Best'!$A$3:$A$32,$B112,'Assumption-Best'!$B$3:$B$32,$C112)</f>
        <v>0.3</v>
      </c>
      <c r="F112" s="19">
        <f t="shared" si="7"/>
        <v>12994093.697000001</v>
      </c>
      <c r="G112" s="98">
        <f>SUMIFS('Assumption-Best'!$D$3:$D$32,'Assumption-Best'!$A$3:$A$32,$B112,'Assumption-Best'!$B$3:$B$32,$C112)</f>
        <v>4.4999999999999997E-3</v>
      </c>
      <c r="H112" s="99">
        <f t="shared" si="8"/>
        <v>58473.421636499996</v>
      </c>
      <c r="I112" s="97">
        <f>SUMIFS('Assumption-Best'!$E$3:$E$32,'Assumption-Best'!$A$3:$A$32,$B112,'Assumption-Best'!$B$3:$B$32,$C112)</f>
        <v>0.22</v>
      </c>
      <c r="J112" s="19">
        <f t="shared" si="9"/>
        <v>12864.15276003</v>
      </c>
      <c r="K112" s="100">
        <f>SUMIFS('Assumption-Best'!$F$3:$F$32,'Assumption-Best'!$A$3:$A$32,$B112,'Assumption-Best'!$B$3:$B$32,$C112)</f>
        <v>8.0000000000000007E-5</v>
      </c>
      <c r="L112" s="19">
        <f t="shared" si="10"/>
        <v>1039.5274957600002</v>
      </c>
      <c r="M112" s="99">
        <f t="shared" si="11"/>
        <v>44569.741380710002</v>
      </c>
      <c r="N112" s="97">
        <f>SUMIFS('Assumption-Best'!$G$3:$G$32,'Assumption-Best'!$A$3:$A$32,$B112,'Assumption-Best'!$B$3:$B$32,$C112)</f>
        <v>0.35</v>
      </c>
      <c r="O112" s="19">
        <f t="shared" si="12"/>
        <v>20465.697572774996</v>
      </c>
      <c r="P112" s="99">
        <f t="shared" si="13"/>
        <v>24104.043807935006</v>
      </c>
    </row>
    <row r="113" spans="1:16" x14ac:dyDescent="0.35">
      <c r="A113" s="96" t="str">
        <f>LEFT('2025 actual v budget'!A113,4)&amp;"26"</f>
        <v>Apr-26</v>
      </c>
      <c r="B113" s="17" t="str">
        <f>'2025 actual v budget'!B113</f>
        <v>Singapore</v>
      </c>
      <c r="C113" s="17" t="str">
        <f>'2025 actual v budget'!C113</f>
        <v>Cross-border Payouts</v>
      </c>
      <c r="D113" s="19">
        <f>'2025 actual v budget'!D113</f>
        <v>8311449.8499999996</v>
      </c>
      <c r="E113" s="97">
        <f>SUMIFS('Assumption-Best'!$C$3:$C$32,'Assumption-Best'!$A$3:$A$32,$B113,'Assumption-Best'!$B$3:$B$32,$C113)</f>
        <v>0.1</v>
      </c>
      <c r="F113" s="19">
        <f t="shared" si="7"/>
        <v>9142594.8350000009</v>
      </c>
      <c r="G113" s="98">
        <f>SUMIFS('Assumption-Best'!$D$3:$D$32,'Assumption-Best'!$A$3:$A$32,$B113,'Assumption-Best'!$B$3:$B$32,$C113)</f>
        <v>7.4999999999999997E-3</v>
      </c>
      <c r="H113" s="99">
        <f t="shared" si="8"/>
        <v>68569.461262500001</v>
      </c>
      <c r="I113" s="97">
        <f>SUMIFS('Assumption-Best'!$E$3:$E$32,'Assumption-Best'!$A$3:$A$32,$B113,'Assumption-Best'!$B$3:$B$32,$C113)</f>
        <v>0.35</v>
      </c>
      <c r="J113" s="19">
        <f t="shared" si="9"/>
        <v>23999.311441874997</v>
      </c>
      <c r="K113" s="100">
        <f>SUMIFS('Assumption-Best'!$F$3:$F$32,'Assumption-Best'!$A$3:$A$32,$B113,'Assumption-Best'!$B$3:$B$32,$C113)</f>
        <v>9.0000000000000006E-5</v>
      </c>
      <c r="L113" s="19">
        <f t="shared" si="10"/>
        <v>822.8335351500001</v>
      </c>
      <c r="M113" s="99">
        <f t="shared" si="11"/>
        <v>43747.316285475004</v>
      </c>
      <c r="N113" s="97">
        <f>SUMIFS('Assumption-Best'!$G$3:$G$32,'Assumption-Best'!$A$3:$A$32,$B113,'Assumption-Best'!$B$3:$B$32,$C113)</f>
        <v>0.35</v>
      </c>
      <c r="O113" s="19">
        <f t="shared" si="12"/>
        <v>23999.311441874997</v>
      </c>
      <c r="P113" s="99">
        <f t="shared" si="13"/>
        <v>19748.004843600007</v>
      </c>
    </row>
    <row r="114" spans="1:16" x14ac:dyDescent="0.35">
      <c r="A114" s="96" t="str">
        <f>LEFT('2025 actual v budget'!A114,4)&amp;"26"</f>
        <v>Apr-26</v>
      </c>
      <c r="B114" s="17" t="str">
        <f>'2025 actual v budget'!B114</f>
        <v>Singapore</v>
      </c>
      <c r="C114" s="17" t="str">
        <f>'2025 actual v budget'!C114</f>
        <v>FX Conversion</v>
      </c>
      <c r="D114" s="19">
        <f>'2025 actual v budget'!D114</f>
        <v>13259051.35</v>
      </c>
      <c r="E114" s="97">
        <f>SUMIFS('Assumption-Best'!$C$3:$C$32,'Assumption-Best'!$A$3:$A$32,$B114,'Assumption-Best'!$B$3:$B$32,$C114)</f>
        <v>0.1</v>
      </c>
      <c r="F114" s="19">
        <f t="shared" si="7"/>
        <v>14584956.485000001</v>
      </c>
      <c r="G114" s="98">
        <f>SUMIFS('Assumption-Best'!$D$3:$D$32,'Assumption-Best'!$A$3:$A$32,$B114,'Assumption-Best'!$B$3:$B$32,$C114)</f>
        <v>1.0500000000000001E-2</v>
      </c>
      <c r="H114" s="99">
        <f t="shared" si="8"/>
        <v>153142.04309250001</v>
      </c>
      <c r="I114" s="97">
        <f>SUMIFS('Assumption-Best'!$E$3:$E$32,'Assumption-Best'!$A$3:$A$32,$B114,'Assumption-Best'!$B$3:$B$32,$C114)</f>
        <v>0.28000000000000003</v>
      </c>
      <c r="J114" s="19">
        <f t="shared" si="9"/>
        <v>42879.772065900004</v>
      </c>
      <c r="K114" s="100">
        <f>SUMIFS('Assumption-Best'!$F$3:$F$32,'Assumption-Best'!$A$3:$A$32,$B114,'Assumption-Best'!$B$3:$B$32,$C114)</f>
        <v>9.0000000000000006E-5</v>
      </c>
      <c r="L114" s="19">
        <f t="shared" si="10"/>
        <v>1312.6460836500003</v>
      </c>
      <c r="M114" s="99">
        <f t="shared" si="11"/>
        <v>108949.62494295</v>
      </c>
      <c r="N114" s="97">
        <f>SUMIFS('Assumption-Best'!$G$3:$G$32,'Assumption-Best'!$A$3:$A$32,$B114,'Assumption-Best'!$B$3:$B$32,$C114)</f>
        <v>0.35</v>
      </c>
      <c r="O114" s="19">
        <f t="shared" si="12"/>
        <v>53599.715082374998</v>
      </c>
      <c r="P114" s="99">
        <f t="shared" si="13"/>
        <v>55349.909860575004</v>
      </c>
    </row>
    <row r="115" spans="1:16" x14ac:dyDescent="0.35">
      <c r="A115" s="96" t="str">
        <f>LEFT('2025 actual v budget'!A115,4)&amp;"26"</f>
        <v>Apr-26</v>
      </c>
      <c r="B115" s="17" t="str">
        <f>'2025 actual v budget'!B115</f>
        <v>Singapore</v>
      </c>
      <c r="C115" s="17" t="str">
        <f>'2025 actual v budget'!C115</f>
        <v>Stablecoin Settlement</v>
      </c>
      <c r="D115" s="19">
        <f>'2025 actual v budget'!D115</f>
        <v>19923391.120000001</v>
      </c>
      <c r="E115" s="97">
        <f>SUMIFS('Assumption-Best'!$C$3:$C$32,'Assumption-Best'!$A$3:$A$32,$B115,'Assumption-Best'!$B$3:$B$32,$C115)</f>
        <v>0.2</v>
      </c>
      <c r="F115" s="19">
        <f t="shared" si="7"/>
        <v>23908069.344000001</v>
      </c>
      <c r="G115" s="98">
        <f>SUMIFS('Assumption-Best'!$D$3:$D$32,'Assumption-Best'!$A$3:$A$32,$B115,'Assumption-Best'!$B$3:$B$32,$C115)</f>
        <v>6.4999999999999997E-3</v>
      </c>
      <c r="H115" s="99">
        <f t="shared" si="8"/>
        <v>155402.450736</v>
      </c>
      <c r="I115" s="97">
        <f>SUMIFS('Assumption-Best'!$E$3:$E$32,'Assumption-Best'!$A$3:$A$32,$B115,'Assumption-Best'!$B$3:$B$32,$C115)</f>
        <v>0.32</v>
      </c>
      <c r="J115" s="19">
        <f t="shared" si="9"/>
        <v>49728.784235519997</v>
      </c>
      <c r="K115" s="100">
        <f>SUMIFS('Assumption-Best'!$F$3:$F$32,'Assumption-Best'!$A$3:$A$32,$B115,'Assumption-Best'!$B$3:$B$32,$C115)</f>
        <v>9.0000000000000006E-5</v>
      </c>
      <c r="L115" s="19">
        <f t="shared" si="10"/>
        <v>2151.7262409600003</v>
      </c>
      <c r="M115" s="99">
        <f t="shared" si="11"/>
        <v>103521.94025952001</v>
      </c>
      <c r="N115" s="97">
        <f>SUMIFS('Assumption-Best'!$G$3:$G$32,'Assumption-Best'!$A$3:$A$32,$B115,'Assumption-Best'!$B$3:$B$32,$C115)</f>
        <v>0.35</v>
      </c>
      <c r="O115" s="19">
        <f t="shared" si="12"/>
        <v>54390.857757599995</v>
      </c>
      <c r="P115" s="99">
        <f t="shared" si="13"/>
        <v>49131.082501920013</v>
      </c>
    </row>
    <row r="116" spans="1:16" x14ac:dyDescent="0.35">
      <c r="A116" s="96" t="str">
        <f>LEFT('2025 actual v budget'!A116,4)&amp;"26"</f>
        <v>Apr-26</v>
      </c>
      <c r="B116" s="17" t="str">
        <f>'2025 actual v budget'!B116</f>
        <v>Singapore</v>
      </c>
      <c r="C116" s="17" t="str">
        <f>'2025 actual v budget'!C116</f>
        <v>Treasury Yield</v>
      </c>
      <c r="D116" s="19">
        <f>'2025 actual v budget'!D116</f>
        <v>5449757.9699999997</v>
      </c>
      <c r="E116" s="97">
        <f>SUMIFS('Assumption-Best'!$C$3:$C$32,'Assumption-Best'!$A$3:$A$32,$B116,'Assumption-Best'!$B$3:$B$32,$C116)</f>
        <v>0.1</v>
      </c>
      <c r="F116" s="19">
        <f t="shared" si="7"/>
        <v>5994733.767</v>
      </c>
      <c r="G116" s="98">
        <f>SUMIFS('Assumption-Best'!$D$3:$D$32,'Assumption-Best'!$A$3:$A$32,$B116,'Assumption-Best'!$B$3:$B$32,$C116)</f>
        <v>3.0000000000000001E-3</v>
      </c>
      <c r="H116" s="99">
        <f t="shared" si="8"/>
        <v>17984.201301000001</v>
      </c>
      <c r="I116" s="97">
        <f>SUMIFS('Assumption-Best'!$E$3:$E$32,'Assumption-Best'!$A$3:$A$32,$B116,'Assumption-Best'!$B$3:$B$32,$C116)</f>
        <v>0.18</v>
      </c>
      <c r="J116" s="19">
        <f t="shared" si="9"/>
        <v>3237.15623418</v>
      </c>
      <c r="K116" s="100">
        <f>SUMIFS('Assumption-Best'!$F$3:$F$32,'Assumption-Best'!$A$3:$A$32,$B116,'Assumption-Best'!$B$3:$B$32,$C116)</f>
        <v>9.0000000000000006E-5</v>
      </c>
      <c r="L116" s="19">
        <f t="shared" si="10"/>
        <v>539.52603902999999</v>
      </c>
      <c r="M116" s="99">
        <f t="shared" si="11"/>
        <v>14207.51902779</v>
      </c>
      <c r="N116" s="97">
        <f>SUMIFS('Assumption-Best'!$G$3:$G$32,'Assumption-Best'!$A$3:$A$32,$B116,'Assumption-Best'!$B$3:$B$32,$C116)</f>
        <v>0.35</v>
      </c>
      <c r="O116" s="19">
        <f t="shared" si="12"/>
        <v>6294.4704553499996</v>
      </c>
      <c r="P116" s="99">
        <f t="shared" si="13"/>
        <v>7913.0485724400005</v>
      </c>
    </row>
    <row r="117" spans="1:16" x14ac:dyDescent="0.35">
      <c r="A117" s="96" t="str">
        <f>LEFT('2025 actual v budget'!A117,4)&amp;"26"</f>
        <v>Apr-26</v>
      </c>
      <c r="B117" s="17" t="str">
        <f>'2025 actual v budget'!B117</f>
        <v>Singapore</v>
      </c>
      <c r="C117" s="17" t="str">
        <f>'2025 actual v budget'!C117</f>
        <v>Virtual Accounts</v>
      </c>
      <c r="D117" s="19">
        <f>'2025 actual v budget'!D117</f>
        <v>8359884.2300000004</v>
      </c>
      <c r="E117" s="97">
        <f>SUMIFS('Assumption-Best'!$C$3:$C$32,'Assumption-Best'!$A$3:$A$32,$B117,'Assumption-Best'!$B$3:$B$32,$C117)</f>
        <v>0.1</v>
      </c>
      <c r="F117" s="19">
        <f t="shared" si="7"/>
        <v>9195872.6530000009</v>
      </c>
      <c r="G117" s="98">
        <f>SUMIFS('Assumption-Best'!$D$3:$D$32,'Assumption-Best'!$A$3:$A$32,$B117,'Assumption-Best'!$B$3:$B$32,$C117)</f>
        <v>4.4999999999999997E-3</v>
      </c>
      <c r="H117" s="99">
        <f t="shared" si="8"/>
        <v>41381.426938500001</v>
      </c>
      <c r="I117" s="97">
        <f>SUMIFS('Assumption-Best'!$E$3:$E$32,'Assumption-Best'!$A$3:$A$32,$B117,'Assumption-Best'!$B$3:$B$32,$C117)</f>
        <v>0.22</v>
      </c>
      <c r="J117" s="19">
        <f t="shared" si="9"/>
        <v>9103.9139264700007</v>
      </c>
      <c r="K117" s="100">
        <f>SUMIFS('Assumption-Best'!$F$3:$F$32,'Assumption-Best'!$A$3:$A$32,$B117,'Assumption-Best'!$B$3:$B$32,$C117)</f>
        <v>9.0000000000000006E-5</v>
      </c>
      <c r="L117" s="19">
        <f t="shared" si="10"/>
        <v>827.62853877000009</v>
      </c>
      <c r="M117" s="99">
        <f t="shared" si="11"/>
        <v>31449.884473260001</v>
      </c>
      <c r="N117" s="97">
        <f>SUMIFS('Assumption-Best'!$G$3:$G$32,'Assumption-Best'!$A$3:$A$32,$B117,'Assumption-Best'!$B$3:$B$32,$C117)</f>
        <v>0.35</v>
      </c>
      <c r="O117" s="19">
        <f t="shared" si="12"/>
        <v>14483.499428474999</v>
      </c>
      <c r="P117" s="99">
        <f t="shared" si="13"/>
        <v>16966.385044785002</v>
      </c>
    </row>
    <row r="118" spans="1:16" x14ac:dyDescent="0.35">
      <c r="A118" s="96" t="str">
        <f>LEFT('2025 actual v budget'!A118,4)&amp;"26"</f>
        <v>Apr-26</v>
      </c>
      <c r="B118" s="17" t="str">
        <f>'2025 actual v budget'!B118</f>
        <v>USA</v>
      </c>
      <c r="C118" s="17" t="str">
        <f>'2025 actual v budget'!C118</f>
        <v>Cross-border Payouts</v>
      </c>
      <c r="D118" s="19">
        <f>'2025 actual v budget'!D118</f>
        <v>20484591.879999999</v>
      </c>
      <c r="E118" s="97">
        <f>SUMIFS('Assumption-Best'!$C$3:$C$32,'Assumption-Best'!$A$3:$A$32,$B118,'Assumption-Best'!$B$3:$B$32,$C118)</f>
        <v>0.2</v>
      </c>
      <c r="F118" s="19">
        <f t="shared" si="7"/>
        <v>24581510.255999997</v>
      </c>
      <c r="G118" s="98">
        <f>SUMIFS('Assumption-Best'!$D$3:$D$32,'Assumption-Best'!$A$3:$A$32,$B118,'Assumption-Best'!$B$3:$B$32,$C118)</f>
        <v>7.4999999999999997E-3</v>
      </c>
      <c r="H118" s="99">
        <f t="shared" si="8"/>
        <v>184361.32691999996</v>
      </c>
      <c r="I118" s="97">
        <f>SUMIFS('Assumption-Best'!$E$3:$E$32,'Assumption-Best'!$A$3:$A$32,$B118,'Assumption-Best'!$B$3:$B$32,$C118)</f>
        <v>0.35</v>
      </c>
      <c r="J118" s="19">
        <f t="shared" si="9"/>
        <v>64526.464421999983</v>
      </c>
      <c r="K118" s="100">
        <f>SUMIFS('Assumption-Best'!$F$3:$F$32,'Assumption-Best'!$A$3:$A$32,$B118,'Assumption-Best'!$B$3:$B$32,$C118)</f>
        <v>2.0000000000000001E-4</v>
      </c>
      <c r="L118" s="19">
        <f t="shared" si="10"/>
        <v>4916.3020511999994</v>
      </c>
      <c r="M118" s="99">
        <f t="shared" si="11"/>
        <v>114918.56044679998</v>
      </c>
      <c r="N118" s="97">
        <f>SUMIFS('Assumption-Best'!$G$3:$G$32,'Assumption-Best'!$A$3:$A$32,$B118,'Assumption-Best'!$B$3:$B$32,$C118)</f>
        <v>0.35</v>
      </c>
      <c r="O118" s="19">
        <f t="shared" si="12"/>
        <v>64526.464421999983</v>
      </c>
      <c r="P118" s="99">
        <f t="shared" si="13"/>
        <v>50392.096024799997</v>
      </c>
    </row>
    <row r="119" spans="1:16" x14ac:dyDescent="0.35">
      <c r="A119" s="96" t="str">
        <f>LEFT('2025 actual v budget'!A119,4)&amp;"26"</f>
        <v>Apr-26</v>
      </c>
      <c r="B119" s="17" t="str">
        <f>'2025 actual v budget'!B119</f>
        <v>USA</v>
      </c>
      <c r="C119" s="17" t="str">
        <f>'2025 actual v budget'!C119</f>
        <v>FX Conversion</v>
      </c>
      <c r="D119" s="19">
        <f>'2025 actual v budget'!D119</f>
        <v>32676342.18</v>
      </c>
      <c r="E119" s="97">
        <f>SUMIFS('Assumption-Best'!$C$3:$C$32,'Assumption-Best'!$A$3:$A$32,$B119,'Assumption-Best'!$B$3:$B$32,$C119)</f>
        <v>0.2</v>
      </c>
      <c r="F119" s="19">
        <f t="shared" si="7"/>
        <v>39211610.615999997</v>
      </c>
      <c r="G119" s="98">
        <f>SUMIFS('Assumption-Best'!$D$3:$D$32,'Assumption-Best'!$A$3:$A$32,$B119,'Assumption-Best'!$B$3:$B$32,$C119)</f>
        <v>1.0500000000000001E-2</v>
      </c>
      <c r="H119" s="99">
        <f t="shared" si="8"/>
        <v>411721.91146799998</v>
      </c>
      <c r="I119" s="97">
        <f>SUMIFS('Assumption-Best'!$E$3:$E$32,'Assumption-Best'!$A$3:$A$32,$B119,'Assumption-Best'!$B$3:$B$32,$C119)</f>
        <v>0.28000000000000003</v>
      </c>
      <c r="J119" s="19">
        <f t="shared" si="9"/>
        <v>115282.13521104</v>
      </c>
      <c r="K119" s="100">
        <f>SUMIFS('Assumption-Best'!$F$3:$F$32,'Assumption-Best'!$A$3:$A$32,$B119,'Assumption-Best'!$B$3:$B$32,$C119)</f>
        <v>2.0000000000000001E-4</v>
      </c>
      <c r="L119" s="19">
        <f t="shared" si="10"/>
        <v>7842.3221231999996</v>
      </c>
      <c r="M119" s="99">
        <f t="shared" si="11"/>
        <v>288597.45413376001</v>
      </c>
      <c r="N119" s="97">
        <f>SUMIFS('Assumption-Best'!$G$3:$G$32,'Assumption-Best'!$A$3:$A$32,$B119,'Assumption-Best'!$B$3:$B$32,$C119)</f>
        <v>0.35</v>
      </c>
      <c r="O119" s="19">
        <f t="shared" si="12"/>
        <v>144102.66901379998</v>
      </c>
      <c r="P119" s="99">
        <f t="shared" si="13"/>
        <v>144494.78511996003</v>
      </c>
    </row>
    <row r="120" spans="1:16" x14ac:dyDescent="0.35">
      <c r="A120" s="96" t="str">
        <f>LEFT('2025 actual v budget'!A120,4)&amp;"26"</f>
        <v>Apr-26</v>
      </c>
      <c r="B120" s="17" t="str">
        <f>'2025 actual v budget'!B120</f>
        <v>USA</v>
      </c>
      <c r="C120" s="17" t="str">
        <f>'2025 actual v budget'!C120</f>
        <v>Stablecoin Settlement</v>
      </c>
      <c r="D120" s="19">
        <f>'2025 actual v budget'!D120</f>
        <v>49103651.390000001</v>
      </c>
      <c r="E120" s="97">
        <f>SUMIFS('Assumption-Best'!$C$3:$C$32,'Assumption-Best'!$A$3:$A$32,$B120,'Assumption-Best'!$B$3:$B$32,$C120)</f>
        <v>0.4</v>
      </c>
      <c r="F120" s="19">
        <f t="shared" si="7"/>
        <v>68745111.945999995</v>
      </c>
      <c r="G120" s="98">
        <f>SUMIFS('Assumption-Best'!$D$3:$D$32,'Assumption-Best'!$A$3:$A$32,$B120,'Assumption-Best'!$B$3:$B$32,$C120)</f>
        <v>6.4999999999999997E-3</v>
      </c>
      <c r="H120" s="99">
        <f t="shared" si="8"/>
        <v>446843.22764899995</v>
      </c>
      <c r="I120" s="97">
        <f>SUMIFS('Assumption-Best'!$E$3:$E$32,'Assumption-Best'!$A$3:$A$32,$B120,'Assumption-Best'!$B$3:$B$32,$C120)</f>
        <v>0.32</v>
      </c>
      <c r="J120" s="19">
        <f t="shared" si="9"/>
        <v>142989.83284767999</v>
      </c>
      <c r="K120" s="100">
        <f>SUMIFS('Assumption-Best'!$F$3:$F$32,'Assumption-Best'!$A$3:$A$32,$B120,'Assumption-Best'!$B$3:$B$32,$C120)</f>
        <v>2.0000000000000001E-4</v>
      </c>
      <c r="L120" s="19">
        <f t="shared" si="10"/>
        <v>13749.022389199999</v>
      </c>
      <c r="M120" s="99">
        <f t="shared" si="11"/>
        <v>290104.37241211993</v>
      </c>
      <c r="N120" s="97">
        <f>SUMIFS('Assumption-Best'!$G$3:$G$32,'Assumption-Best'!$A$3:$A$32,$B120,'Assumption-Best'!$B$3:$B$32,$C120)</f>
        <v>0.35</v>
      </c>
      <c r="O120" s="19">
        <f t="shared" si="12"/>
        <v>156395.12967714996</v>
      </c>
      <c r="P120" s="99">
        <f t="shared" si="13"/>
        <v>133709.24273496997</v>
      </c>
    </row>
    <row r="121" spans="1:16" x14ac:dyDescent="0.35">
      <c r="A121" s="96" t="str">
        <f>LEFT('2025 actual v budget'!A121,4)&amp;"26"</f>
        <v>Apr-26</v>
      </c>
      <c r="B121" s="17" t="str">
        <f>'2025 actual v budget'!B121</f>
        <v>USA</v>
      </c>
      <c r="C121" s="17" t="str">
        <f>'2025 actual v budget'!C121</f>
        <v>Treasury Yield</v>
      </c>
      <c r="D121" s="19">
        <f>'2025 actual v budget'!D121</f>
        <v>13430686.08</v>
      </c>
      <c r="E121" s="97">
        <f>SUMIFS('Assumption-Best'!$C$3:$C$32,'Assumption-Best'!$A$3:$A$32,$B121,'Assumption-Best'!$B$3:$B$32,$C121)</f>
        <v>0.2</v>
      </c>
      <c r="F121" s="19">
        <f t="shared" si="7"/>
        <v>16116823.296</v>
      </c>
      <c r="G121" s="98">
        <f>SUMIFS('Assumption-Best'!$D$3:$D$32,'Assumption-Best'!$A$3:$A$32,$B121,'Assumption-Best'!$B$3:$B$32,$C121)</f>
        <v>3.0000000000000001E-3</v>
      </c>
      <c r="H121" s="99">
        <f t="shared" si="8"/>
        <v>48350.469888</v>
      </c>
      <c r="I121" s="97">
        <f>SUMIFS('Assumption-Best'!$E$3:$E$32,'Assumption-Best'!$A$3:$A$32,$B121,'Assumption-Best'!$B$3:$B$32,$C121)</f>
        <v>0.18</v>
      </c>
      <c r="J121" s="19">
        <f t="shared" si="9"/>
        <v>8703.0845798400005</v>
      </c>
      <c r="K121" s="100">
        <f>SUMIFS('Assumption-Best'!$F$3:$F$32,'Assumption-Best'!$A$3:$A$32,$B121,'Assumption-Best'!$B$3:$B$32,$C121)</f>
        <v>2.0000000000000001E-4</v>
      </c>
      <c r="L121" s="19">
        <f t="shared" si="10"/>
        <v>3223.3646592</v>
      </c>
      <c r="M121" s="99">
        <f t="shared" si="11"/>
        <v>36424.020648959995</v>
      </c>
      <c r="N121" s="97">
        <f>SUMIFS('Assumption-Best'!$G$3:$G$32,'Assumption-Best'!$A$3:$A$32,$B121,'Assumption-Best'!$B$3:$B$32,$C121)</f>
        <v>0.35</v>
      </c>
      <c r="O121" s="19">
        <f t="shared" si="12"/>
        <v>16922.664460799999</v>
      </c>
      <c r="P121" s="99">
        <f t="shared" si="13"/>
        <v>19501.356188159996</v>
      </c>
    </row>
    <row r="122" spans="1:16" x14ac:dyDescent="0.35">
      <c r="A122" s="96" t="str">
        <f>LEFT('2025 actual v budget'!A122,4)&amp;"26"</f>
        <v>Apr-26</v>
      </c>
      <c r="B122" s="17" t="str">
        <f>'2025 actual v budget'!B122</f>
        <v>USA</v>
      </c>
      <c r="C122" s="17" t="str">
        <f>'2025 actual v budget'!C122</f>
        <v>Virtual Accounts</v>
      </c>
      <c r="D122" s="19">
        <f>'2025 actual v budget'!D122</f>
        <v>20602562.780000001</v>
      </c>
      <c r="E122" s="97">
        <f>SUMIFS('Assumption-Best'!$C$3:$C$32,'Assumption-Best'!$A$3:$A$32,$B122,'Assumption-Best'!$B$3:$B$32,$C122)</f>
        <v>0.2</v>
      </c>
      <c r="F122" s="19">
        <f t="shared" si="7"/>
        <v>24723075.335999999</v>
      </c>
      <c r="G122" s="98">
        <f>SUMIFS('Assumption-Best'!$D$3:$D$32,'Assumption-Best'!$A$3:$A$32,$B122,'Assumption-Best'!$B$3:$B$32,$C122)</f>
        <v>4.4999999999999997E-3</v>
      </c>
      <c r="H122" s="99">
        <f t="shared" si="8"/>
        <v>111253.83901199998</v>
      </c>
      <c r="I122" s="97">
        <f>SUMIFS('Assumption-Best'!$E$3:$E$32,'Assumption-Best'!$A$3:$A$32,$B122,'Assumption-Best'!$B$3:$B$32,$C122)</f>
        <v>0.22</v>
      </c>
      <c r="J122" s="19">
        <f t="shared" si="9"/>
        <v>24475.844582639995</v>
      </c>
      <c r="K122" s="100">
        <f>SUMIFS('Assumption-Best'!$F$3:$F$32,'Assumption-Best'!$A$3:$A$32,$B122,'Assumption-Best'!$B$3:$B$32,$C122)</f>
        <v>2.0000000000000001E-4</v>
      </c>
      <c r="L122" s="19">
        <f t="shared" si="10"/>
        <v>4944.6150672000003</v>
      </c>
      <c r="M122" s="99">
        <f t="shared" si="11"/>
        <v>81833.379362159991</v>
      </c>
      <c r="N122" s="97">
        <f>SUMIFS('Assumption-Best'!$G$3:$G$32,'Assumption-Best'!$A$3:$A$32,$B122,'Assumption-Best'!$B$3:$B$32,$C122)</f>
        <v>0.35</v>
      </c>
      <c r="O122" s="19">
        <f t="shared" si="12"/>
        <v>38938.843654199991</v>
      </c>
      <c r="P122" s="99">
        <f t="shared" si="13"/>
        <v>42894.53570796</v>
      </c>
    </row>
    <row r="123" spans="1:16" x14ac:dyDescent="0.35">
      <c r="A123" s="91" t="str">
        <f>LEFT('2025 actual v budget'!A123,4)&amp;"26"</f>
        <v>May-26</v>
      </c>
      <c r="B123" s="12" t="str">
        <f>'2025 actual v budget'!B123</f>
        <v>Brazil</v>
      </c>
      <c r="C123" s="12" t="str">
        <f>'2025 actual v budget'!C123</f>
        <v>Cross-border Payouts</v>
      </c>
      <c r="D123" s="14">
        <f>'2025 actual v budget'!D123</f>
        <v>13263247.5</v>
      </c>
      <c r="E123" s="92">
        <f>SUMIFS('Assumption-Best'!$C$3:$C$32,'Assumption-Best'!$A$3:$A$32,$B123,'Assumption-Best'!$B$3:$B$32,$C123)</f>
        <v>0.4</v>
      </c>
      <c r="F123" s="14">
        <f t="shared" si="7"/>
        <v>18568546.5</v>
      </c>
      <c r="G123" s="93">
        <f>SUMIFS('Assumption-Best'!$D$3:$D$32,'Assumption-Best'!$A$3:$A$32,$B123,'Assumption-Best'!$B$3:$B$32,$C123)</f>
        <v>7.4999999999999997E-3</v>
      </c>
      <c r="H123" s="94">
        <f t="shared" si="8"/>
        <v>139264.09875</v>
      </c>
      <c r="I123" s="92">
        <f>SUMIFS('Assumption-Best'!$E$3:$E$32,'Assumption-Best'!$A$3:$A$32,$B123,'Assumption-Best'!$B$3:$B$32,$C123)</f>
        <v>0.35</v>
      </c>
      <c r="J123" s="14">
        <f t="shared" si="9"/>
        <v>48742.434562499999</v>
      </c>
      <c r="K123" s="95">
        <f>SUMIFS('Assumption-Best'!$F$3:$F$32,'Assumption-Best'!$A$3:$A$32,$B123,'Assumption-Best'!$B$3:$B$32,$C123)</f>
        <v>6.9999999999999994E-5</v>
      </c>
      <c r="L123" s="14">
        <f t="shared" si="10"/>
        <v>1299.7982549999999</v>
      </c>
      <c r="M123" s="94">
        <f t="shared" si="11"/>
        <v>89221.865932500004</v>
      </c>
      <c r="N123" s="92">
        <f>SUMIFS('Assumption-Best'!$G$3:$G$32,'Assumption-Best'!$A$3:$A$32,$B123,'Assumption-Best'!$B$3:$B$32,$C123)</f>
        <v>0.35</v>
      </c>
      <c r="O123" s="14">
        <f t="shared" si="12"/>
        <v>48742.434562499999</v>
      </c>
      <c r="P123" s="94">
        <f t="shared" si="13"/>
        <v>40479.431370000006</v>
      </c>
    </row>
    <row r="124" spans="1:16" x14ac:dyDescent="0.35">
      <c r="A124" s="91" t="str">
        <f>LEFT('2025 actual v budget'!A124,4)&amp;"26"</f>
        <v>May-26</v>
      </c>
      <c r="B124" s="12" t="str">
        <f>'2025 actual v budget'!B124</f>
        <v>Brazil</v>
      </c>
      <c r="C124" s="12" t="str">
        <f>'2025 actual v budget'!C124</f>
        <v>FX Conversion</v>
      </c>
      <c r="D124" s="14">
        <f>'2025 actual v budget'!D124</f>
        <v>20801795.550000001</v>
      </c>
      <c r="E124" s="92">
        <f>SUMIFS('Assumption-Best'!$C$3:$C$32,'Assumption-Best'!$A$3:$A$32,$B124,'Assumption-Best'!$B$3:$B$32,$C124)</f>
        <v>0.4</v>
      </c>
      <c r="F124" s="14">
        <f t="shared" si="7"/>
        <v>29122513.77</v>
      </c>
      <c r="G124" s="93">
        <f>SUMIFS('Assumption-Best'!$D$3:$D$32,'Assumption-Best'!$A$3:$A$32,$B124,'Assumption-Best'!$B$3:$B$32,$C124)</f>
        <v>1.0500000000000001E-2</v>
      </c>
      <c r="H124" s="94">
        <f t="shared" si="8"/>
        <v>305786.394585</v>
      </c>
      <c r="I124" s="92">
        <f>SUMIFS('Assumption-Best'!$E$3:$E$32,'Assumption-Best'!$A$3:$A$32,$B124,'Assumption-Best'!$B$3:$B$32,$C124)</f>
        <v>0.28000000000000003</v>
      </c>
      <c r="J124" s="14">
        <f t="shared" si="9"/>
        <v>85620.190483800005</v>
      </c>
      <c r="K124" s="95">
        <f>SUMIFS('Assumption-Best'!$F$3:$F$32,'Assumption-Best'!$A$3:$A$32,$B124,'Assumption-Best'!$B$3:$B$32,$C124)</f>
        <v>6.9999999999999994E-5</v>
      </c>
      <c r="L124" s="14">
        <f t="shared" si="10"/>
        <v>2038.5759638999998</v>
      </c>
      <c r="M124" s="94">
        <f t="shared" si="11"/>
        <v>218127.62813729999</v>
      </c>
      <c r="N124" s="92">
        <f>SUMIFS('Assumption-Best'!$G$3:$G$32,'Assumption-Best'!$A$3:$A$32,$B124,'Assumption-Best'!$B$3:$B$32,$C124)</f>
        <v>0.35</v>
      </c>
      <c r="O124" s="14">
        <f t="shared" si="12"/>
        <v>107025.23810474999</v>
      </c>
      <c r="P124" s="94">
        <f t="shared" si="13"/>
        <v>111102.39003255</v>
      </c>
    </row>
    <row r="125" spans="1:16" x14ac:dyDescent="0.35">
      <c r="A125" s="91" t="str">
        <f>LEFT('2025 actual v budget'!A125,4)&amp;"26"</f>
        <v>May-26</v>
      </c>
      <c r="B125" s="12" t="str">
        <f>'2025 actual v budget'!B125</f>
        <v>Brazil</v>
      </c>
      <c r="C125" s="12" t="str">
        <f>'2025 actual v budget'!C125</f>
        <v>Stablecoin Settlement</v>
      </c>
      <c r="D125" s="14">
        <f>'2025 actual v budget'!D125</f>
        <v>32333137.93</v>
      </c>
      <c r="E125" s="92">
        <f>SUMIFS('Assumption-Best'!$C$3:$C$32,'Assumption-Best'!$A$3:$A$32,$B125,'Assumption-Best'!$B$3:$B$32,$C125)</f>
        <v>0.8</v>
      </c>
      <c r="F125" s="14">
        <f t="shared" si="7"/>
        <v>58199648.274000004</v>
      </c>
      <c r="G125" s="93">
        <f>SUMIFS('Assumption-Best'!$D$3:$D$32,'Assumption-Best'!$A$3:$A$32,$B125,'Assumption-Best'!$B$3:$B$32,$C125)</f>
        <v>6.4999999999999997E-3</v>
      </c>
      <c r="H125" s="94">
        <f t="shared" si="8"/>
        <v>378297.713781</v>
      </c>
      <c r="I125" s="92">
        <f>SUMIFS('Assumption-Best'!$E$3:$E$32,'Assumption-Best'!$A$3:$A$32,$B125,'Assumption-Best'!$B$3:$B$32,$C125)</f>
        <v>0.32</v>
      </c>
      <c r="J125" s="14">
        <f t="shared" si="9"/>
        <v>121055.26840992</v>
      </c>
      <c r="K125" s="95">
        <f>SUMIFS('Assumption-Best'!$F$3:$F$32,'Assumption-Best'!$A$3:$A$32,$B125,'Assumption-Best'!$B$3:$B$32,$C125)</f>
        <v>6.9999999999999994E-5</v>
      </c>
      <c r="L125" s="14">
        <f t="shared" si="10"/>
        <v>4073.9753791799999</v>
      </c>
      <c r="M125" s="94">
        <f t="shared" si="11"/>
        <v>253168.46999190003</v>
      </c>
      <c r="N125" s="92">
        <f>SUMIFS('Assumption-Best'!$G$3:$G$32,'Assumption-Best'!$A$3:$A$32,$B125,'Assumption-Best'!$B$3:$B$32,$C125)</f>
        <v>0.35</v>
      </c>
      <c r="O125" s="14">
        <f t="shared" si="12"/>
        <v>132404.19982335001</v>
      </c>
      <c r="P125" s="94">
        <f t="shared" si="13"/>
        <v>120764.27016855002</v>
      </c>
    </row>
    <row r="126" spans="1:16" x14ac:dyDescent="0.35">
      <c r="A126" s="91" t="str">
        <f>LEFT('2025 actual v budget'!A126,4)&amp;"26"</f>
        <v>May-26</v>
      </c>
      <c r="B126" s="12" t="str">
        <f>'2025 actual v budget'!B126</f>
        <v>Brazil</v>
      </c>
      <c r="C126" s="12" t="str">
        <f>'2025 actual v budget'!C126</f>
        <v>Treasury Yield</v>
      </c>
      <c r="D126" s="14">
        <f>'2025 actual v budget'!D126</f>
        <v>8704604.1500000004</v>
      </c>
      <c r="E126" s="92">
        <f>SUMIFS('Assumption-Best'!$C$3:$C$32,'Assumption-Best'!$A$3:$A$32,$B126,'Assumption-Best'!$B$3:$B$32,$C126)</f>
        <v>0.4</v>
      </c>
      <c r="F126" s="14">
        <f t="shared" si="7"/>
        <v>12186445.810000001</v>
      </c>
      <c r="G126" s="93">
        <f>SUMIFS('Assumption-Best'!$D$3:$D$32,'Assumption-Best'!$A$3:$A$32,$B126,'Assumption-Best'!$B$3:$B$32,$C126)</f>
        <v>3.0000000000000001E-3</v>
      </c>
      <c r="H126" s="94">
        <f t="shared" si="8"/>
        <v>36559.33743</v>
      </c>
      <c r="I126" s="92">
        <f>SUMIFS('Assumption-Best'!$E$3:$E$32,'Assumption-Best'!$A$3:$A$32,$B126,'Assumption-Best'!$B$3:$B$32,$C126)</f>
        <v>0.18</v>
      </c>
      <c r="J126" s="14">
        <f t="shared" si="9"/>
        <v>6580.6807374</v>
      </c>
      <c r="K126" s="95">
        <f>SUMIFS('Assumption-Best'!$F$3:$F$32,'Assumption-Best'!$A$3:$A$32,$B126,'Assumption-Best'!$B$3:$B$32,$C126)</f>
        <v>6.9999999999999994E-5</v>
      </c>
      <c r="L126" s="14">
        <f t="shared" si="10"/>
        <v>853.05120669999997</v>
      </c>
      <c r="M126" s="94">
        <f t="shared" si="11"/>
        <v>29125.6054859</v>
      </c>
      <c r="N126" s="92">
        <f>SUMIFS('Assumption-Best'!$G$3:$G$32,'Assumption-Best'!$A$3:$A$32,$B126,'Assumption-Best'!$B$3:$B$32,$C126)</f>
        <v>0.35</v>
      </c>
      <c r="O126" s="14">
        <f t="shared" si="12"/>
        <v>12795.768100499999</v>
      </c>
      <c r="P126" s="94">
        <f t="shared" si="13"/>
        <v>16329.8373854</v>
      </c>
    </row>
    <row r="127" spans="1:16" x14ac:dyDescent="0.35">
      <c r="A127" s="91" t="str">
        <f>LEFT('2025 actual v budget'!A127,4)&amp;"26"</f>
        <v>May-26</v>
      </c>
      <c r="B127" s="12" t="str">
        <f>'2025 actual v budget'!B127</f>
        <v>Brazil</v>
      </c>
      <c r="C127" s="12" t="str">
        <f>'2025 actual v budget'!C127</f>
        <v>Virtual Accounts</v>
      </c>
      <c r="D127" s="14">
        <f>'2025 actual v budget'!D127</f>
        <v>13498048.27</v>
      </c>
      <c r="E127" s="92">
        <f>SUMIFS('Assumption-Best'!$C$3:$C$32,'Assumption-Best'!$A$3:$A$32,$B127,'Assumption-Best'!$B$3:$B$32,$C127)</f>
        <v>0.4</v>
      </c>
      <c r="F127" s="14">
        <f t="shared" si="7"/>
        <v>18897267.577999998</v>
      </c>
      <c r="G127" s="93">
        <f>SUMIFS('Assumption-Best'!$D$3:$D$32,'Assumption-Best'!$A$3:$A$32,$B127,'Assumption-Best'!$B$3:$B$32,$C127)</f>
        <v>4.4999999999999997E-3</v>
      </c>
      <c r="H127" s="94">
        <f t="shared" si="8"/>
        <v>85037.704100999981</v>
      </c>
      <c r="I127" s="92">
        <f>SUMIFS('Assumption-Best'!$E$3:$E$32,'Assumption-Best'!$A$3:$A$32,$B127,'Assumption-Best'!$B$3:$B$32,$C127)</f>
        <v>0.22</v>
      </c>
      <c r="J127" s="14">
        <f t="shared" si="9"/>
        <v>18708.294902219997</v>
      </c>
      <c r="K127" s="95">
        <f>SUMIFS('Assumption-Best'!$F$3:$F$32,'Assumption-Best'!$A$3:$A$32,$B127,'Assumption-Best'!$B$3:$B$32,$C127)</f>
        <v>6.9999999999999994E-5</v>
      </c>
      <c r="L127" s="14">
        <f t="shared" si="10"/>
        <v>1322.8087304599997</v>
      </c>
      <c r="M127" s="94">
        <f t="shared" si="11"/>
        <v>65006.600468319994</v>
      </c>
      <c r="N127" s="92">
        <f>SUMIFS('Assumption-Best'!$G$3:$G$32,'Assumption-Best'!$A$3:$A$32,$B127,'Assumption-Best'!$B$3:$B$32,$C127)</f>
        <v>0.35</v>
      </c>
      <c r="O127" s="14">
        <f t="shared" si="12"/>
        <v>29763.19643534999</v>
      </c>
      <c r="P127" s="94">
        <f t="shared" si="13"/>
        <v>35243.404032970007</v>
      </c>
    </row>
    <row r="128" spans="1:16" x14ac:dyDescent="0.35">
      <c r="A128" s="91" t="str">
        <f>LEFT('2025 actual v budget'!A128,4)&amp;"26"</f>
        <v>May-26</v>
      </c>
      <c r="B128" s="12" t="str">
        <f>'2025 actual v budget'!B128</f>
        <v>Germany</v>
      </c>
      <c r="C128" s="12" t="str">
        <f>'2025 actual v budget'!C128</f>
        <v>Cross-border Payouts</v>
      </c>
      <c r="D128" s="14">
        <f>'2025 actual v budget'!D128</f>
        <v>6674245.25</v>
      </c>
      <c r="E128" s="92">
        <f>SUMIFS('Assumption-Best'!$C$3:$C$32,'Assumption-Best'!$A$3:$A$32,$B128,'Assumption-Best'!$B$3:$B$32,$C128)</f>
        <v>0.12</v>
      </c>
      <c r="F128" s="14">
        <f t="shared" si="7"/>
        <v>7475154.6800000006</v>
      </c>
      <c r="G128" s="93">
        <f>SUMIFS('Assumption-Best'!$D$3:$D$32,'Assumption-Best'!$A$3:$A$32,$B128,'Assumption-Best'!$B$3:$B$32,$C128)</f>
        <v>7.4999999999999997E-3</v>
      </c>
      <c r="H128" s="94">
        <f t="shared" si="8"/>
        <v>56063.660100000001</v>
      </c>
      <c r="I128" s="92">
        <f>SUMIFS('Assumption-Best'!$E$3:$E$32,'Assumption-Best'!$A$3:$A$32,$B128,'Assumption-Best'!$B$3:$B$32,$C128)</f>
        <v>0.35</v>
      </c>
      <c r="J128" s="14">
        <f t="shared" si="9"/>
        <v>19622.281035</v>
      </c>
      <c r="K128" s="95">
        <f>SUMIFS('Assumption-Best'!$F$3:$F$32,'Assumption-Best'!$A$3:$A$32,$B128,'Assumption-Best'!$B$3:$B$32,$C128)</f>
        <v>1.4999999999999999E-4</v>
      </c>
      <c r="L128" s="14">
        <f t="shared" si="10"/>
        <v>1121.2732020000001</v>
      </c>
      <c r="M128" s="94">
        <f t="shared" si="11"/>
        <v>35320.105863000004</v>
      </c>
      <c r="N128" s="92">
        <f>SUMIFS('Assumption-Best'!$G$3:$G$32,'Assumption-Best'!$A$3:$A$32,$B128,'Assumption-Best'!$B$3:$B$32,$C128)</f>
        <v>0.35</v>
      </c>
      <c r="O128" s="14">
        <f t="shared" si="12"/>
        <v>19622.281035</v>
      </c>
      <c r="P128" s="94">
        <f t="shared" si="13"/>
        <v>15697.824828000004</v>
      </c>
    </row>
    <row r="129" spans="1:16" x14ac:dyDescent="0.35">
      <c r="A129" s="91" t="str">
        <f>LEFT('2025 actual v budget'!A129,4)&amp;"26"</f>
        <v>May-26</v>
      </c>
      <c r="B129" s="12" t="str">
        <f>'2025 actual v budget'!B129</f>
        <v>Germany</v>
      </c>
      <c r="C129" s="12" t="str">
        <f>'2025 actual v budget'!C129</f>
        <v>FX Conversion</v>
      </c>
      <c r="D129" s="14">
        <f>'2025 actual v budget'!D129</f>
        <v>10463964.949999999</v>
      </c>
      <c r="E129" s="92">
        <f>SUMIFS('Assumption-Best'!$C$3:$C$32,'Assumption-Best'!$A$3:$A$32,$B129,'Assumption-Best'!$B$3:$B$32,$C129)</f>
        <v>0.12</v>
      </c>
      <c r="F129" s="14">
        <f t="shared" si="7"/>
        <v>11719640.744000001</v>
      </c>
      <c r="G129" s="93">
        <f>SUMIFS('Assumption-Best'!$D$3:$D$32,'Assumption-Best'!$A$3:$A$32,$B129,'Assumption-Best'!$B$3:$B$32,$C129)</f>
        <v>1.0500000000000001E-2</v>
      </c>
      <c r="H129" s="94">
        <f t="shared" si="8"/>
        <v>123056.22781200001</v>
      </c>
      <c r="I129" s="92">
        <f>SUMIFS('Assumption-Best'!$E$3:$E$32,'Assumption-Best'!$A$3:$A$32,$B129,'Assumption-Best'!$B$3:$B$32,$C129)</f>
        <v>0.28000000000000003</v>
      </c>
      <c r="J129" s="14">
        <f t="shared" si="9"/>
        <v>34455.743787360007</v>
      </c>
      <c r="K129" s="95">
        <f>SUMIFS('Assumption-Best'!$F$3:$F$32,'Assumption-Best'!$A$3:$A$32,$B129,'Assumption-Best'!$B$3:$B$32,$C129)</f>
        <v>1.4999999999999999E-4</v>
      </c>
      <c r="L129" s="14">
        <f t="shared" si="10"/>
        <v>1757.9461116</v>
      </c>
      <c r="M129" s="94">
        <f t="shared" si="11"/>
        <v>86842.537913039996</v>
      </c>
      <c r="N129" s="92">
        <f>SUMIFS('Assumption-Best'!$G$3:$G$32,'Assumption-Best'!$A$3:$A$32,$B129,'Assumption-Best'!$B$3:$B$32,$C129)</f>
        <v>0.35</v>
      </c>
      <c r="O129" s="14">
        <f t="shared" si="12"/>
        <v>43069.679734199999</v>
      </c>
      <c r="P129" s="94">
        <f t="shared" si="13"/>
        <v>43772.858178839997</v>
      </c>
    </row>
    <row r="130" spans="1:16" x14ac:dyDescent="0.35">
      <c r="A130" s="91" t="str">
        <f>LEFT('2025 actual v budget'!A130,4)&amp;"26"</f>
        <v>May-26</v>
      </c>
      <c r="B130" s="12" t="str">
        <f>'2025 actual v budget'!B130</f>
        <v>Germany</v>
      </c>
      <c r="C130" s="12" t="str">
        <f>'2025 actual v budget'!C130</f>
        <v>Stablecoin Settlement</v>
      </c>
      <c r="D130" s="14">
        <f>'2025 actual v budget'!D130</f>
        <v>16270471.640000001</v>
      </c>
      <c r="E130" s="92">
        <f>SUMIFS('Assumption-Best'!$C$3:$C$32,'Assumption-Best'!$A$3:$A$32,$B130,'Assumption-Best'!$B$3:$B$32,$C130)</f>
        <v>0.24</v>
      </c>
      <c r="F130" s="14">
        <f t="shared" si="7"/>
        <v>20175384.8336</v>
      </c>
      <c r="G130" s="93">
        <f>SUMIFS('Assumption-Best'!$D$3:$D$32,'Assumption-Best'!$A$3:$A$32,$B130,'Assumption-Best'!$B$3:$B$32,$C130)</f>
        <v>6.4999999999999997E-3</v>
      </c>
      <c r="H130" s="94">
        <f t="shared" si="8"/>
        <v>131140.0014184</v>
      </c>
      <c r="I130" s="92">
        <f>SUMIFS('Assumption-Best'!$E$3:$E$32,'Assumption-Best'!$A$3:$A$32,$B130,'Assumption-Best'!$B$3:$B$32,$C130)</f>
        <v>0.32</v>
      </c>
      <c r="J130" s="14">
        <f t="shared" si="9"/>
        <v>41964.800453888005</v>
      </c>
      <c r="K130" s="95">
        <f>SUMIFS('Assumption-Best'!$F$3:$F$32,'Assumption-Best'!$A$3:$A$32,$B130,'Assumption-Best'!$B$3:$B$32,$C130)</f>
        <v>1.4999999999999999E-4</v>
      </c>
      <c r="L130" s="14">
        <f t="shared" si="10"/>
        <v>3026.3077250399997</v>
      </c>
      <c r="M130" s="94">
        <f t="shared" si="11"/>
        <v>86148.893239472003</v>
      </c>
      <c r="N130" s="92">
        <f>SUMIFS('Assumption-Best'!$G$3:$G$32,'Assumption-Best'!$A$3:$A$32,$B130,'Assumption-Best'!$B$3:$B$32,$C130)</f>
        <v>0.35</v>
      </c>
      <c r="O130" s="14">
        <f t="shared" si="12"/>
        <v>45899.00049644</v>
      </c>
      <c r="P130" s="94">
        <f t="shared" si="13"/>
        <v>40249.892743032004</v>
      </c>
    </row>
    <row r="131" spans="1:16" x14ac:dyDescent="0.35">
      <c r="A131" s="91" t="str">
        <f>LEFT('2025 actual v budget'!A131,4)&amp;"26"</f>
        <v>May-26</v>
      </c>
      <c r="B131" s="12" t="str">
        <f>'2025 actual v budget'!B131</f>
        <v>Germany</v>
      </c>
      <c r="C131" s="12" t="str">
        <f>'2025 actual v budget'!C131</f>
        <v>Treasury Yield</v>
      </c>
      <c r="D131" s="14">
        <f>'2025 actual v budget'!D131</f>
        <v>4378692.8099999996</v>
      </c>
      <c r="E131" s="92">
        <f>SUMIFS('Assumption-Best'!$C$3:$C$32,'Assumption-Best'!$A$3:$A$32,$B131,'Assumption-Best'!$B$3:$B$32,$C131)</f>
        <v>0.12</v>
      </c>
      <c r="F131" s="14">
        <f t="shared" ref="F131:F194" si="14">D131*(1+E131)</f>
        <v>4904135.9472000003</v>
      </c>
      <c r="G131" s="93">
        <f>SUMIFS('Assumption-Best'!$D$3:$D$32,'Assumption-Best'!$A$3:$A$32,$B131,'Assumption-Best'!$B$3:$B$32,$C131)</f>
        <v>3.0000000000000001E-3</v>
      </c>
      <c r="H131" s="94">
        <f t="shared" ref="H131:H194" si="15">F131*G131</f>
        <v>14712.407841600001</v>
      </c>
      <c r="I131" s="92">
        <f>SUMIFS('Assumption-Best'!$E$3:$E$32,'Assumption-Best'!$A$3:$A$32,$B131,'Assumption-Best'!$B$3:$B$32,$C131)</f>
        <v>0.18</v>
      </c>
      <c r="J131" s="14">
        <f t="shared" ref="J131:J194" si="16">H131*I131</f>
        <v>2648.233411488</v>
      </c>
      <c r="K131" s="95">
        <f>SUMIFS('Assumption-Best'!$F$3:$F$32,'Assumption-Best'!$A$3:$A$32,$B131,'Assumption-Best'!$B$3:$B$32,$C131)</f>
        <v>1.4999999999999999E-4</v>
      </c>
      <c r="L131" s="14">
        <f t="shared" ref="L131:L194" si="17">F131*K131</f>
        <v>735.62039207999999</v>
      </c>
      <c r="M131" s="94">
        <f t="shared" ref="M131:M194" si="18">H131-J131-L131</f>
        <v>11328.554038032002</v>
      </c>
      <c r="N131" s="92">
        <f>SUMIFS('Assumption-Best'!$G$3:$G$32,'Assumption-Best'!$A$3:$A$32,$B131,'Assumption-Best'!$B$3:$B$32,$C131)</f>
        <v>0.35</v>
      </c>
      <c r="O131" s="14">
        <f t="shared" ref="O131:O194" si="19">H131*N131</f>
        <v>5149.34274456</v>
      </c>
      <c r="P131" s="94">
        <f t="shared" ref="P131:P194" si="20">M131-O131</f>
        <v>6179.2112934720017</v>
      </c>
    </row>
    <row r="132" spans="1:16" x14ac:dyDescent="0.35">
      <c r="A132" s="91" t="str">
        <f>LEFT('2025 actual v budget'!A132,4)&amp;"26"</f>
        <v>May-26</v>
      </c>
      <c r="B132" s="12" t="str">
        <f>'2025 actual v budget'!B132</f>
        <v>Germany</v>
      </c>
      <c r="C132" s="12" t="str">
        <f>'2025 actual v budget'!C132</f>
        <v>Virtual Accounts</v>
      </c>
      <c r="D132" s="14">
        <f>'2025 actual v budget'!D132</f>
        <v>6789947.71</v>
      </c>
      <c r="E132" s="92">
        <f>SUMIFS('Assumption-Best'!$C$3:$C$32,'Assumption-Best'!$A$3:$A$32,$B132,'Assumption-Best'!$B$3:$B$32,$C132)</f>
        <v>0.12</v>
      </c>
      <c r="F132" s="14">
        <f t="shared" si="14"/>
        <v>7604741.4352000011</v>
      </c>
      <c r="G132" s="93">
        <f>SUMIFS('Assumption-Best'!$D$3:$D$32,'Assumption-Best'!$A$3:$A$32,$B132,'Assumption-Best'!$B$3:$B$32,$C132)</f>
        <v>4.4999999999999997E-3</v>
      </c>
      <c r="H132" s="94">
        <f t="shared" si="15"/>
        <v>34221.336458400001</v>
      </c>
      <c r="I132" s="92">
        <f>SUMIFS('Assumption-Best'!$E$3:$E$32,'Assumption-Best'!$A$3:$A$32,$B132,'Assumption-Best'!$B$3:$B$32,$C132)</f>
        <v>0.22</v>
      </c>
      <c r="J132" s="14">
        <f t="shared" si="16"/>
        <v>7528.694020848</v>
      </c>
      <c r="K132" s="95">
        <f>SUMIFS('Assumption-Best'!$F$3:$F$32,'Assumption-Best'!$A$3:$A$32,$B132,'Assumption-Best'!$B$3:$B$32,$C132)</f>
        <v>1.4999999999999999E-4</v>
      </c>
      <c r="L132" s="14">
        <f t="shared" si="17"/>
        <v>1140.71121528</v>
      </c>
      <c r="M132" s="94">
        <f t="shared" si="18"/>
        <v>25551.931222272</v>
      </c>
      <c r="N132" s="92">
        <f>SUMIFS('Assumption-Best'!$G$3:$G$32,'Assumption-Best'!$A$3:$A$32,$B132,'Assumption-Best'!$B$3:$B$32,$C132)</f>
        <v>0.35</v>
      </c>
      <c r="O132" s="14">
        <f t="shared" si="19"/>
        <v>11977.46776044</v>
      </c>
      <c r="P132" s="94">
        <f t="shared" si="20"/>
        <v>13574.463461832</v>
      </c>
    </row>
    <row r="133" spans="1:16" x14ac:dyDescent="0.35">
      <c r="A133" s="91" t="str">
        <f>LEFT('2025 actual v budget'!A133,4)&amp;"26"</f>
        <v>May-26</v>
      </c>
      <c r="B133" s="12" t="str">
        <f>'2025 actual v budget'!B133</f>
        <v>India</v>
      </c>
      <c r="C133" s="12" t="str">
        <f>'2025 actual v budget'!C133</f>
        <v>Cross-border Payouts</v>
      </c>
      <c r="D133" s="14">
        <f>'2025 actual v budget'!D133</f>
        <v>8851151.4900000002</v>
      </c>
      <c r="E133" s="92">
        <f>SUMIFS('Assumption-Best'!$C$3:$C$32,'Assumption-Best'!$A$3:$A$32,$B133,'Assumption-Best'!$B$3:$B$32,$C133)</f>
        <v>0.24</v>
      </c>
      <c r="F133" s="14">
        <f t="shared" si="14"/>
        <v>10975427.8476</v>
      </c>
      <c r="G133" s="93">
        <f>SUMIFS('Assumption-Best'!$D$3:$D$32,'Assumption-Best'!$A$3:$A$32,$B133,'Assumption-Best'!$B$3:$B$32,$C133)</f>
        <v>7.4999999999999997E-3</v>
      </c>
      <c r="H133" s="94">
        <f t="shared" si="15"/>
        <v>82315.708856999991</v>
      </c>
      <c r="I133" s="92">
        <f>SUMIFS('Assumption-Best'!$E$3:$E$32,'Assumption-Best'!$A$3:$A$32,$B133,'Assumption-Best'!$B$3:$B$32,$C133)</f>
        <v>0.35</v>
      </c>
      <c r="J133" s="14">
        <f t="shared" si="16"/>
        <v>28810.498099949993</v>
      </c>
      <c r="K133" s="95">
        <f>SUMIFS('Assumption-Best'!$F$3:$F$32,'Assumption-Best'!$A$3:$A$32,$B133,'Assumption-Best'!$B$3:$B$32,$C133)</f>
        <v>1.8000000000000001E-4</v>
      </c>
      <c r="L133" s="14">
        <f t="shared" si="17"/>
        <v>1975.5770125680001</v>
      </c>
      <c r="M133" s="94">
        <f t="shared" si="18"/>
        <v>51529.633744481995</v>
      </c>
      <c r="N133" s="92">
        <f>SUMIFS('Assumption-Best'!$G$3:$G$32,'Assumption-Best'!$A$3:$A$32,$B133,'Assumption-Best'!$B$3:$B$32,$C133)</f>
        <v>0.35</v>
      </c>
      <c r="O133" s="14">
        <f t="shared" si="19"/>
        <v>28810.498099949993</v>
      </c>
      <c r="P133" s="94">
        <f t="shared" si="20"/>
        <v>22719.135644532002</v>
      </c>
    </row>
    <row r="134" spans="1:16" x14ac:dyDescent="0.35">
      <c r="A134" s="91" t="str">
        <f>LEFT('2025 actual v budget'!A134,4)&amp;"26"</f>
        <v>May-26</v>
      </c>
      <c r="B134" s="12" t="str">
        <f>'2025 actual v budget'!B134</f>
        <v>India</v>
      </c>
      <c r="C134" s="12" t="str">
        <f>'2025 actual v budget'!C134</f>
        <v>FX Conversion</v>
      </c>
      <c r="D134" s="14">
        <f>'2025 actual v budget'!D134</f>
        <v>13884394.57</v>
      </c>
      <c r="E134" s="92">
        <f>SUMIFS('Assumption-Best'!$C$3:$C$32,'Assumption-Best'!$A$3:$A$32,$B134,'Assumption-Best'!$B$3:$B$32,$C134)</f>
        <v>0.24</v>
      </c>
      <c r="F134" s="14">
        <f t="shared" si="14"/>
        <v>17216649.266800001</v>
      </c>
      <c r="G134" s="93">
        <f>SUMIFS('Assumption-Best'!$D$3:$D$32,'Assumption-Best'!$A$3:$A$32,$B134,'Assumption-Best'!$B$3:$B$32,$C134)</f>
        <v>1.0500000000000001E-2</v>
      </c>
      <c r="H134" s="94">
        <f t="shared" si="15"/>
        <v>180774.81730140003</v>
      </c>
      <c r="I134" s="92">
        <f>SUMIFS('Assumption-Best'!$E$3:$E$32,'Assumption-Best'!$A$3:$A$32,$B134,'Assumption-Best'!$B$3:$B$32,$C134)</f>
        <v>0.28000000000000003</v>
      </c>
      <c r="J134" s="14">
        <f t="shared" si="16"/>
        <v>50616.948844392013</v>
      </c>
      <c r="K134" s="95">
        <f>SUMIFS('Assumption-Best'!$F$3:$F$32,'Assumption-Best'!$A$3:$A$32,$B134,'Assumption-Best'!$B$3:$B$32,$C134)</f>
        <v>1.8000000000000001E-4</v>
      </c>
      <c r="L134" s="14">
        <f t="shared" si="17"/>
        <v>3098.9968680240004</v>
      </c>
      <c r="M134" s="94">
        <f t="shared" si="18"/>
        <v>127058.87158898402</v>
      </c>
      <c r="N134" s="92">
        <f>SUMIFS('Assumption-Best'!$G$3:$G$32,'Assumption-Best'!$A$3:$A$32,$B134,'Assumption-Best'!$B$3:$B$32,$C134)</f>
        <v>0.35</v>
      </c>
      <c r="O134" s="14">
        <f t="shared" si="19"/>
        <v>63271.186055490005</v>
      </c>
      <c r="P134" s="94">
        <f t="shared" si="20"/>
        <v>63787.685533494019</v>
      </c>
    </row>
    <row r="135" spans="1:16" x14ac:dyDescent="0.35">
      <c r="A135" s="91" t="str">
        <f>LEFT('2025 actual v budget'!A135,4)&amp;"26"</f>
        <v>May-26</v>
      </c>
      <c r="B135" s="12" t="str">
        <f>'2025 actual v budget'!B135</f>
        <v>India</v>
      </c>
      <c r="C135" s="12" t="str">
        <f>'2025 actual v budget'!C135</f>
        <v>Stablecoin Settlement</v>
      </c>
      <c r="D135" s="14">
        <f>'2025 actual v budget'!D135</f>
        <v>21577332.530000001</v>
      </c>
      <c r="E135" s="92">
        <f>SUMIFS('Assumption-Best'!$C$3:$C$32,'Assumption-Best'!$A$3:$A$32,$B135,'Assumption-Best'!$B$3:$B$32,$C135)</f>
        <v>0.48</v>
      </c>
      <c r="F135" s="14">
        <f t="shared" si="14"/>
        <v>31934452.144400001</v>
      </c>
      <c r="G135" s="93">
        <f>SUMIFS('Assumption-Best'!$D$3:$D$32,'Assumption-Best'!$A$3:$A$32,$B135,'Assumption-Best'!$B$3:$B$32,$C135)</f>
        <v>6.4999999999999997E-3</v>
      </c>
      <c r="H135" s="94">
        <f t="shared" si="15"/>
        <v>207573.93893859998</v>
      </c>
      <c r="I135" s="92">
        <f>SUMIFS('Assumption-Best'!$E$3:$E$32,'Assumption-Best'!$A$3:$A$32,$B135,'Assumption-Best'!$B$3:$B$32,$C135)</f>
        <v>0.32</v>
      </c>
      <c r="J135" s="14">
        <f t="shared" si="16"/>
        <v>66423.660460351995</v>
      </c>
      <c r="K135" s="95">
        <f>SUMIFS('Assumption-Best'!$F$3:$F$32,'Assumption-Best'!$A$3:$A$32,$B135,'Assumption-Best'!$B$3:$B$32,$C135)</f>
        <v>1.8000000000000001E-4</v>
      </c>
      <c r="L135" s="14">
        <f t="shared" si="17"/>
        <v>5748.2013859920007</v>
      </c>
      <c r="M135" s="94">
        <f t="shared" si="18"/>
        <v>135402.07709225599</v>
      </c>
      <c r="N135" s="92">
        <f>SUMIFS('Assumption-Best'!$G$3:$G$32,'Assumption-Best'!$A$3:$A$32,$B135,'Assumption-Best'!$B$3:$B$32,$C135)</f>
        <v>0.35</v>
      </c>
      <c r="O135" s="14">
        <f t="shared" si="19"/>
        <v>72650.878628509992</v>
      </c>
      <c r="P135" s="94">
        <f t="shared" si="20"/>
        <v>62751.198463745997</v>
      </c>
    </row>
    <row r="136" spans="1:16" x14ac:dyDescent="0.35">
      <c r="A136" s="91" t="str">
        <f>LEFT('2025 actual v budget'!A136,4)&amp;"26"</f>
        <v>May-26</v>
      </c>
      <c r="B136" s="12" t="str">
        <f>'2025 actual v budget'!B136</f>
        <v>India</v>
      </c>
      <c r="C136" s="12" t="str">
        <f>'2025 actual v budget'!C136</f>
        <v>Treasury Yield</v>
      </c>
      <c r="D136" s="14">
        <f>'2025 actual v budget'!D136</f>
        <v>5809986.8499999996</v>
      </c>
      <c r="E136" s="92">
        <f>SUMIFS('Assumption-Best'!$C$3:$C$32,'Assumption-Best'!$A$3:$A$32,$B136,'Assumption-Best'!$B$3:$B$32,$C136)</f>
        <v>0.24</v>
      </c>
      <c r="F136" s="14">
        <f t="shared" si="14"/>
        <v>7204383.6939999992</v>
      </c>
      <c r="G136" s="93">
        <f>SUMIFS('Assumption-Best'!$D$3:$D$32,'Assumption-Best'!$A$3:$A$32,$B136,'Assumption-Best'!$B$3:$B$32,$C136)</f>
        <v>3.0000000000000001E-3</v>
      </c>
      <c r="H136" s="94">
        <f t="shared" si="15"/>
        <v>21613.151081999997</v>
      </c>
      <c r="I136" s="92">
        <f>SUMIFS('Assumption-Best'!$E$3:$E$32,'Assumption-Best'!$A$3:$A$32,$B136,'Assumption-Best'!$B$3:$B$32,$C136)</f>
        <v>0.18</v>
      </c>
      <c r="J136" s="14">
        <f t="shared" si="16"/>
        <v>3890.3671947599992</v>
      </c>
      <c r="K136" s="95">
        <f>SUMIFS('Assumption-Best'!$F$3:$F$32,'Assumption-Best'!$A$3:$A$32,$B136,'Assumption-Best'!$B$3:$B$32,$C136)</f>
        <v>1.8000000000000001E-4</v>
      </c>
      <c r="L136" s="14">
        <f t="shared" si="17"/>
        <v>1296.7890649199999</v>
      </c>
      <c r="M136" s="94">
        <f t="shared" si="18"/>
        <v>16425.994822319997</v>
      </c>
      <c r="N136" s="92">
        <f>SUMIFS('Assumption-Best'!$G$3:$G$32,'Assumption-Best'!$A$3:$A$32,$B136,'Assumption-Best'!$B$3:$B$32,$C136)</f>
        <v>0.35</v>
      </c>
      <c r="O136" s="14">
        <f t="shared" si="19"/>
        <v>7564.6028786999987</v>
      </c>
      <c r="P136" s="94">
        <f t="shared" si="20"/>
        <v>8861.3919436199976</v>
      </c>
    </row>
    <row r="137" spans="1:16" x14ac:dyDescent="0.35">
      <c r="A137" s="91" t="str">
        <f>LEFT('2025 actual v budget'!A137,4)&amp;"26"</f>
        <v>May-26</v>
      </c>
      <c r="B137" s="12" t="str">
        <f>'2025 actual v budget'!B137</f>
        <v>India</v>
      </c>
      <c r="C137" s="12" t="str">
        <f>'2025 actual v budget'!C137</f>
        <v>Virtual Accounts</v>
      </c>
      <c r="D137" s="14">
        <f>'2025 actual v budget'!D137</f>
        <v>9009425.5399999991</v>
      </c>
      <c r="E137" s="92">
        <f>SUMIFS('Assumption-Best'!$C$3:$C$32,'Assumption-Best'!$A$3:$A$32,$B137,'Assumption-Best'!$B$3:$B$32,$C137)</f>
        <v>0.24</v>
      </c>
      <c r="F137" s="14">
        <f t="shared" si="14"/>
        <v>11171687.669599999</v>
      </c>
      <c r="G137" s="93">
        <f>SUMIFS('Assumption-Best'!$D$3:$D$32,'Assumption-Best'!$A$3:$A$32,$B137,'Assumption-Best'!$B$3:$B$32,$C137)</f>
        <v>4.4999999999999997E-3</v>
      </c>
      <c r="H137" s="94">
        <f t="shared" si="15"/>
        <v>50272.594513199991</v>
      </c>
      <c r="I137" s="92">
        <f>SUMIFS('Assumption-Best'!$E$3:$E$32,'Assumption-Best'!$A$3:$A$32,$B137,'Assumption-Best'!$B$3:$B$32,$C137)</f>
        <v>0.22</v>
      </c>
      <c r="J137" s="14">
        <f t="shared" si="16"/>
        <v>11059.970792903998</v>
      </c>
      <c r="K137" s="95">
        <f>SUMIFS('Assumption-Best'!$F$3:$F$32,'Assumption-Best'!$A$3:$A$32,$B137,'Assumption-Best'!$B$3:$B$32,$C137)</f>
        <v>1.8000000000000001E-4</v>
      </c>
      <c r="L137" s="14">
        <f t="shared" si="17"/>
        <v>2010.903780528</v>
      </c>
      <c r="M137" s="94">
        <f t="shared" si="18"/>
        <v>37201.719939767987</v>
      </c>
      <c r="N137" s="92">
        <f>SUMIFS('Assumption-Best'!$G$3:$G$32,'Assumption-Best'!$A$3:$A$32,$B137,'Assumption-Best'!$B$3:$B$32,$C137)</f>
        <v>0.35</v>
      </c>
      <c r="O137" s="14">
        <f t="shared" si="19"/>
        <v>17595.408079619996</v>
      </c>
      <c r="P137" s="94">
        <f t="shared" si="20"/>
        <v>19606.311860147991</v>
      </c>
    </row>
    <row r="138" spans="1:16" x14ac:dyDescent="0.35">
      <c r="A138" s="91" t="str">
        <f>LEFT('2025 actual v budget'!A138,4)&amp;"26"</f>
        <v>May-26</v>
      </c>
      <c r="B138" s="12" t="str">
        <f>'2025 actual v budget'!B138</f>
        <v>Mexico</v>
      </c>
      <c r="C138" s="12" t="str">
        <f>'2025 actual v budget'!C138</f>
        <v>Cross-border Payouts</v>
      </c>
      <c r="D138" s="14">
        <f>'2025 actual v budget'!D138</f>
        <v>10618207.380000001</v>
      </c>
      <c r="E138" s="92">
        <f>SUMIFS('Assumption-Best'!$C$3:$C$32,'Assumption-Best'!$A$3:$A$32,$B138,'Assumption-Best'!$B$3:$B$32,$C138)</f>
        <v>0.3</v>
      </c>
      <c r="F138" s="14">
        <f t="shared" si="14"/>
        <v>13803669.594000002</v>
      </c>
      <c r="G138" s="93">
        <f>SUMIFS('Assumption-Best'!$D$3:$D$32,'Assumption-Best'!$A$3:$A$32,$B138,'Assumption-Best'!$B$3:$B$32,$C138)</f>
        <v>7.4999999999999997E-3</v>
      </c>
      <c r="H138" s="94">
        <f t="shared" si="15"/>
        <v>103527.52195500002</v>
      </c>
      <c r="I138" s="92">
        <f>SUMIFS('Assumption-Best'!$E$3:$E$32,'Assumption-Best'!$A$3:$A$32,$B138,'Assumption-Best'!$B$3:$B$32,$C138)</f>
        <v>0.35</v>
      </c>
      <c r="J138" s="14">
        <f t="shared" si="16"/>
        <v>36234.632684250006</v>
      </c>
      <c r="K138" s="95">
        <f>SUMIFS('Assumption-Best'!$F$3:$F$32,'Assumption-Best'!$A$3:$A$32,$B138,'Assumption-Best'!$B$3:$B$32,$C138)</f>
        <v>8.0000000000000007E-5</v>
      </c>
      <c r="L138" s="14">
        <f t="shared" si="17"/>
        <v>1104.2935675200004</v>
      </c>
      <c r="M138" s="94">
        <f t="shared" si="18"/>
        <v>66188.595703230021</v>
      </c>
      <c r="N138" s="92">
        <f>SUMIFS('Assumption-Best'!$G$3:$G$32,'Assumption-Best'!$A$3:$A$32,$B138,'Assumption-Best'!$B$3:$B$32,$C138)</f>
        <v>0.35</v>
      </c>
      <c r="O138" s="14">
        <f t="shared" si="19"/>
        <v>36234.632684250006</v>
      </c>
      <c r="P138" s="94">
        <f t="shared" si="20"/>
        <v>29953.963018980015</v>
      </c>
    </row>
    <row r="139" spans="1:16" x14ac:dyDescent="0.35">
      <c r="A139" s="91" t="str">
        <f>LEFT('2025 actual v budget'!A139,4)&amp;"26"</f>
        <v>May-26</v>
      </c>
      <c r="B139" s="12" t="str">
        <f>'2025 actual v budget'!B139</f>
        <v>Mexico</v>
      </c>
      <c r="C139" s="12" t="str">
        <f>'2025 actual v budget'!C139</f>
        <v>FX Conversion</v>
      </c>
      <c r="D139" s="14">
        <f>'2025 actual v budget'!D139</f>
        <v>16654839.17</v>
      </c>
      <c r="E139" s="92">
        <f>SUMIFS('Assumption-Best'!$C$3:$C$32,'Assumption-Best'!$A$3:$A$32,$B139,'Assumption-Best'!$B$3:$B$32,$C139)</f>
        <v>0.3</v>
      </c>
      <c r="F139" s="14">
        <f t="shared" si="14"/>
        <v>21651290.921</v>
      </c>
      <c r="G139" s="93">
        <f>SUMIFS('Assumption-Best'!$D$3:$D$32,'Assumption-Best'!$A$3:$A$32,$B139,'Assumption-Best'!$B$3:$B$32,$C139)</f>
        <v>1.0500000000000001E-2</v>
      </c>
      <c r="H139" s="94">
        <f t="shared" si="15"/>
        <v>227338.55467050002</v>
      </c>
      <c r="I139" s="92">
        <f>SUMIFS('Assumption-Best'!$E$3:$E$32,'Assumption-Best'!$A$3:$A$32,$B139,'Assumption-Best'!$B$3:$B$32,$C139)</f>
        <v>0.28000000000000003</v>
      </c>
      <c r="J139" s="14">
        <f t="shared" si="16"/>
        <v>63654.795307740009</v>
      </c>
      <c r="K139" s="95">
        <f>SUMIFS('Assumption-Best'!$F$3:$F$32,'Assumption-Best'!$A$3:$A$32,$B139,'Assumption-Best'!$B$3:$B$32,$C139)</f>
        <v>8.0000000000000007E-5</v>
      </c>
      <c r="L139" s="14">
        <f t="shared" si="17"/>
        <v>1732.1032736800003</v>
      </c>
      <c r="M139" s="94">
        <f t="shared" si="18"/>
        <v>161951.65608908</v>
      </c>
      <c r="N139" s="92">
        <f>SUMIFS('Assumption-Best'!$G$3:$G$32,'Assumption-Best'!$A$3:$A$32,$B139,'Assumption-Best'!$B$3:$B$32,$C139)</f>
        <v>0.35</v>
      </c>
      <c r="O139" s="14">
        <f t="shared" si="19"/>
        <v>79568.494134674998</v>
      </c>
      <c r="P139" s="94">
        <f t="shared" si="20"/>
        <v>82383.161954405005</v>
      </c>
    </row>
    <row r="140" spans="1:16" x14ac:dyDescent="0.35">
      <c r="A140" s="91" t="str">
        <f>LEFT('2025 actual v budget'!A140,4)&amp;"26"</f>
        <v>May-26</v>
      </c>
      <c r="B140" s="12" t="str">
        <f>'2025 actual v budget'!B140</f>
        <v>Mexico</v>
      </c>
      <c r="C140" s="12" t="str">
        <f>'2025 actual v budget'!C140</f>
        <v>Stablecoin Settlement</v>
      </c>
      <c r="D140" s="14">
        <f>'2025 actual v budget'!D140</f>
        <v>25885060.48</v>
      </c>
      <c r="E140" s="92">
        <f>SUMIFS('Assumption-Best'!$C$3:$C$32,'Assumption-Best'!$A$3:$A$32,$B140,'Assumption-Best'!$B$3:$B$32,$C140)</f>
        <v>0.6</v>
      </c>
      <c r="F140" s="14">
        <f t="shared" si="14"/>
        <v>41416096.768000007</v>
      </c>
      <c r="G140" s="93">
        <f>SUMIFS('Assumption-Best'!$D$3:$D$32,'Assumption-Best'!$A$3:$A$32,$B140,'Assumption-Best'!$B$3:$B$32,$C140)</f>
        <v>6.4999999999999997E-3</v>
      </c>
      <c r="H140" s="94">
        <f t="shared" si="15"/>
        <v>269204.62899200001</v>
      </c>
      <c r="I140" s="92">
        <f>SUMIFS('Assumption-Best'!$E$3:$E$32,'Assumption-Best'!$A$3:$A$32,$B140,'Assumption-Best'!$B$3:$B$32,$C140)</f>
        <v>0.32</v>
      </c>
      <c r="J140" s="14">
        <f t="shared" si="16"/>
        <v>86145.481277440005</v>
      </c>
      <c r="K140" s="95">
        <f>SUMIFS('Assumption-Best'!$F$3:$F$32,'Assumption-Best'!$A$3:$A$32,$B140,'Assumption-Best'!$B$3:$B$32,$C140)</f>
        <v>8.0000000000000007E-5</v>
      </c>
      <c r="L140" s="14">
        <f t="shared" si="17"/>
        <v>3313.2877414400009</v>
      </c>
      <c r="M140" s="94">
        <f t="shared" si="18"/>
        <v>179745.85997312001</v>
      </c>
      <c r="N140" s="92">
        <f>SUMIFS('Assumption-Best'!$G$3:$G$32,'Assumption-Best'!$A$3:$A$32,$B140,'Assumption-Best'!$B$3:$B$32,$C140)</f>
        <v>0.35</v>
      </c>
      <c r="O140" s="14">
        <f t="shared" si="19"/>
        <v>94221.620147199996</v>
      </c>
      <c r="P140" s="94">
        <f t="shared" si="20"/>
        <v>85524.239825920013</v>
      </c>
    </row>
    <row r="141" spans="1:16" x14ac:dyDescent="0.35">
      <c r="A141" s="91" t="str">
        <f>LEFT('2025 actual v budget'!A141,4)&amp;"26"</f>
        <v>May-26</v>
      </c>
      <c r="B141" s="12" t="str">
        <f>'2025 actual v budget'!B141</f>
        <v>Mexico</v>
      </c>
      <c r="C141" s="12" t="str">
        <f>'2025 actual v budget'!C141</f>
        <v>Treasury Yield</v>
      </c>
      <c r="D141" s="14">
        <f>'2025 actual v budget'!D141</f>
        <v>6969291.75</v>
      </c>
      <c r="E141" s="92">
        <f>SUMIFS('Assumption-Best'!$C$3:$C$32,'Assumption-Best'!$A$3:$A$32,$B141,'Assumption-Best'!$B$3:$B$32,$C141)</f>
        <v>0.3</v>
      </c>
      <c r="F141" s="14">
        <f t="shared" si="14"/>
        <v>9060079.2750000004</v>
      </c>
      <c r="G141" s="93">
        <f>SUMIFS('Assumption-Best'!$D$3:$D$32,'Assumption-Best'!$A$3:$A$32,$B141,'Assumption-Best'!$B$3:$B$32,$C141)</f>
        <v>3.0000000000000001E-3</v>
      </c>
      <c r="H141" s="94">
        <f t="shared" si="15"/>
        <v>27180.237825</v>
      </c>
      <c r="I141" s="92">
        <f>SUMIFS('Assumption-Best'!$E$3:$E$32,'Assumption-Best'!$A$3:$A$32,$B141,'Assumption-Best'!$B$3:$B$32,$C141)</f>
        <v>0.18</v>
      </c>
      <c r="J141" s="14">
        <f t="shared" si="16"/>
        <v>4892.4428085</v>
      </c>
      <c r="K141" s="95">
        <f>SUMIFS('Assumption-Best'!$F$3:$F$32,'Assumption-Best'!$A$3:$A$32,$B141,'Assumption-Best'!$B$3:$B$32,$C141)</f>
        <v>8.0000000000000007E-5</v>
      </c>
      <c r="L141" s="14">
        <f t="shared" si="17"/>
        <v>724.80634200000009</v>
      </c>
      <c r="M141" s="94">
        <f t="shared" si="18"/>
        <v>21562.9886745</v>
      </c>
      <c r="N141" s="92">
        <f>SUMIFS('Assumption-Best'!$G$3:$G$32,'Assumption-Best'!$A$3:$A$32,$B141,'Assumption-Best'!$B$3:$B$32,$C141)</f>
        <v>0.35</v>
      </c>
      <c r="O141" s="14">
        <f t="shared" si="19"/>
        <v>9513.0832387499995</v>
      </c>
      <c r="P141" s="94">
        <f t="shared" si="20"/>
        <v>12049.905435750001</v>
      </c>
    </row>
    <row r="142" spans="1:16" x14ac:dyDescent="0.35">
      <c r="A142" s="91" t="str">
        <f>LEFT('2025 actual v budget'!A142,4)&amp;"26"</f>
        <v>May-26</v>
      </c>
      <c r="B142" s="12" t="str">
        <f>'2025 actual v budget'!B142</f>
        <v>Mexico</v>
      </c>
      <c r="C142" s="12" t="str">
        <f>'2025 actual v budget'!C142</f>
        <v>Virtual Accounts</v>
      </c>
      <c r="D142" s="14">
        <f>'2025 actual v budget'!D142</f>
        <v>10807135.49</v>
      </c>
      <c r="E142" s="92">
        <f>SUMIFS('Assumption-Best'!$C$3:$C$32,'Assumption-Best'!$A$3:$A$32,$B142,'Assumption-Best'!$B$3:$B$32,$C142)</f>
        <v>0.3</v>
      </c>
      <c r="F142" s="14">
        <f t="shared" si="14"/>
        <v>14049276.137</v>
      </c>
      <c r="G142" s="93">
        <f>SUMIFS('Assumption-Best'!$D$3:$D$32,'Assumption-Best'!$A$3:$A$32,$B142,'Assumption-Best'!$B$3:$B$32,$C142)</f>
        <v>4.4999999999999997E-3</v>
      </c>
      <c r="H142" s="94">
        <f t="shared" si="15"/>
        <v>63221.742616499992</v>
      </c>
      <c r="I142" s="92">
        <f>SUMIFS('Assumption-Best'!$E$3:$E$32,'Assumption-Best'!$A$3:$A$32,$B142,'Assumption-Best'!$B$3:$B$32,$C142)</f>
        <v>0.22</v>
      </c>
      <c r="J142" s="14">
        <f t="shared" si="16"/>
        <v>13908.783375629999</v>
      </c>
      <c r="K142" s="95">
        <f>SUMIFS('Assumption-Best'!$F$3:$F$32,'Assumption-Best'!$A$3:$A$32,$B142,'Assumption-Best'!$B$3:$B$32,$C142)</f>
        <v>8.0000000000000007E-5</v>
      </c>
      <c r="L142" s="14">
        <f t="shared" si="17"/>
        <v>1123.9420909600001</v>
      </c>
      <c r="M142" s="94">
        <f t="shared" si="18"/>
        <v>48189.017149909996</v>
      </c>
      <c r="N142" s="92">
        <f>SUMIFS('Assumption-Best'!$G$3:$G$32,'Assumption-Best'!$A$3:$A$32,$B142,'Assumption-Best'!$B$3:$B$32,$C142)</f>
        <v>0.35</v>
      </c>
      <c r="O142" s="14">
        <f t="shared" si="19"/>
        <v>22127.609915774996</v>
      </c>
      <c r="P142" s="94">
        <f t="shared" si="20"/>
        <v>26061.407234135</v>
      </c>
    </row>
    <row r="143" spans="1:16" x14ac:dyDescent="0.35">
      <c r="A143" s="91" t="str">
        <f>LEFT('2025 actual v budget'!A143,4)&amp;"26"</f>
        <v>May-26</v>
      </c>
      <c r="B143" s="12" t="str">
        <f>'2025 actual v budget'!B143</f>
        <v>Singapore</v>
      </c>
      <c r="C143" s="12" t="str">
        <f>'2025 actual v budget'!C143</f>
        <v>Cross-border Payouts</v>
      </c>
      <c r="D143" s="14">
        <f>'2025 actual v budget'!D143</f>
        <v>8757990.6799999997</v>
      </c>
      <c r="E143" s="92">
        <f>SUMIFS('Assumption-Best'!$C$3:$C$32,'Assumption-Best'!$A$3:$A$32,$B143,'Assumption-Best'!$B$3:$B$32,$C143)</f>
        <v>0.1</v>
      </c>
      <c r="F143" s="14">
        <f t="shared" si="14"/>
        <v>9633789.7479999997</v>
      </c>
      <c r="G143" s="93">
        <f>SUMIFS('Assumption-Best'!$D$3:$D$32,'Assumption-Best'!$A$3:$A$32,$B143,'Assumption-Best'!$B$3:$B$32,$C143)</f>
        <v>7.4999999999999997E-3</v>
      </c>
      <c r="H143" s="94">
        <f t="shared" si="15"/>
        <v>72253.423109999989</v>
      </c>
      <c r="I143" s="92">
        <f>SUMIFS('Assumption-Best'!$E$3:$E$32,'Assumption-Best'!$A$3:$A$32,$B143,'Assumption-Best'!$B$3:$B$32,$C143)</f>
        <v>0.35</v>
      </c>
      <c r="J143" s="14">
        <f t="shared" si="16"/>
        <v>25288.698088499994</v>
      </c>
      <c r="K143" s="95">
        <f>SUMIFS('Assumption-Best'!$F$3:$F$32,'Assumption-Best'!$A$3:$A$32,$B143,'Assumption-Best'!$B$3:$B$32,$C143)</f>
        <v>9.0000000000000006E-5</v>
      </c>
      <c r="L143" s="14">
        <f t="shared" si="17"/>
        <v>867.04107732</v>
      </c>
      <c r="M143" s="94">
        <f t="shared" si="18"/>
        <v>46097.683944179997</v>
      </c>
      <c r="N143" s="92">
        <f>SUMIFS('Assumption-Best'!$G$3:$G$32,'Assumption-Best'!$A$3:$A$32,$B143,'Assumption-Best'!$B$3:$B$32,$C143)</f>
        <v>0.35</v>
      </c>
      <c r="O143" s="14">
        <f t="shared" si="19"/>
        <v>25288.698088499994</v>
      </c>
      <c r="P143" s="94">
        <f t="shared" si="20"/>
        <v>20808.985855680003</v>
      </c>
    </row>
    <row r="144" spans="1:16" x14ac:dyDescent="0.35">
      <c r="A144" s="91" t="str">
        <f>LEFT('2025 actual v budget'!A144,4)&amp;"26"</f>
        <v>May-26</v>
      </c>
      <c r="B144" s="12" t="str">
        <f>'2025 actual v budget'!B144</f>
        <v>Singapore</v>
      </c>
      <c r="C144" s="12" t="str">
        <f>'2025 actual v budget'!C144</f>
        <v>FX Conversion</v>
      </c>
      <c r="D144" s="14">
        <f>'2025 actual v budget'!D144</f>
        <v>13733390.09</v>
      </c>
      <c r="E144" s="92">
        <f>SUMIFS('Assumption-Best'!$C$3:$C$32,'Assumption-Best'!$A$3:$A$32,$B144,'Assumption-Best'!$B$3:$B$32,$C144)</f>
        <v>0.1</v>
      </c>
      <c r="F144" s="14">
        <f t="shared" si="14"/>
        <v>15106729.099000001</v>
      </c>
      <c r="G144" s="93">
        <f>SUMIFS('Assumption-Best'!$D$3:$D$32,'Assumption-Best'!$A$3:$A$32,$B144,'Assumption-Best'!$B$3:$B$32,$C144)</f>
        <v>1.0500000000000001E-2</v>
      </c>
      <c r="H144" s="94">
        <f t="shared" si="15"/>
        <v>158620.65553950003</v>
      </c>
      <c r="I144" s="92">
        <f>SUMIFS('Assumption-Best'!$E$3:$E$32,'Assumption-Best'!$A$3:$A$32,$B144,'Assumption-Best'!$B$3:$B$32,$C144)</f>
        <v>0.28000000000000003</v>
      </c>
      <c r="J144" s="14">
        <f t="shared" si="16"/>
        <v>44413.783551060013</v>
      </c>
      <c r="K144" s="95">
        <f>SUMIFS('Assumption-Best'!$F$3:$F$32,'Assumption-Best'!$A$3:$A$32,$B144,'Assumption-Best'!$B$3:$B$32,$C144)</f>
        <v>9.0000000000000006E-5</v>
      </c>
      <c r="L144" s="14">
        <f t="shared" si="17"/>
        <v>1359.6056189100002</v>
      </c>
      <c r="M144" s="94">
        <f t="shared" si="18"/>
        <v>112847.26636953001</v>
      </c>
      <c r="N144" s="92">
        <f>SUMIFS('Assumption-Best'!$G$3:$G$32,'Assumption-Best'!$A$3:$A$32,$B144,'Assumption-Best'!$B$3:$B$32,$C144)</f>
        <v>0.35</v>
      </c>
      <c r="O144" s="14">
        <f t="shared" si="19"/>
        <v>55517.229438825008</v>
      </c>
      <c r="P144" s="94">
        <f t="shared" si="20"/>
        <v>57330.036930705006</v>
      </c>
    </row>
    <row r="145" spans="1:16" x14ac:dyDescent="0.35">
      <c r="A145" s="91" t="str">
        <f>LEFT('2025 actual v budget'!A145,4)&amp;"26"</f>
        <v>May-26</v>
      </c>
      <c r="B145" s="12" t="str">
        <f>'2025 actual v budget'!B145</f>
        <v>Singapore</v>
      </c>
      <c r="C145" s="12" t="str">
        <f>'2025 actual v budget'!C145</f>
        <v>Stablecoin Settlement</v>
      </c>
      <c r="D145" s="14">
        <f>'2025 actual v budget'!D145</f>
        <v>21350225.18</v>
      </c>
      <c r="E145" s="92">
        <f>SUMIFS('Assumption-Best'!$C$3:$C$32,'Assumption-Best'!$A$3:$A$32,$B145,'Assumption-Best'!$B$3:$B$32,$C145)</f>
        <v>0.2</v>
      </c>
      <c r="F145" s="14">
        <f t="shared" si="14"/>
        <v>25620270.215999998</v>
      </c>
      <c r="G145" s="93">
        <f>SUMIFS('Assumption-Best'!$D$3:$D$32,'Assumption-Best'!$A$3:$A$32,$B145,'Assumption-Best'!$B$3:$B$32,$C145)</f>
        <v>6.4999999999999997E-3</v>
      </c>
      <c r="H145" s="94">
        <f t="shared" si="15"/>
        <v>166531.75640399999</v>
      </c>
      <c r="I145" s="92">
        <f>SUMIFS('Assumption-Best'!$E$3:$E$32,'Assumption-Best'!$A$3:$A$32,$B145,'Assumption-Best'!$B$3:$B$32,$C145)</f>
        <v>0.32</v>
      </c>
      <c r="J145" s="14">
        <f t="shared" si="16"/>
        <v>53290.162049279999</v>
      </c>
      <c r="K145" s="95">
        <f>SUMIFS('Assumption-Best'!$F$3:$F$32,'Assumption-Best'!$A$3:$A$32,$B145,'Assumption-Best'!$B$3:$B$32,$C145)</f>
        <v>9.0000000000000006E-5</v>
      </c>
      <c r="L145" s="14">
        <f t="shared" si="17"/>
        <v>2305.8243194400002</v>
      </c>
      <c r="M145" s="94">
        <f t="shared" si="18"/>
        <v>110935.77003527999</v>
      </c>
      <c r="N145" s="92">
        <f>SUMIFS('Assumption-Best'!$G$3:$G$32,'Assumption-Best'!$A$3:$A$32,$B145,'Assumption-Best'!$B$3:$B$32,$C145)</f>
        <v>0.35</v>
      </c>
      <c r="O145" s="14">
        <f t="shared" si="19"/>
        <v>58286.114741399993</v>
      </c>
      <c r="P145" s="94">
        <f t="shared" si="20"/>
        <v>52649.655293879994</v>
      </c>
    </row>
    <row r="146" spans="1:16" x14ac:dyDescent="0.35">
      <c r="A146" s="91" t="str">
        <f>LEFT('2025 actual v budget'!A146,4)&amp;"26"</f>
        <v>May-26</v>
      </c>
      <c r="B146" s="12" t="str">
        <f>'2025 actual v budget'!B146</f>
        <v>Singapore</v>
      </c>
      <c r="C146" s="12" t="str">
        <f>'2025 actual v budget'!C146</f>
        <v>Treasury Yield</v>
      </c>
      <c r="D146" s="14">
        <f>'2025 actual v budget'!D146</f>
        <v>5746798.3499999996</v>
      </c>
      <c r="E146" s="92">
        <f>SUMIFS('Assumption-Best'!$C$3:$C$32,'Assumption-Best'!$A$3:$A$32,$B146,'Assumption-Best'!$B$3:$B$32,$C146)</f>
        <v>0.1</v>
      </c>
      <c r="F146" s="14">
        <f t="shared" si="14"/>
        <v>6321478.1850000005</v>
      </c>
      <c r="G146" s="93">
        <f>SUMIFS('Assumption-Best'!$D$3:$D$32,'Assumption-Best'!$A$3:$A$32,$B146,'Assumption-Best'!$B$3:$B$32,$C146)</f>
        <v>3.0000000000000001E-3</v>
      </c>
      <c r="H146" s="94">
        <f t="shared" si="15"/>
        <v>18964.434555000003</v>
      </c>
      <c r="I146" s="92">
        <f>SUMIFS('Assumption-Best'!$E$3:$E$32,'Assumption-Best'!$A$3:$A$32,$B146,'Assumption-Best'!$B$3:$B$32,$C146)</f>
        <v>0.18</v>
      </c>
      <c r="J146" s="14">
        <f t="shared" si="16"/>
        <v>3413.5982199000005</v>
      </c>
      <c r="K146" s="95">
        <f>SUMIFS('Assumption-Best'!$F$3:$F$32,'Assumption-Best'!$A$3:$A$32,$B146,'Assumption-Best'!$B$3:$B$32,$C146)</f>
        <v>9.0000000000000006E-5</v>
      </c>
      <c r="L146" s="14">
        <f t="shared" si="17"/>
        <v>568.93303665000008</v>
      </c>
      <c r="M146" s="94">
        <f t="shared" si="18"/>
        <v>14981.903298450003</v>
      </c>
      <c r="N146" s="92">
        <f>SUMIFS('Assumption-Best'!$G$3:$G$32,'Assumption-Best'!$A$3:$A$32,$B146,'Assumption-Best'!$B$3:$B$32,$C146)</f>
        <v>0.35</v>
      </c>
      <c r="O146" s="14">
        <f t="shared" si="19"/>
        <v>6637.5520942500007</v>
      </c>
      <c r="P146" s="94">
        <f t="shared" si="20"/>
        <v>8344.351204200002</v>
      </c>
    </row>
    <row r="147" spans="1:16" x14ac:dyDescent="0.35">
      <c r="A147" s="91" t="str">
        <f>LEFT('2025 actual v budget'!A147,4)&amp;"26"</f>
        <v>May-26</v>
      </c>
      <c r="B147" s="12" t="str">
        <f>'2025 actual v budget'!B147</f>
        <v>Singapore</v>
      </c>
      <c r="C147" s="12" t="str">
        <f>'2025 actual v budget'!C147</f>
        <v>Virtual Accounts</v>
      </c>
      <c r="D147" s="14">
        <f>'2025 actual v budget'!D147</f>
        <v>8911440.4499999993</v>
      </c>
      <c r="E147" s="92">
        <f>SUMIFS('Assumption-Best'!$C$3:$C$32,'Assumption-Best'!$A$3:$A$32,$B147,'Assumption-Best'!$B$3:$B$32,$C147)</f>
        <v>0.1</v>
      </c>
      <c r="F147" s="14">
        <f t="shared" si="14"/>
        <v>9802584.4949999992</v>
      </c>
      <c r="G147" s="93">
        <f>SUMIFS('Assumption-Best'!$D$3:$D$32,'Assumption-Best'!$A$3:$A$32,$B147,'Assumption-Best'!$B$3:$B$32,$C147)</f>
        <v>4.4999999999999997E-3</v>
      </c>
      <c r="H147" s="94">
        <f t="shared" si="15"/>
        <v>44111.630227499991</v>
      </c>
      <c r="I147" s="92">
        <f>SUMIFS('Assumption-Best'!$E$3:$E$32,'Assumption-Best'!$A$3:$A$32,$B147,'Assumption-Best'!$B$3:$B$32,$C147)</f>
        <v>0.22</v>
      </c>
      <c r="J147" s="14">
        <f t="shared" si="16"/>
        <v>9704.5586500499976</v>
      </c>
      <c r="K147" s="95">
        <f>SUMIFS('Assumption-Best'!$F$3:$F$32,'Assumption-Best'!$A$3:$A$32,$B147,'Assumption-Best'!$B$3:$B$32,$C147)</f>
        <v>9.0000000000000006E-5</v>
      </c>
      <c r="L147" s="14">
        <f t="shared" si="17"/>
        <v>882.23260455000002</v>
      </c>
      <c r="M147" s="94">
        <f t="shared" si="18"/>
        <v>33524.83897289999</v>
      </c>
      <c r="N147" s="92">
        <f>SUMIFS('Assumption-Best'!$G$3:$G$32,'Assumption-Best'!$A$3:$A$32,$B147,'Assumption-Best'!$B$3:$B$32,$C147)</f>
        <v>0.35</v>
      </c>
      <c r="O147" s="14">
        <f t="shared" si="19"/>
        <v>15439.070579624995</v>
      </c>
      <c r="P147" s="94">
        <f t="shared" si="20"/>
        <v>18085.768393274993</v>
      </c>
    </row>
    <row r="148" spans="1:16" x14ac:dyDescent="0.35">
      <c r="A148" s="91" t="str">
        <f>LEFT('2025 actual v budget'!A148,4)&amp;"26"</f>
        <v>May-26</v>
      </c>
      <c r="B148" s="12" t="str">
        <f>'2025 actual v budget'!B148</f>
        <v>USA</v>
      </c>
      <c r="C148" s="12" t="str">
        <f>'2025 actual v budget'!C148</f>
        <v>Cross-border Payouts</v>
      </c>
      <c r="D148" s="14">
        <f>'2025 actual v budget'!D148</f>
        <v>21482847.48</v>
      </c>
      <c r="E148" s="92">
        <f>SUMIFS('Assumption-Best'!$C$3:$C$32,'Assumption-Best'!$A$3:$A$32,$B148,'Assumption-Best'!$B$3:$B$32,$C148)</f>
        <v>0.2</v>
      </c>
      <c r="F148" s="14">
        <f t="shared" si="14"/>
        <v>25779416.976</v>
      </c>
      <c r="G148" s="93">
        <f>SUMIFS('Assumption-Best'!$D$3:$D$32,'Assumption-Best'!$A$3:$A$32,$B148,'Assumption-Best'!$B$3:$B$32,$C148)</f>
        <v>7.4999999999999997E-3</v>
      </c>
      <c r="H148" s="94">
        <f t="shared" si="15"/>
        <v>193345.62732</v>
      </c>
      <c r="I148" s="92">
        <f>SUMIFS('Assumption-Best'!$E$3:$E$32,'Assumption-Best'!$A$3:$A$32,$B148,'Assumption-Best'!$B$3:$B$32,$C148)</f>
        <v>0.35</v>
      </c>
      <c r="J148" s="14">
        <f t="shared" si="16"/>
        <v>67670.969561999998</v>
      </c>
      <c r="K148" s="95">
        <f>SUMIFS('Assumption-Best'!$F$3:$F$32,'Assumption-Best'!$A$3:$A$32,$B148,'Assumption-Best'!$B$3:$B$32,$C148)</f>
        <v>2.0000000000000001E-4</v>
      </c>
      <c r="L148" s="14">
        <f t="shared" si="17"/>
        <v>5155.8833952000005</v>
      </c>
      <c r="M148" s="94">
        <f t="shared" si="18"/>
        <v>120518.7743628</v>
      </c>
      <c r="N148" s="92">
        <f>SUMIFS('Assumption-Best'!$G$3:$G$32,'Assumption-Best'!$A$3:$A$32,$B148,'Assumption-Best'!$B$3:$B$32,$C148)</f>
        <v>0.35</v>
      </c>
      <c r="O148" s="14">
        <f t="shared" si="19"/>
        <v>67670.969561999998</v>
      </c>
      <c r="P148" s="94">
        <f t="shared" si="20"/>
        <v>52847.804800800004</v>
      </c>
    </row>
    <row r="149" spans="1:16" x14ac:dyDescent="0.35">
      <c r="A149" s="91" t="str">
        <f>LEFT('2025 actual v budget'!A149,4)&amp;"26"</f>
        <v>May-26</v>
      </c>
      <c r="B149" s="12" t="str">
        <f>'2025 actual v budget'!B149</f>
        <v>USA</v>
      </c>
      <c r="C149" s="12" t="str">
        <f>'2025 actual v budget'!C149</f>
        <v>FX Conversion</v>
      </c>
      <c r="D149" s="14">
        <f>'2025 actual v budget'!D149</f>
        <v>33684160.689999998</v>
      </c>
      <c r="E149" s="92">
        <f>SUMIFS('Assumption-Best'!$C$3:$C$32,'Assumption-Best'!$A$3:$A$32,$B149,'Assumption-Best'!$B$3:$B$32,$C149)</f>
        <v>0.2</v>
      </c>
      <c r="F149" s="14">
        <f t="shared" si="14"/>
        <v>40420992.827999994</v>
      </c>
      <c r="G149" s="93">
        <f>SUMIFS('Assumption-Best'!$D$3:$D$32,'Assumption-Best'!$A$3:$A$32,$B149,'Assumption-Best'!$B$3:$B$32,$C149)</f>
        <v>1.0500000000000001E-2</v>
      </c>
      <c r="H149" s="94">
        <f t="shared" si="15"/>
        <v>424420.42469399999</v>
      </c>
      <c r="I149" s="92">
        <f>SUMIFS('Assumption-Best'!$E$3:$E$32,'Assumption-Best'!$A$3:$A$32,$B149,'Assumption-Best'!$B$3:$B$32,$C149)</f>
        <v>0.28000000000000003</v>
      </c>
      <c r="J149" s="14">
        <f t="shared" si="16"/>
        <v>118837.71891432001</v>
      </c>
      <c r="K149" s="95">
        <f>SUMIFS('Assumption-Best'!$F$3:$F$32,'Assumption-Best'!$A$3:$A$32,$B149,'Assumption-Best'!$B$3:$B$32,$C149)</f>
        <v>2.0000000000000001E-4</v>
      </c>
      <c r="L149" s="14">
        <f t="shared" si="17"/>
        <v>8084.1985655999988</v>
      </c>
      <c r="M149" s="94">
        <f t="shared" si="18"/>
        <v>297498.50721408002</v>
      </c>
      <c r="N149" s="92">
        <f>SUMIFS('Assumption-Best'!$G$3:$G$32,'Assumption-Best'!$A$3:$A$32,$B149,'Assumption-Best'!$B$3:$B$32,$C149)</f>
        <v>0.35</v>
      </c>
      <c r="O149" s="14">
        <f t="shared" si="19"/>
        <v>148547.14864289999</v>
      </c>
      <c r="P149" s="94">
        <f t="shared" si="20"/>
        <v>148951.35857118003</v>
      </c>
    </row>
    <row r="150" spans="1:16" x14ac:dyDescent="0.35">
      <c r="A150" s="91" t="str">
        <f>LEFT('2025 actual v budget'!A150,4)&amp;"26"</f>
        <v>May-26</v>
      </c>
      <c r="B150" s="12" t="str">
        <f>'2025 actual v budget'!B150</f>
        <v>USA</v>
      </c>
      <c r="C150" s="12" t="str">
        <f>'2025 actual v budget'!C150</f>
        <v>Stablecoin Settlement</v>
      </c>
      <c r="D150" s="14">
        <f>'2025 actual v budget'!D150</f>
        <v>52370874.539999999</v>
      </c>
      <c r="E150" s="92">
        <f>SUMIFS('Assumption-Best'!$C$3:$C$32,'Assumption-Best'!$A$3:$A$32,$B150,'Assumption-Best'!$B$3:$B$32,$C150)</f>
        <v>0.4</v>
      </c>
      <c r="F150" s="14">
        <f t="shared" si="14"/>
        <v>73319224.355999991</v>
      </c>
      <c r="G150" s="93">
        <f>SUMIFS('Assumption-Best'!$D$3:$D$32,'Assumption-Best'!$A$3:$A$32,$B150,'Assumption-Best'!$B$3:$B$32,$C150)</f>
        <v>6.4999999999999997E-3</v>
      </c>
      <c r="H150" s="94">
        <f t="shared" si="15"/>
        <v>476574.95831399993</v>
      </c>
      <c r="I150" s="92">
        <f>SUMIFS('Assumption-Best'!$E$3:$E$32,'Assumption-Best'!$A$3:$A$32,$B150,'Assumption-Best'!$B$3:$B$32,$C150)</f>
        <v>0.32</v>
      </c>
      <c r="J150" s="14">
        <f t="shared" si="16"/>
        <v>152503.98666047998</v>
      </c>
      <c r="K150" s="95">
        <f>SUMIFS('Assumption-Best'!$F$3:$F$32,'Assumption-Best'!$A$3:$A$32,$B150,'Assumption-Best'!$B$3:$B$32,$C150)</f>
        <v>2.0000000000000001E-4</v>
      </c>
      <c r="L150" s="14">
        <f t="shared" si="17"/>
        <v>14663.844871199999</v>
      </c>
      <c r="M150" s="94">
        <f t="shared" si="18"/>
        <v>309407.12678231997</v>
      </c>
      <c r="N150" s="92">
        <f>SUMIFS('Assumption-Best'!$G$3:$G$32,'Assumption-Best'!$A$3:$A$32,$B150,'Assumption-Best'!$B$3:$B$32,$C150)</f>
        <v>0.35</v>
      </c>
      <c r="O150" s="14">
        <f t="shared" si="19"/>
        <v>166801.23540989996</v>
      </c>
      <c r="P150" s="94">
        <f t="shared" si="20"/>
        <v>142605.89137242001</v>
      </c>
    </row>
    <row r="151" spans="1:16" x14ac:dyDescent="0.35">
      <c r="A151" s="91" t="str">
        <f>LEFT('2025 actual v budget'!A151,4)&amp;"26"</f>
        <v>May-26</v>
      </c>
      <c r="B151" s="12" t="str">
        <f>'2025 actual v budget'!B151</f>
        <v>USA</v>
      </c>
      <c r="C151" s="12" t="str">
        <f>'2025 actual v budget'!C151</f>
        <v>Treasury Yield</v>
      </c>
      <c r="D151" s="14">
        <f>'2025 actual v budget'!D151</f>
        <v>14095287.300000001</v>
      </c>
      <c r="E151" s="92">
        <f>SUMIFS('Assumption-Best'!$C$3:$C$32,'Assumption-Best'!$A$3:$A$32,$B151,'Assumption-Best'!$B$3:$B$32,$C151)</f>
        <v>0.2</v>
      </c>
      <c r="F151" s="14">
        <f t="shared" si="14"/>
        <v>16914344.760000002</v>
      </c>
      <c r="G151" s="93">
        <f>SUMIFS('Assumption-Best'!$D$3:$D$32,'Assumption-Best'!$A$3:$A$32,$B151,'Assumption-Best'!$B$3:$B$32,$C151)</f>
        <v>3.0000000000000001E-3</v>
      </c>
      <c r="H151" s="94">
        <f t="shared" si="15"/>
        <v>50743.034280000007</v>
      </c>
      <c r="I151" s="92">
        <f>SUMIFS('Assumption-Best'!$E$3:$E$32,'Assumption-Best'!$A$3:$A$32,$B151,'Assumption-Best'!$B$3:$B$32,$C151)</f>
        <v>0.18</v>
      </c>
      <c r="J151" s="14">
        <f t="shared" si="16"/>
        <v>9133.7461704000016</v>
      </c>
      <c r="K151" s="95">
        <f>SUMIFS('Assumption-Best'!$F$3:$F$32,'Assumption-Best'!$A$3:$A$32,$B151,'Assumption-Best'!$B$3:$B$32,$C151)</f>
        <v>2.0000000000000001E-4</v>
      </c>
      <c r="L151" s="14">
        <f t="shared" si="17"/>
        <v>3382.8689520000003</v>
      </c>
      <c r="M151" s="94">
        <f t="shared" si="18"/>
        <v>38226.419157600008</v>
      </c>
      <c r="N151" s="92">
        <f>SUMIFS('Assumption-Best'!$G$3:$G$32,'Assumption-Best'!$A$3:$A$32,$B151,'Assumption-Best'!$B$3:$B$32,$C151)</f>
        <v>0.35</v>
      </c>
      <c r="O151" s="14">
        <f t="shared" si="19"/>
        <v>17760.061998000001</v>
      </c>
      <c r="P151" s="94">
        <f t="shared" si="20"/>
        <v>20466.357159600007</v>
      </c>
    </row>
    <row r="152" spans="1:16" x14ac:dyDescent="0.35">
      <c r="A152" s="91" t="str">
        <f>LEFT('2025 actual v budget'!A152,4)&amp;"26"</f>
        <v>May-26</v>
      </c>
      <c r="B152" s="12" t="str">
        <f>'2025 actual v budget'!B152</f>
        <v>USA</v>
      </c>
      <c r="C152" s="12" t="str">
        <f>'2025 actual v budget'!C152</f>
        <v>Virtual Accounts</v>
      </c>
      <c r="D152" s="14">
        <f>'2025 actual v budget'!D152</f>
        <v>21857268.32</v>
      </c>
      <c r="E152" s="92">
        <f>SUMIFS('Assumption-Best'!$C$3:$C$32,'Assumption-Best'!$A$3:$A$32,$B152,'Assumption-Best'!$B$3:$B$32,$C152)</f>
        <v>0.2</v>
      </c>
      <c r="F152" s="14">
        <f t="shared" si="14"/>
        <v>26228721.984000001</v>
      </c>
      <c r="G152" s="93">
        <f>SUMIFS('Assumption-Best'!$D$3:$D$32,'Assumption-Best'!$A$3:$A$32,$B152,'Assumption-Best'!$B$3:$B$32,$C152)</f>
        <v>4.4999999999999997E-3</v>
      </c>
      <c r="H152" s="94">
        <f t="shared" si="15"/>
        <v>118029.248928</v>
      </c>
      <c r="I152" s="92">
        <f>SUMIFS('Assumption-Best'!$E$3:$E$32,'Assumption-Best'!$A$3:$A$32,$B152,'Assumption-Best'!$B$3:$B$32,$C152)</f>
        <v>0.22</v>
      </c>
      <c r="J152" s="14">
        <f t="shared" si="16"/>
        <v>25966.43476416</v>
      </c>
      <c r="K152" s="95">
        <f>SUMIFS('Assumption-Best'!$F$3:$F$32,'Assumption-Best'!$A$3:$A$32,$B152,'Assumption-Best'!$B$3:$B$32,$C152)</f>
        <v>2.0000000000000001E-4</v>
      </c>
      <c r="L152" s="14">
        <f t="shared" si="17"/>
        <v>5245.7443968000007</v>
      </c>
      <c r="M152" s="94">
        <f t="shared" si="18"/>
        <v>86817.069767039997</v>
      </c>
      <c r="N152" s="92">
        <f>SUMIFS('Assumption-Best'!$G$3:$G$32,'Assumption-Best'!$A$3:$A$32,$B152,'Assumption-Best'!$B$3:$B$32,$C152)</f>
        <v>0.35</v>
      </c>
      <c r="O152" s="14">
        <f t="shared" si="19"/>
        <v>41310.237124799998</v>
      </c>
      <c r="P152" s="94">
        <f t="shared" si="20"/>
        <v>45506.832642239999</v>
      </c>
    </row>
    <row r="153" spans="1:16" x14ac:dyDescent="0.35">
      <c r="A153" s="96" t="str">
        <f>LEFT('2025 actual v budget'!A153,4)&amp;"26"</f>
        <v>Jun-26</v>
      </c>
      <c r="B153" s="17" t="str">
        <f>'2025 actual v budget'!B153</f>
        <v>Brazil</v>
      </c>
      <c r="C153" s="17" t="str">
        <f>'2025 actual v budget'!C153</f>
        <v>Cross-border Payouts</v>
      </c>
      <c r="D153" s="19">
        <f>'2025 actual v budget'!D153</f>
        <v>14347829.960000001</v>
      </c>
      <c r="E153" s="97">
        <f>SUMIFS('Assumption-Best'!$C$3:$C$32,'Assumption-Best'!$A$3:$A$32,$B153,'Assumption-Best'!$B$3:$B$32,$C153)</f>
        <v>0.4</v>
      </c>
      <c r="F153" s="19">
        <f t="shared" si="14"/>
        <v>20086961.943999998</v>
      </c>
      <c r="G153" s="98">
        <f>SUMIFS('Assumption-Best'!$D$3:$D$32,'Assumption-Best'!$A$3:$A$32,$B153,'Assumption-Best'!$B$3:$B$32,$C153)</f>
        <v>7.4999999999999997E-3</v>
      </c>
      <c r="H153" s="99">
        <f t="shared" si="15"/>
        <v>150652.21457999997</v>
      </c>
      <c r="I153" s="97">
        <f>SUMIFS('Assumption-Best'!$E$3:$E$32,'Assumption-Best'!$A$3:$A$32,$B153,'Assumption-Best'!$B$3:$B$32,$C153)</f>
        <v>0.35</v>
      </c>
      <c r="J153" s="19">
        <f t="shared" si="16"/>
        <v>52728.275102999985</v>
      </c>
      <c r="K153" s="100">
        <f>SUMIFS('Assumption-Best'!$F$3:$F$32,'Assumption-Best'!$A$3:$A$32,$B153,'Assumption-Best'!$B$3:$B$32,$C153)</f>
        <v>6.9999999999999994E-5</v>
      </c>
      <c r="L153" s="19">
        <f t="shared" si="17"/>
        <v>1406.0873360799997</v>
      </c>
      <c r="M153" s="99">
        <f t="shared" si="18"/>
        <v>96517.852140919975</v>
      </c>
      <c r="N153" s="97">
        <f>SUMIFS('Assumption-Best'!$G$3:$G$32,'Assumption-Best'!$A$3:$A$32,$B153,'Assumption-Best'!$B$3:$B$32,$C153)</f>
        <v>0.35</v>
      </c>
      <c r="O153" s="19">
        <f t="shared" si="19"/>
        <v>52728.275102999985</v>
      </c>
      <c r="P153" s="99">
        <f t="shared" si="20"/>
        <v>43789.577037919989</v>
      </c>
    </row>
    <row r="154" spans="1:16" x14ac:dyDescent="0.35">
      <c r="A154" s="96" t="str">
        <f>LEFT('2025 actual v budget'!A154,4)&amp;"26"</f>
        <v>Jun-26</v>
      </c>
      <c r="B154" s="17" t="str">
        <f>'2025 actual v budget'!B154</f>
        <v>Brazil</v>
      </c>
      <c r="C154" s="17" t="str">
        <f>'2025 actual v budget'!C154</f>
        <v>FX Conversion</v>
      </c>
      <c r="D154" s="19">
        <f>'2025 actual v budget'!D154</f>
        <v>22144512.949999999</v>
      </c>
      <c r="E154" s="97">
        <f>SUMIFS('Assumption-Best'!$C$3:$C$32,'Assumption-Best'!$A$3:$A$32,$B154,'Assumption-Best'!$B$3:$B$32,$C154)</f>
        <v>0.4</v>
      </c>
      <c r="F154" s="19">
        <f t="shared" si="14"/>
        <v>31002318.129999995</v>
      </c>
      <c r="G154" s="98">
        <f>SUMIFS('Assumption-Best'!$D$3:$D$32,'Assumption-Best'!$A$3:$A$32,$B154,'Assumption-Best'!$B$3:$B$32,$C154)</f>
        <v>1.0500000000000001E-2</v>
      </c>
      <c r="H154" s="99">
        <f t="shared" si="15"/>
        <v>325524.34036499995</v>
      </c>
      <c r="I154" s="97">
        <f>SUMIFS('Assumption-Best'!$E$3:$E$32,'Assumption-Best'!$A$3:$A$32,$B154,'Assumption-Best'!$B$3:$B$32,$C154)</f>
        <v>0.28000000000000003</v>
      </c>
      <c r="J154" s="19">
        <f t="shared" si="16"/>
        <v>91146.81530219999</v>
      </c>
      <c r="K154" s="100">
        <f>SUMIFS('Assumption-Best'!$F$3:$F$32,'Assumption-Best'!$A$3:$A$32,$B154,'Assumption-Best'!$B$3:$B$32,$C154)</f>
        <v>6.9999999999999994E-5</v>
      </c>
      <c r="L154" s="19">
        <f t="shared" si="17"/>
        <v>2170.1622690999993</v>
      </c>
      <c r="M154" s="99">
        <f t="shared" si="18"/>
        <v>232207.36279369998</v>
      </c>
      <c r="N154" s="97">
        <f>SUMIFS('Assumption-Best'!$G$3:$G$32,'Assumption-Best'!$A$3:$A$32,$B154,'Assumption-Best'!$B$3:$B$32,$C154)</f>
        <v>0.35</v>
      </c>
      <c r="O154" s="19">
        <f t="shared" si="19"/>
        <v>113933.51912774998</v>
      </c>
      <c r="P154" s="99">
        <f t="shared" si="20"/>
        <v>118273.84366595</v>
      </c>
    </row>
    <row r="155" spans="1:16" x14ac:dyDescent="0.35">
      <c r="A155" s="96" t="str">
        <f>LEFT('2025 actual v budget'!A155,4)&amp;"26"</f>
        <v>Jun-26</v>
      </c>
      <c r="B155" s="17" t="str">
        <f>'2025 actual v budget'!B155</f>
        <v>Brazil</v>
      </c>
      <c r="C155" s="17" t="str">
        <f>'2025 actual v budget'!C155</f>
        <v>Stablecoin Settlement</v>
      </c>
      <c r="D155" s="19">
        <f>'2025 actual v budget'!D155</f>
        <v>35052748.579999998</v>
      </c>
      <c r="E155" s="97">
        <f>SUMIFS('Assumption-Best'!$C$3:$C$32,'Assumption-Best'!$A$3:$A$32,$B155,'Assumption-Best'!$B$3:$B$32,$C155)</f>
        <v>0.8</v>
      </c>
      <c r="F155" s="19">
        <f t="shared" si="14"/>
        <v>63094947.443999998</v>
      </c>
      <c r="G155" s="98">
        <f>SUMIFS('Assumption-Best'!$D$3:$D$32,'Assumption-Best'!$A$3:$A$32,$B155,'Assumption-Best'!$B$3:$B$32,$C155)</f>
        <v>6.4999999999999997E-3</v>
      </c>
      <c r="H155" s="99">
        <f t="shared" si="15"/>
        <v>410117.15838599997</v>
      </c>
      <c r="I155" s="97">
        <f>SUMIFS('Assumption-Best'!$E$3:$E$32,'Assumption-Best'!$A$3:$A$32,$B155,'Assumption-Best'!$B$3:$B$32,$C155)</f>
        <v>0.32</v>
      </c>
      <c r="J155" s="19">
        <f t="shared" si="16"/>
        <v>131237.49068351998</v>
      </c>
      <c r="K155" s="100">
        <f>SUMIFS('Assumption-Best'!$F$3:$F$32,'Assumption-Best'!$A$3:$A$32,$B155,'Assumption-Best'!$B$3:$B$32,$C155)</f>
        <v>6.9999999999999994E-5</v>
      </c>
      <c r="L155" s="19">
        <f t="shared" si="17"/>
        <v>4416.6463210799993</v>
      </c>
      <c r="M155" s="99">
        <f t="shared" si="18"/>
        <v>274463.0213814</v>
      </c>
      <c r="N155" s="97">
        <f>SUMIFS('Assumption-Best'!$G$3:$G$32,'Assumption-Best'!$A$3:$A$32,$B155,'Assumption-Best'!$B$3:$B$32,$C155)</f>
        <v>0.35</v>
      </c>
      <c r="O155" s="19">
        <f t="shared" si="19"/>
        <v>143541.00543509997</v>
      </c>
      <c r="P155" s="99">
        <f t="shared" si="20"/>
        <v>130922.01594630003</v>
      </c>
    </row>
    <row r="156" spans="1:16" x14ac:dyDescent="0.35">
      <c r="A156" s="96" t="str">
        <f>LEFT('2025 actual v budget'!A156,4)&amp;"26"</f>
        <v>Jun-26</v>
      </c>
      <c r="B156" s="17" t="str">
        <f>'2025 actual v budget'!B156</f>
        <v>Brazil</v>
      </c>
      <c r="C156" s="17" t="str">
        <f>'2025 actual v budget'!C156</f>
        <v>Treasury Yield</v>
      </c>
      <c r="D156" s="19">
        <f>'2025 actual v budget'!D156</f>
        <v>9395658.7799999993</v>
      </c>
      <c r="E156" s="97">
        <f>SUMIFS('Assumption-Best'!$C$3:$C$32,'Assumption-Best'!$A$3:$A$32,$B156,'Assumption-Best'!$B$3:$B$32,$C156)</f>
        <v>0.4</v>
      </c>
      <c r="F156" s="19">
        <f t="shared" si="14"/>
        <v>13153922.291999998</v>
      </c>
      <c r="G156" s="98">
        <f>SUMIFS('Assumption-Best'!$D$3:$D$32,'Assumption-Best'!$A$3:$A$32,$B156,'Assumption-Best'!$B$3:$B$32,$C156)</f>
        <v>3.0000000000000001E-3</v>
      </c>
      <c r="H156" s="99">
        <f t="shared" si="15"/>
        <v>39461.766875999994</v>
      </c>
      <c r="I156" s="97">
        <f>SUMIFS('Assumption-Best'!$E$3:$E$32,'Assumption-Best'!$A$3:$A$32,$B156,'Assumption-Best'!$B$3:$B$32,$C156)</f>
        <v>0.18</v>
      </c>
      <c r="J156" s="19">
        <f t="shared" si="16"/>
        <v>7103.1180376799985</v>
      </c>
      <c r="K156" s="100">
        <f>SUMIFS('Assumption-Best'!$F$3:$F$32,'Assumption-Best'!$A$3:$A$32,$B156,'Assumption-Best'!$B$3:$B$32,$C156)</f>
        <v>6.9999999999999994E-5</v>
      </c>
      <c r="L156" s="19">
        <f t="shared" si="17"/>
        <v>920.77456043999973</v>
      </c>
      <c r="M156" s="99">
        <f t="shared" si="18"/>
        <v>31437.874277879997</v>
      </c>
      <c r="N156" s="97">
        <f>SUMIFS('Assumption-Best'!$G$3:$G$32,'Assumption-Best'!$A$3:$A$32,$B156,'Assumption-Best'!$B$3:$B$32,$C156)</f>
        <v>0.35</v>
      </c>
      <c r="O156" s="19">
        <f t="shared" si="19"/>
        <v>13811.618406599997</v>
      </c>
      <c r="P156" s="99">
        <f t="shared" si="20"/>
        <v>17626.255871280002</v>
      </c>
    </row>
    <row r="157" spans="1:16" x14ac:dyDescent="0.35">
      <c r="A157" s="96" t="str">
        <f>LEFT('2025 actual v budget'!A157,4)&amp;"26"</f>
        <v>Jun-26</v>
      </c>
      <c r="B157" s="17" t="str">
        <f>'2025 actual v budget'!B157</f>
        <v>Brazil</v>
      </c>
      <c r="C157" s="17" t="str">
        <f>'2025 actual v budget'!C157</f>
        <v>Virtual Accounts</v>
      </c>
      <c r="D157" s="19">
        <f>'2025 actual v budget'!D157</f>
        <v>14286491.699999999</v>
      </c>
      <c r="E157" s="97">
        <f>SUMIFS('Assumption-Best'!$C$3:$C$32,'Assumption-Best'!$A$3:$A$32,$B157,'Assumption-Best'!$B$3:$B$32,$C157)</f>
        <v>0.4</v>
      </c>
      <c r="F157" s="19">
        <f t="shared" si="14"/>
        <v>20001088.379999999</v>
      </c>
      <c r="G157" s="98">
        <f>SUMIFS('Assumption-Best'!$D$3:$D$32,'Assumption-Best'!$A$3:$A$32,$B157,'Assumption-Best'!$B$3:$B$32,$C157)</f>
        <v>4.4999999999999997E-3</v>
      </c>
      <c r="H157" s="99">
        <f t="shared" si="15"/>
        <v>90004.89770999999</v>
      </c>
      <c r="I157" s="97">
        <f>SUMIFS('Assumption-Best'!$E$3:$E$32,'Assumption-Best'!$A$3:$A$32,$B157,'Assumption-Best'!$B$3:$B$32,$C157)</f>
        <v>0.22</v>
      </c>
      <c r="J157" s="19">
        <f t="shared" si="16"/>
        <v>19801.0774962</v>
      </c>
      <c r="K157" s="100">
        <f>SUMIFS('Assumption-Best'!$F$3:$F$32,'Assumption-Best'!$A$3:$A$32,$B157,'Assumption-Best'!$B$3:$B$32,$C157)</f>
        <v>6.9999999999999994E-5</v>
      </c>
      <c r="L157" s="19">
        <f t="shared" si="17"/>
        <v>1400.0761865999998</v>
      </c>
      <c r="M157" s="99">
        <f t="shared" si="18"/>
        <v>68803.744027199995</v>
      </c>
      <c r="N157" s="97">
        <f>SUMIFS('Assumption-Best'!$G$3:$G$32,'Assumption-Best'!$A$3:$A$32,$B157,'Assumption-Best'!$B$3:$B$32,$C157)</f>
        <v>0.35</v>
      </c>
      <c r="O157" s="19">
        <f t="shared" si="19"/>
        <v>31501.714198499994</v>
      </c>
      <c r="P157" s="99">
        <f t="shared" si="20"/>
        <v>37302.029828700004</v>
      </c>
    </row>
    <row r="158" spans="1:16" x14ac:dyDescent="0.35">
      <c r="A158" s="96" t="str">
        <f>LEFT('2025 actual v budget'!A158,4)&amp;"26"</f>
        <v>Jun-26</v>
      </c>
      <c r="B158" s="17" t="str">
        <f>'2025 actual v budget'!B158</f>
        <v>Germany</v>
      </c>
      <c r="C158" s="17" t="str">
        <f>'2025 actual v budget'!C158</f>
        <v>Cross-border Payouts</v>
      </c>
      <c r="D158" s="19">
        <f>'2025 actual v budget'!D158</f>
        <v>7084434.5300000003</v>
      </c>
      <c r="E158" s="97">
        <f>SUMIFS('Assumption-Best'!$C$3:$C$32,'Assumption-Best'!$A$3:$A$32,$B158,'Assumption-Best'!$B$3:$B$32,$C158)</f>
        <v>0.12</v>
      </c>
      <c r="F158" s="19">
        <f t="shared" si="14"/>
        <v>7934566.6736000013</v>
      </c>
      <c r="G158" s="98">
        <f>SUMIFS('Assumption-Best'!$D$3:$D$32,'Assumption-Best'!$A$3:$A$32,$B158,'Assumption-Best'!$B$3:$B$32,$C158)</f>
        <v>7.4999999999999997E-3</v>
      </c>
      <c r="H158" s="99">
        <f t="shared" si="15"/>
        <v>59509.25005200001</v>
      </c>
      <c r="I158" s="97">
        <f>SUMIFS('Assumption-Best'!$E$3:$E$32,'Assumption-Best'!$A$3:$A$32,$B158,'Assumption-Best'!$B$3:$B$32,$C158)</f>
        <v>0.35</v>
      </c>
      <c r="J158" s="19">
        <f t="shared" si="16"/>
        <v>20828.237518200003</v>
      </c>
      <c r="K158" s="100">
        <f>SUMIFS('Assumption-Best'!$F$3:$F$32,'Assumption-Best'!$A$3:$A$32,$B158,'Assumption-Best'!$B$3:$B$32,$C158)</f>
        <v>1.4999999999999999E-4</v>
      </c>
      <c r="L158" s="19">
        <f t="shared" si="17"/>
        <v>1190.1850010400001</v>
      </c>
      <c r="M158" s="99">
        <f t="shared" si="18"/>
        <v>37490.827532760006</v>
      </c>
      <c r="N158" s="97">
        <f>SUMIFS('Assumption-Best'!$G$3:$G$32,'Assumption-Best'!$A$3:$A$32,$B158,'Assumption-Best'!$B$3:$B$32,$C158)</f>
        <v>0.35</v>
      </c>
      <c r="O158" s="19">
        <f t="shared" si="19"/>
        <v>20828.237518200003</v>
      </c>
      <c r="P158" s="99">
        <f t="shared" si="20"/>
        <v>16662.590014560003</v>
      </c>
    </row>
    <row r="159" spans="1:16" x14ac:dyDescent="0.35">
      <c r="A159" s="96" t="str">
        <f>LEFT('2025 actual v budget'!A159,4)&amp;"26"</f>
        <v>Jun-26</v>
      </c>
      <c r="B159" s="17" t="str">
        <f>'2025 actual v budget'!B159</f>
        <v>Germany</v>
      </c>
      <c r="C159" s="17" t="str">
        <f>'2025 actual v budget'!C159</f>
        <v>FX Conversion</v>
      </c>
      <c r="D159" s="19">
        <f>'2025 actual v budget'!D159</f>
        <v>10929217.27</v>
      </c>
      <c r="E159" s="97">
        <f>SUMIFS('Assumption-Best'!$C$3:$C$32,'Assumption-Best'!$A$3:$A$32,$B159,'Assumption-Best'!$B$3:$B$32,$C159)</f>
        <v>0.12</v>
      </c>
      <c r="F159" s="19">
        <f t="shared" si="14"/>
        <v>12240723.342400001</v>
      </c>
      <c r="G159" s="98">
        <f>SUMIFS('Assumption-Best'!$D$3:$D$32,'Assumption-Best'!$A$3:$A$32,$B159,'Assumption-Best'!$B$3:$B$32,$C159)</f>
        <v>1.0500000000000001E-2</v>
      </c>
      <c r="H159" s="99">
        <f t="shared" si="15"/>
        <v>128527.59509520003</v>
      </c>
      <c r="I159" s="97">
        <f>SUMIFS('Assumption-Best'!$E$3:$E$32,'Assumption-Best'!$A$3:$A$32,$B159,'Assumption-Best'!$B$3:$B$32,$C159)</f>
        <v>0.28000000000000003</v>
      </c>
      <c r="J159" s="19">
        <f t="shared" si="16"/>
        <v>35987.726626656011</v>
      </c>
      <c r="K159" s="100">
        <f>SUMIFS('Assumption-Best'!$F$3:$F$32,'Assumption-Best'!$A$3:$A$32,$B159,'Assumption-Best'!$B$3:$B$32,$C159)</f>
        <v>1.4999999999999999E-4</v>
      </c>
      <c r="L159" s="19">
        <f t="shared" si="17"/>
        <v>1836.10850136</v>
      </c>
      <c r="M159" s="99">
        <f t="shared" si="18"/>
        <v>90703.759967184014</v>
      </c>
      <c r="N159" s="97">
        <f>SUMIFS('Assumption-Best'!$G$3:$G$32,'Assumption-Best'!$A$3:$A$32,$B159,'Assumption-Best'!$B$3:$B$32,$C159)</f>
        <v>0.35</v>
      </c>
      <c r="O159" s="19">
        <f t="shared" si="19"/>
        <v>44984.658283320008</v>
      </c>
      <c r="P159" s="99">
        <f t="shared" si="20"/>
        <v>45719.101683864006</v>
      </c>
    </row>
    <row r="160" spans="1:16" x14ac:dyDescent="0.35">
      <c r="A160" s="96" t="str">
        <f>LEFT('2025 actual v budget'!A160,4)&amp;"26"</f>
        <v>Jun-26</v>
      </c>
      <c r="B160" s="17" t="str">
        <f>'2025 actual v budget'!B160</f>
        <v>Germany</v>
      </c>
      <c r="C160" s="17" t="str">
        <f>'2025 actual v budget'!C160</f>
        <v>Stablecoin Settlement</v>
      </c>
      <c r="D160" s="19">
        <f>'2025 actual v budget'!D160</f>
        <v>17307767.309999999</v>
      </c>
      <c r="E160" s="97">
        <f>SUMIFS('Assumption-Best'!$C$3:$C$32,'Assumption-Best'!$A$3:$A$32,$B160,'Assumption-Best'!$B$3:$B$32,$C160)</f>
        <v>0.24</v>
      </c>
      <c r="F160" s="19">
        <f t="shared" si="14"/>
        <v>21461631.464399997</v>
      </c>
      <c r="G160" s="98">
        <f>SUMIFS('Assumption-Best'!$D$3:$D$32,'Assumption-Best'!$A$3:$A$32,$B160,'Assumption-Best'!$B$3:$B$32,$C160)</f>
        <v>6.4999999999999997E-3</v>
      </c>
      <c r="H160" s="99">
        <f t="shared" si="15"/>
        <v>139500.60451859998</v>
      </c>
      <c r="I160" s="97">
        <f>SUMIFS('Assumption-Best'!$E$3:$E$32,'Assumption-Best'!$A$3:$A$32,$B160,'Assumption-Best'!$B$3:$B$32,$C160)</f>
        <v>0.32</v>
      </c>
      <c r="J160" s="19">
        <f t="shared" si="16"/>
        <v>44640.193445951998</v>
      </c>
      <c r="K160" s="100">
        <f>SUMIFS('Assumption-Best'!$F$3:$F$32,'Assumption-Best'!$A$3:$A$32,$B160,'Assumption-Best'!$B$3:$B$32,$C160)</f>
        <v>1.4999999999999999E-4</v>
      </c>
      <c r="L160" s="19">
        <f t="shared" si="17"/>
        <v>3219.2447196599992</v>
      </c>
      <c r="M160" s="99">
        <f t="shared" si="18"/>
        <v>91641.166352987988</v>
      </c>
      <c r="N160" s="97">
        <f>SUMIFS('Assumption-Best'!$G$3:$G$32,'Assumption-Best'!$A$3:$A$32,$B160,'Assumption-Best'!$B$3:$B$32,$C160)</f>
        <v>0.35</v>
      </c>
      <c r="O160" s="19">
        <f t="shared" si="19"/>
        <v>48825.21158150999</v>
      </c>
      <c r="P160" s="99">
        <f t="shared" si="20"/>
        <v>42815.954771477998</v>
      </c>
    </row>
    <row r="161" spans="1:16" x14ac:dyDescent="0.35">
      <c r="A161" s="96" t="str">
        <f>LEFT('2025 actual v budget'!A161,4)&amp;"26"</f>
        <v>Jun-26</v>
      </c>
      <c r="B161" s="17" t="str">
        <f>'2025 actual v budget'!B161</f>
        <v>Germany</v>
      </c>
      <c r="C161" s="17" t="str">
        <f>'2025 actual v budget'!C161</f>
        <v>Treasury Yield</v>
      </c>
      <c r="D161" s="19">
        <f>'2025 actual v budget'!D161</f>
        <v>4637139.5199999996</v>
      </c>
      <c r="E161" s="97">
        <f>SUMIFS('Assumption-Best'!$C$3:$C$32,'Assumption-Best'!$A$3:$A$32,$B161,'Assumption-Best'!$B$3:$B$32,$C161)</f>
        <v>0.12</v>
      </c>
      <c r="F161" s="19">
        <f t="shared" si="14"/>
        <v>5193596.2624000004</v>
      </c>
      <c r="G161" s="98">
        <f>SUMIFS('Assumption-Best'!$D$3:$D$32,'Assumption-Best'!$A$3:$A$32,$B161,'Assumption-Best'!$B$3:$B$32,$C161)</f>
        <v>3.0000000000000001E-3</v>
      </c>
      <c r="H161" s="99">
        <f t="shared" si="15"/>
        <v>15580.788787200001</v>
      </c>
      <c r="I161" s="97">
        <f>SUMIFS('Assumption-Best'!$E$3:$E$32,'Assumption-Best'!$A$3:$A$32,$B161,'Assumption-Best'!$B$3:$B$32,$C161)</f>
        <v>0.18</v>
      </c>
      <c r="J161" s="19">
        <f t="shared" si="16"/>
        <v>2804.5419816960002</v>
      </c>
      <c r="K161" s="100">
        <f>SUMIFS('Assumption-Best'!$F$3:$F$32,'Assumption-Best'!$A$3:$A$32,$B161,'Assumption-Best'!$B$3:$B$32,$C161)</f>
        <v>1.4999999999999999E-4</v>
      </c>
      <c r="L161" s="19">
        <f t="shared" si="17"/>
        <v>779.03943935999996</v>
      </c>
      <c r="M161" s="99">
        <f t="shared" si="18"/>
        <v>11997.207366144001</v>
      </c>
      <c r="N161" s="97">
        <f>SUMIFS('Assumption-Best'!$G$3:$G$32,'Assumption-Best'!$A$3:$A$32,$B161,'Assumption-Best'!$B$3:$B$32,$C161)</f>
        <v>0.35</v>
      </c>
      <c r="O161" s="19">
        <f t="shared" si="19"/>
        <v>5453.2760755199997</v>
      </c>
      <c r="P161" s="99">
        <f t="shared" si="20"/>
        <v>6543.9312906240011</v>
      </c>
    </row>
    <row r="162" spans="1:16" x14ac:dyDescent="0.35">
      <c r="A162" s="96" t="str">
        <f>LEFT('2025 actual v budget'!A162,4)&amp;"26"</f>
        <v>Jun-26</v>
      </c>
      <c r="B162" s="17" t="str">
        <f>'2025 actual v budget'!B162</f>
        <v>Germany</v>
      </c>
      <c r="C162" s="17" t="str">
        <f>'2025 actual v budget'!C162</f>
        <v>Virtual Accounts</v>
      </c>
      <c r="D162" s="19">
        <f>'2025 actual v budget'!D162</f>
        <v>7050964.3700000001</v>
      </c>
      <c r="E162" s="97">
        <f>SUMIFS('Assumption-Best'!$C$3:$C$32,'Assumption-Best'!$A$3:$A$32,$B162,'Assumption-Best'!$B$3:$B$32,$C162)</f>
        <v>0.12</v>
      </c>
      <c r="F162" s="19">
        <f t="shared" si="14"/>
        <v>7897080.0944000008</v>
      </c>
      <c r="G162" s="98">
        <f>SUMIFS('Assumption-Best'!$D$3:$D$32,'Assumption-Best'!$A$3:$A$32,$B162,'Assumption-Best'!$B$3:$B$32,$C162)</f>
        <v>4.4999999999999997E-3</v>
      </c>
      <c r="H162" s="99">
        <f t="shared" si="15"/>
        <v>35536.860424799997</v>
      </c>
      <c r="I162" s="97">
        <f>SUMIFS('Assumption-Best'!$E$3:$E$32,'Assumption-Best'!$A$3:$A$32,$B162,'Assumption-Best'!$B$3:$B$32,$C162)</f>
        <v>0.22</v>
      </c>
      <c r="J162" s="19">
        <f t="shared" si="16"/>
        <v>7818.1092934559992</v>
      </c>
      <c r="K162" s="100">
        <f>SUMIFS('Assumption-Best'!$F$3:$F$32,'Assumption-Best'!$A$3:$A$32,$B162,'Assumption-Best'!$B$3:$B$32,$C162)</f>
        <v>1.4999999999999999E-4</v>
      </c>
      <c r="L162" s="19">
        <f t="shared" si="17"/>
        <v>1184.56201416</v>
      </c>
      <c r="M162" s="99">
        <f t="shared" si="18"/>
        <v>26534.189117183996</v>
      </c>
      <c r="N162" s="97">
        <f>SUMIFS('Assumption-Best'!$G$3:$G$32,'Assumption-Best'!$A$3:$A$32,$B162,'Assumption-Best'!$B$3:$B$32,$C162)</f>
        <v>0.35</v>
      </c>
      <c r="O162" s="19">
        <f t="shared" si="19"/>
        <v>12437.901148679999</v>
      </c>
      <c r="P162" s="99">
        <f t="shared" si="20"/>
        <v>14096.287968503997</v>
      </c>
    </row>
    <row r="163" spans="1:16" x14ac:dyDescent="0.35">
      <c r="A163" s="96" t="str">
        <f>LEFT('2025 actual v budget'!A163,4)&amp;"26"</f>
        <v>Jun-26</v>
      </c>
      <c r="B163" s="17" t="str">
        <f>'2025 actual v budget'!B163</f>
        <v>India</v>
      </c>
      <c r="C163" s="17" t="str">
        <f>'2025 actual v budget'!C163</f>
        <v>Cross-border Payouts</v>
      </c>
      <c r="D163" s="19">
        <f>'2025 actual v budget'!D163</f>
        <v>9664846.8599999994</v>
      </c>
      <c r="E163" s="97">
        <f>SUMIFS('Assumption-Best'!$C$3:$C$32,'Assumption-Best'!$A$3:$A$32,$B163,'Assumption-Best'!$B$3:$B$32,$C163)</f>
        <v>0.24</v>
      </c>
      <c r="F163" s="19">
        <f t="shared" si="14"/>
        <v>11984410.1064</v>
      </c>
      <c r="G163" s="98">
        <f>SUMIFS('Assumption-Best'!$D$3:$D$32,'Assumption-Best'!$A$3:$A$32,$B163,'Assumption-Best'!$B$3:$B$32,$C163)</f>
        <v>7.4999999999999997E-3</v>
      </c>
      <c r="H163" s="99">
        <f t="shared" si="15"/>
        <v>89883.075797999991</v>
      </c>
      <c r="I163" s="97">
        <f>SUMIFS('Assumption-Best'!$E$3:$E$32,'Assumption-Best'!$A$3:$A$32,$B163,'Assumption-Best'!$B$3:$B$32,$C163)</f>
        <v>0.35</v>
      </c>
      <c r="J163" s="19">
        <f t="shared" si="16"/>
        <v>31459.076529299993</v>
      </c>
      <c r="K163" s="100">
        <f>SUMIFS('Assumption-Best'!$F$3:$F$32,'Assumption-Best'!$A$3:$A$32,$B163,'Assumption-Best'!$B$3:$B$32,$C163)</f>
        <v>1.8000000000000001E-4</v>
      </c>
      <c r="L163" s="19">
        <f t="shared" si="17"/>
        <v>2157.1938191520003</v>
      </c>
      <c r="M163" s="99">
        <f t="shared" si="18"/>
        <v>56266.805449547996</v>
      </c>
      <c r="N163" s="97">
        <f>SUMIFS('Assumption-Best'!$G$3:$G$32,'Assumption-Best'!$A$3:$A$32,$B163,'Assumption-Best'!$B$3:$B$32,$C163)</f>
        <v>0.35</v>
      </c>
      <c r="O163" s="19">
        <f t="shared" si="19"/>
        <v>31459.076529299993</v>
      </c>
      <c r="P163" s="99">
        <f t="shared" si="20"/>
        <v>24807.728920248002</v>
      </c>
    </row>
    <row r="164" spans="1:16" x14ac:dyDescent="0.35">
      <c r="A164" s="96" t="str">
        <f>LEFT('2025 actual v budget'!A164,4)&amp;"26"</f>
        <v>Jun-26</v>
      </c>
      <c r="B164" s="17" t="str">
        <f>'2025 actual v budget'!B164</f>
        <v>India</v>
      </c>
      <c r="C164" s="17" t="str">
        <f>'2025 actual v budget'!C164</f>
        <v>FX Conversion</v>
      </c>
      <c r="D164" s="19">
        <f>'2025 actual v budget'!D164</f>
        <v>14920046.220000001</v>
      </c>
      <c r="E164" s="97">
        <f>SUMIFS('Assumption-Best'!$C$3:$C$32,'Assumption-Best'!$A$3:$A$32,$B164,'Assumption-Best'!$B$3:$B$32,$C164)</f>
        <v>0.24</v>
      </c>
      <c r="F164" s="19">
        <f t="shared" si="14"/>
        <v>18500857.312800001</v>
      </c>
      <c r="G164" s="98">
        <f>SUMIFS('Assumption-Best'!$D$3:$D$32,'Assumption-Best'!$A$3:$A$32,$B164,'Assumption-Best'!$B$3:$B$32,$C164)</f>
        <v>1.0500000000000001E-2</v>
      </c>
      <c r="H164" s="99">
        <f t="shared" si="15"/>
        <v>194259.00178440002</v>
      </c>
      <c r="I164" s="97">
        <f>SUMIFS('Assumption-Best'!$E$3:$E$32,'Assumption-Best'!$A$3:$A$32,$B164,'Assumption-Best'!$B$3:$B$32,$C164)</f>
        <v>0.28000000000000003</v>
      </c>
      <c r="J164" s="19">
        <f t="shared" si="16"/>
        <v>54392.52049963201</v>
      </c>
      <c r="K164" s="100">
        <f>SUMIFS('Assumption-Best'!$F$3:$F$32,'Assumption-Best'!$A$3:$A$32,$B164,'Assumption-Best'!$B$3:$B$32,$C164)</f>
        <v>1.8000000000000001E-4</v>
      </c>
      <c r="L164" s="19">
        <f t="shared" si="17"/>
        <v>3330.1543163040005</v>
      </c>
      <c r="M164" s="99">
        <f t="shared" si="18"/>
        <v>136536.32696846404</v>
      </c>
      <c r="N164" s="97">
        <f>SUMIFS('Assumption-Best'!$G$3:$G$32,'Assumption-Best'!$A$3:$A$32,$B164,'Assumption-Best'!$B$3:$B$32,$C164)</f>
        <v>0.35</v>
      </c>
      <c r="O164" s="19">
        <f t="shared" si="19"/>
        <v>67990.650624540009</v>
      </c>
      <c r="P164" s="99">
        <f t="shared" si="20"/>
        <v>68545.676343924031</v>
      </c>
    </row>
    <row r="165" spans="1:16" x14ac:dyDescent="0.35">
      <c r="A165" s="96" t="str">
        <f>LEFT('2025 actual v budget'!A165,4)&amp;"26"</f>
        <v>Jun-26</v>
      </c>
      <c r="B165" s="17" t="str">
        <f>'2025 actual v budget'!B165</f>
        <v>India</v>
      </c>
      <c r="C165" s="17" t="str">
        <f>'2025 actual v budget'!C165</f>
        <v>Stablecoin Settlement</v>
      </c>
      <c r="D165" s="19">
        <f>'2025 actual v budget'!D165</f>
        <v>23611894.5</v>
      </c>
      <c r="E165" s="97">
        <f>SUMIFS('Assumption-Best'!$C$3:$C$32,'Assumption-Best'!$A$3:$A$32,$B165,'Assumption-Best'!$B$3:$B$32,$C165)</f>
        <v>0.48</v>
      </c>
      <c r="F165" s="19">
        <f t="shared" si="14"/>
        <v>34945603.859999999</v>
      </c>
      <c r="G165" s="98">
        <f>SUMIFS('Assumption-Best'!$D$3:$D$32,'Assumption-Best'!$A$3:$A$32,$B165,'Assumption-Best'!$B$3:$B$32,$C165)</f>
        <v>6.4999999999999997E-3</v>
      </c>
      <c r="H165" s="99">
        <f t="shared" si="15"/>
        <v>227146.42508999998</v>
      </c>
      <c r="I165" s="97">
        <f>SUMIFS('Assumption-Best'!$E$3:$E$32,'Assumption-Best'!$A$3:$A$32,$B165,'Assumption-Best'!$B$3:$B$32,$C165)</f>
        <v>0.32</v>
      </c>
      <c r="J165" s="19">
        <f t="shared" si="16"/>
        <v>72686.856028800001</v>
      </c>
      <c r="K165" s="100">
        <f>SUMIFS('Assumption-Best'!$F$3:$F$32,'Assumption-Best'!$A$3:$A$32,$B165,'Assumption-Best'!$B$3:$B$32,$C165)</f>
        <v>1.8000000000000001E-4</v>
      </c>
      <c r="L165" s="19">
        <f t="shared" si="17"/>
        <v>6290.2086948000006</v>
      </c>
      <c r="M165" s="99">
        <f t="shared" si="18"/>
        <v>148169.36036639995</v>
      </c>
      <c r="N165" s="97">
        <f>SUMIFS('Assumption-Best'!$G$3:$G$32,'Assumption-Best'!$A$3:$A$32,$B165,'Assumption-Best'!$B$3:$B$32,$C165)</f>
        <v>0.35</v>
      </c>
      <c r="O165" s="19">
        <f t="shared" si="19"/>
        <v>79501.248781499991</v>
      </c>
      <c r="P165" s="99">
        <f t="shared" si="20"/>
        <v>68668.111584899962</v>
      </c>
    </row>
    <row r="166" spans="1:16" x14ac:dyDescent="0.35">
      <c r="A166" s="96" t="str">
        <f>LEFT('2025 actual v budget'!A166,4)&amp;"26"</f>
        <v>Jun-26</v>
      </c>
      <c r="B166" s="17" t="str">
        <f>'2025 actual v budget'!B166</f>
        <v>India</v>
      </c>
      <c r="C166" s="17" t="str">
        <f>'2025 actual v budget'!C166</f>
        <v>Treasury Yield</v>
      </c>
      <c r="D166" s="19">
        <f>'2025 actual v budget'!D166</f>
        <v>6330401.7400000002</v>
      </c>
      <c r="E166" s="97">
        <f>SUMIFS('Assumption-Best'!$C$3:$C$32,'Assumption-Best'!$A$3:$A$32,$B166,'Assumption-Best'!$B$3:$B$32,$C166)</f>
        <v>0.24</v>
      </c>
      <c r="F166" s="19">
        <f t="shared" si="14"/>
        <v>7849698.1576000005</v>
      </c>
      <c r="G166" s="98">
        <f>SUMIFS('Assumption-Best'!$D$3:$D$32,'Assumption-Best'!$A$3:$A$32,$B166,'Assumption-Best'!$B$3:$B$32,$C166)</f>
        <v>3.0000000000000001E-3</v>
      </c>
      <c r="H166" s="99">
        <f t="shared" si="15"/>
        <v>23549.094472800003</v>
      </c>
      <c r="I166" s="97">
        <f>SUMIFS('Assumption-Best'!$E$3:$E$32,'Assumption-Best'!$A$3:$A$32,$B166,'Assumption-Best'!$B$3:$B$32,$C166)</f>
        <v>0.18</v>
      </c>
      <c r="J166" s="19">
        <f t="shared" si="16"/>
        <v>4238.8370051040001</v>
      </c>
      <c r="K166" s="100">
        <f>SUMIFS('Assumption-Best'!$F$3:$F$32,'Assumption-Best'!$A$3:$A$32,$B166,'Assumption-Best'!$B$3:$B$32,$C166)</f>
        <v>1.8000000000000001E-4</v>
      </c>
      <c r="L166" s="19">
        <f t="shared" si="17"/>
        <v>1412.9456683680003</v>
      </c>
      <c r="M166" s="99">
        <f t="shared" si="18"/>
        <v>17897.311799328003</v>
      </c>
      <c r="N166" s="97">
        <f>SUMIFS('Assumption-Best'!$G$3:$G$32,'Assumption-Best'!$A$3:$A$32,$B166,'Assumption-Best'!$B$3:$B$32,$C166)</f>
        <v>0.35</v>
      </c>
      <c r="O166" s="19">
        <f t="shared" si="19"/>
        <v>8242.1830654800015</v>
      </c>
      <c r="P166" s="99">
        <f t="shared" si="20"/>
        <v>9655.1287338480015</v>
      </c>
    </row>
    <row r="167" spans="1:16" x14ac:dyDescent="0.35">
      <c r="A167" s="96" t="str">
        <f>LEFT('2025 actual v budget'!A167,4)&amp;"26"</f>
        <v>Jun-26</v>
      </c>
      <c r="B167" s="17" t="str">
        <f>'2025 actual v budget'!B167</f>
        <v>India</v>
      </c>
      <c r="C167" s="17" t="str">
        <f>'2025 actual v budget'!C167</f>
        <v>Virtual Accounts</v>
      </c>
      <c r="D167" s="19">
        <f>'2025 actual v budget'!D167</f>
        <v>9625640.3100000005</v>
      </c>
      <c r="E167" s="97">
        <f>SUMIFS('Assumption-Best'!$C$3:$C$32,'Assumption-Best'!$A$3:$A$32,$B167,'Assumption-Best'!$B$3:$B$32,$C167)</f>
        <v>0.24</v>
      </c>
      <c r="F167" s="19">
        <f t="shared" si="14"/>
        <v>11935793.9844</v>
      </c>
      <c r="G167" s="98">
        <f>SUMIFS('Assumption-Best'!$D$3:$D$32,'Assumption-Best'!$A$3:$A$32,$B167,'Assumption-Best'!$B$3:$B$32,$C167)</f>
        <v>4.4999999999999997E-3</v>
      </c>
      <c r="H167" s="99">
        <f t="shared" si="15"/>
        <v>53711.072929800001</v>
      </c>
      <c r="I167" s="97">
        <f>SUMIFS('Assumption-Best'!$E$3:$E$32,'Assumption-Best'!$A$3:$A$32,$B167,'Assumption-Best'!$B$3:$B$32,$C167)</f>
        <v>0.22</v>
      </c>
      <c r="J167" s="19">
        <f t="shared" si="16"/>
        <v>11816.436044556</v>
      </c>
      <c r="K167" s="100">
        <f>SUMIFS('Assumption-Best'!$F$3:$F$32,'Assumption-Best'!$A$3:$A$32,$B167,'Assumption-Best'!$B$3:$B$32,$C167)</f>
        <v>1.8000000000000001E-4</v>
      </c>
      <c r="L167" s="19">
        <f t="shared" si="17"/>
        <v>2148.4429171920001</v>
      </c>
      <c r="M167" s="99">
        <f t="shared" si="18"/>
        <v>39746.193968052001</v>
      </c>
      <c r="N167" s="97">
        <f>SUMIFS('Assumption-Best'!$G$3:$G$32,'Assumption-Best'!$A$3:$A$32,$B167,'Assumption-Best'!$B$3:$B$32,$C167)</f>
        <v>0.35</v>
      </c>
      <c r="O167" s="19">
        <f t="shared" si="19"/>
        <v>18798.875525429998</v>
      </c>
      <c r="P167" s="99">
        <f t="shared" si="20"/>
        <v>20947.318442622003</v>
      </c>
    </row>
    <row r="168" spans="1:16" x14ac:dyDescent="0.35">
      <c r="A168" s="96" t="str">
        <f>LEFT('2025 actual v budget'!A168,4)&amp;"26"</f>
        <v>Jun-26</v>
      </c>
      <c r="B168" s="17" t="str">
        <f>'2025 actual v budget'!B168</f>
        <v>Mexico</v>
      </c>
      <c r="C168" s="17" t="str">
        <f>'2025 actual v budget'!C168</f>
        <v>Cross-border Payouts</v>
      </c>
      <c r="D168" s="19">
        <f>'2025 actual v budget'!D168</f>
        <v>11540422.800000001</v>
      </c>
      <c r="E168" s="97">
        <f>SUMIFS('Assumption-Best'!$C$3:$C$32,'Assumption-Best'!$A$3:$A$32,$B168,'Assumption-Best'!$B$3:$B$32,$C168)</f>
        <v>0.3</v>
      </c>
      <c r="F168" s="19">
        <f t="shared" si="14"/>
        <v>15002549.640000001</v>
      </c>
      <c r="G168" s="98">
        <f>SUMIFS('Assumption-Best'!$D$3:$D$32,'Assumption-Best'!$A$3:$A$32,$B168,'Assumption-Best'!$B$3:$B$32,$C168)</f>
        <v>7.4999999999999997E-3</v>
      </c>
      <c r="H168" s="99">
        <f t="shared" si="15"/>
        <v>112519.1223</v>
      </c>
      <c r="I168" s="97">
        <f>SUMIFS('Assumption-Best'!$E$3:$E$32,'Assumption-Best'!$A$3:$A$32,$B168,'Assumption-Best'!$B$3:$B$32,$C168)</f>
        <v>0.35</v>
      </c>
      <c r="J168" s="19">
        <f t="shared" si="16"/>
        <v>39381.692804999999</v>
      </c>
      <c r="K168" s="100">
        <f>SUMIFS('Assumption-Best'!$F$3:$F$32,'Assumption-Best'!$A$3:$A$32,$B168,'Assumption-Best'!$B$3:$B$32,$C168)</f>
        <v>8.0000000000000007E-5</v>
      </c>
      <c r="L168" s="19">
        <f t="shared" si="17"/>
        <v>1200.2039712000001</v>
      </c>
      <c r="M168" s="99">
        <f t="shared" si="18"/>
        <v>71937.225523800007</v>
      </c>
      <c r="N168" s="97">
        <f>SUMIFS('Assumption-Best'!$G$3:$G$32,'Assumption-Best'!$A$3:$A$32,$B168,'Assumption-Best'!$B$3:$B$32,$C168)</f>
        <v>0.35</v>
      </c>
      <c r="O168" s="19">
        <f t="shared" si="19"/>
        <v>39381.692804999999</v>
      </c>
      <c r="P168" s="99">
        <f t="shared" si="20"/>
        <v>32555.532718800008</v>
      </c>
    </row>
    <row r="169" spans="1:16" x14ac:dyDescent="0.35">
      <c r="A169" s="96" t="str">
        <f>LEFT('2025 actual v budget'!A169,4)&amp;"26"</f>
        <v>Jun-26</v>
      </c>
      <c r="B169" s="17" t="str">
        <f>'2025 actual v budget'!B169</f>
        <v>Mexico</v>
      </c>
      <c r="C169" s="17" t="str">
        <f>'2025 actual v budget'!C169</f>
        <v>FX Conversion</v>
      </c>
      <c r="D169" s="19">
        <f>'2025 actual v budget'!D169</f>
        <v>17813509.710000001</v>
      </c>
      <c r="E169" s="97">
        <f>SUMIFS('Assumption-Best'!$C$3:$C$32,'Assumption-Best'!$A$3:$A$32,$B169,'Assumption-Best'!$B$3:$B$32,$C169)</f>
        <v>0.3</v>
      </c>
      <c r="F169" s="19">
        <f t="shared" si="14"/>
        <v>23157562.623000003</v>
      </c>
      <c r="G169" s="98">
        <f>SUMIFS('Assumption-Best'!$D$3:$D$32,'Assumption-Best'!$A$3:$A$32,$B169,'Assumption-Best'!$B$3:$B$32,$C169)</f>
        <v>1.0500000000000001E-2</v>
      </c>
      <c r="H169" s="99">
        <f t="shared" si="15"/>
        <v>243154.40754150006</v>
      </c>
      <c r="I169" s="97">
        <f>SUMIFS('Assumption-Best'!$E$3:$E$32,'Assumption-Best'!$A$3:$A$32,$B169,'Assumption-Best'!$B$3:$B$32,$C169)</f>
        <v>0.28000000000000003</v>
      </c>
      <c r="J169" s="19">
        <f t="shared" si="16"/>
        <v>68083.234111620026</v>
      </c>
      <c r="K169" s="100">
        <f>SUMIFS('Assumption-Best'!$F$3:$F$32,'Assumption-Best'!$A$3:$A$32,$B169,'Assumption-Best'!$B$3:$B$32,$C169)</f>
        <v>8.0000000000000007E-5</v>
      </c>
      <c r="L169" s="19">
        <f t="shared" si="17"/>
        <v>1852.6050098400003</v>
      </c>
      <c r="M169" s="99">
        <f t="shared" si="18"/>
        <v>173218.56842004004</v>
      </c>
      <c r="N169" s="97">
        <f>SUMIFS('Assumption-Best'!$G$3:$G$32,'Assumption-Best'!$A$3:$A$32,$B169,'Assumption-Best'!$B$3:$B$32,$C169)</f>
        <v>0.35</v>
      </c>
      <c r="O169" s="19">
        <f t="shared" si="19"/>
        <v>85104.042639525011</v>
      </c>
      <c r="P169" s="99">
        <f t="shared" si="20"/>
        <v>88114.525780515032</v>
      </c>
    </row>
    <row r="170" spans="1:16" x14ac:dyDescent="0.35">
      <c r="A170" s="96" t="str">
        <f>LEFT('2025 actual v budget'!A170,4)&amp;"26"</f>
        <v>Jun-26</v>
      </c>
      <c r="B170" s="17" t="str">
        <f>'2025 actual v budget'!B170</f>
        <v>Mexico</v>
      </c>
      <c r="C170" s="17" t="str">
        <f>'2025 actual v budget'!C170</f>
        <v>Stablecoin Settlement</v>
      </c>
      <c r="D170" s="19">
        <f>'2025 actual v budget'!D170</f>
        <v>28194057.23</v>
      </c>
      <c r="E170" s="97">
        <f>SUMIFS('Assumption-Best'!$C$3:$C$32,'Assumption-Best'!$A$3:$A$32,$B170,'Assumption-Best'!$B$3:$B$32,$C170)</f>
        <v>0.6</v>
      </c>
      <c r="F170" s="19">
        <f t="shared" si="14"/>
        <v>45110491.568000004</v>
      </c>
      <c r="G170" s="98">
        <f>SUMIFS('Assumption-Best'!$D$3:$D$32,'Assumption-Best'!$A$3:$A$32,$B170,'Assumption-Best'!$B$3:$B$32,$C170)</f>
        <v>6.4999999999999997E-3</v>
      </c>
      <c r="H170" s="99">
        <f t="shared" si="15"/>
        <v>293218.19519200001</v>
      </c>
      <c r="I170" s="97">
        <f>SUMIFS('Assumption-Best'!$E$3:$E$32,'Assumption-Best'!$A$3:$A$32,$B170,'Assumption-Best'!$B$3:$B$32,$C170)</f>
        <v>0.32</v>
      </c>
      <c r="J170" s="19">
        <f t="shared" si="16"/>
        <v>93829.82246144001</v>
      </c>
      <c r="K170" s="100">
        <f>SUMIFS('Assumption-Best'!$F$3:$F$32,'Assumption-Best'!$A$3:$A$32,$B170,'Assumption-Best'!$B$3:$B$32,$C170)</f>
        <v>8.0000000000000007E-5</v>
      </c>
      <c r="L170" s="19">
        <f t="shared" si="17"/>
        <v>3608.8393254400007</v>
      </c>
      <c r="M170" s="99">
        <f t="shared" si="18"/>
        <v>195779.53340512002</v>
      </c>
      <c r="N170" s="97">
        <f>SUMIFS('Assumption-Best'!$G$3:$G$32,'Assumption-Best'!$A$3:$A$32,$B170,'Assumption-Best'!$B$3:$B$32,$C170)</f>
        <v>0.35</v>
      </c>
      <c r="O170" s="19">
        <f t="shared" si="19"/>
        <v>102626.3683172</v>
      </c>
      <c r="P170" s="99">
        <f t="shared" si="20"/>
        <v>93153.165087920017</v>
      </c>
    </row>
    <row r="171" spans="1:16" x14ac:dyDescent="0.35">
      <c r="A171" s="96" t="str">
        <f>LEFT('2025 actual v budget'!A171,4)&amp;"26"</f>
        <v>Jun-26</v>
      </c>
      <c r="B171" s="17" t="str">
        <f>'2025 actual v budget'!B171</f>
        <v>Mexico</v>
      </c>
      <c r="C171" s="17" t="str">
        <f>'2025 actual v budget'!C171</f>
        <v>Treasury Yield</v>
      </c>
      <c r="D171" s="19">
        <f>'2025 actual v budget'!D171</f>
        <v>7558064.5700000003</v>
      </c>
      <c r="E171" s="97">
        <f>SUMIFS('Assumption-Best'!$C$3:$C$32,'Assumption-Best'!$A$3:$A$32,$B171,'Assumption-Best'!$B$3:$B$32,$C171)</f>
        <v>0.3</v>
      </c>
      <c r="F171" s="19">
        <f t="shared" si="14"/>
        <v>9825483.9410000015</v>
      </c>
      <c r="G171" s="98">
        <f>SUMIFS('Assumption-Best'!$D$3:$D$32,'Assumption-Best'!$A$3:$A$32,$B171,'Assumption-Best'!$B$3:$B$32,$C171)</f>
        <v>3.0000000000000001E-3</v>
      </c>
      <c r="H171" s="99">
        <f t="shared" si="15"/>
        <v>29476.451823000007</v>
      </c>
      <c r="I171" s="97">
        <f>SUMIFS('Assumption-Best'!$E$3:$E$32,'Assumption-Best'!$A$3:$A$32,$B171,'Assumption-Best'!$B$3:$B$32,$C171)</f>
        <v>0.18</v>
      </c>
      <c r="J171" s="19">
        <f t="shared" si="16"/>
        <v>5305.7613281400008</v>
      </c>
      <c r="K171" s="100">
        <f>SUMIFS('Assumption-Best'!$F$3:$F$32,'Assumption-Best'!$A$3:$A$32,$B171,'Assumption-Best'!$B$3:$B$32,$C171)</f>
        <v>8.0000000000000007E-5</v>
      </c>
      <c r="L171" s="19">
        <f t="shared" si="17"/>
        <v>786.03871528000013</v>
      </c>
      <c r="M171" s="99">
        <f t="shared" si="18"/>
        <v>23384.651779580006</v>
      </c>
      <c r="N171" s="97">
        <f>SUMIFS('Assumption-Best'!$G$3:$G$32,'Assumption-Best'!$A$3:$A$32,$B171,'Assumption-Best'!$B$3:$B$32,$C171)</f>
        <v>0.35</v>
      </c>
      <c r="O171" s="19">
        <f t="shared" si="19"/>
        <v>10316.758138050001</v>
      </c>
      <c r="P171" s="99">
        <f t="shared" si="20"/>
        <v>13067.893641530005</v>
      </c>
    </row>
    <row r="172" spans="1:16" x14ac:dyDescent="0.35">
      <c r="A172" s="96" t="str">
        <f>LEFT('2025 actual v budget'!A172,4)&amp;"26"</f>
        <v>Jun-26</v>
      </c>
      <c r="B172" s="17" t="str">
        <f>'2025 actual v budget'!B172</f>
        <v>Mexico</v>
      </c>
      <c r="C172" s="17" t="str">
        <f>'2025 actual v budget'!C172</f>
        <v>Virtual Accounts</v>
      </c>
      <c r="D172" s="19">
        <f>'2025 actual v budget'!D172</f>
        <v>11492352.939999999</v>
      </c>
      <c r="E172" s="97">
        <f>SUMIFS('Assumption-Best'!$C$3:$C$32,'Assumption-Best'!$A$3:$A$32,$B172,'Assumption-Best'!$B$3:$B$32,$C172)</f>
        <v>0.3</v>
      </c>
      <c r="F172" s="19">
        <f t="shared" si="14"/>
        <v>14940058.822000001</v>
      </c>
      <c r="G172" s="98">
        <f>SUMIFS('Assumption-Best'!$D$3:$D$32,'Assumption-Best'!$A$3:$A$32,$B172,'Assumption-Best'!$B$3:$B$32,$C172)</f>
        <v>4.4999999999999997E-3</v>
      </c>
      <c r="H172" s="99">
        <f t="shared" si="15"/>
        <v>67230.264698999992</v>
      </c>
      <c r="I172" s="97">
        <f>SUMIFS('Assumption-Best'!$E$3:$E$32,'Assumption-Best'!$A$3:$A$32,$B172,'Assumption-Best'!$B$3:$B$32,$C172)</f>
        <v>0.22</v>
      </c>
      <c r="J172" s="19">
        <f t="shared" si="16"/>
        <v>14790.658233779999</v>
      </c>
      <c r="K172" s="100">
        <f>SUMIFS('Assumption-Best'!$F$3:$F$32,'Assumption-Best'!$A$3:$A$32,$B172,'Assumption-Best'!$B$3:$B$32,$C172)</f>
        <v>8.0000000000000007E-5</v>
      </c>
      <c r="L172" s="19">
        <f t="shared" si="17"/>
        <v>1195.2047057600003</v>
      </c>
      <c r="M172" s="99">
        <f t="shared" si="18"/>
        <v>51244.401759459994</v>
      </c>
      <c r="N172" s="97">
        <f>SUMIFS('Assumption-Best'!$G$3:$G$32,'Assumption-Best'!$A$3:$A$32,$B172,'Assumption-Best'!$B$3:$B$32,$C172)</f>
        <v>0.35</v>
      </c>
      <c r="O172" s="19">
        <f t="shared" si="19"/>
        <v>23530.592644649994</v>
      </c>
      <c r="P172" s="99">
        <f t="shared" si="20"/>
        <v>27713.809114809999</v>
      </c>
    </row>
    <row r="173" spans="1:16" x14ac:dyDescent="0.35">
      <c r="A173" s="96" t="str">
        <f>LEFT('2025 actual v budget'!A173,4)&amp;"26"</f>
        <v>Jun-26</v>
      </c>
      <c r="B173" s="17" t="str">
        <f>'2025 actual v budget'!B173</f>
        <v>Singapore</v>
      </c>
      <c r="C173" s="17" t="str">
        <f>'2025 actual v budget'!C173</f>
        <v>Cross-border Payouts</v>
      </c>
      <c r="D173" s="19">
        <f>'2025 actual v budget'!D173</f>
        <v>9385203.1500000004</v>
      </c>
      <c r="E173" s="97">
        <f>SUMIFS('Assumption-Best'!$C$3:$C$32,'Assumption-Best'!$A$3:$A$32,$B173,'Assumption-Best'!$B$3:$B$32,$C173)</f>
        <v>0.1</v>
      </c>
      <c r="F173" s="19">
        <f t="shared" si="14"/>
        <v>10323723.465000002</v>
      </c>
      <c r="G173" s="98">
        <f>SUMIFS('Assumption-Best'!$D$3:$D$32,'Assumption-Best'!$A$3:$A$32,$B173,'Assumption-Best'!$B$3:$B$32,$C173)</f>
        <v>7.4999999999999997E-3</v>
      </c>
      <c r="H173" s="99">
        <f t="shared" si="15"/>
        <v>77427.925987500013</v>
      </c>
      <c r="I173" s="97">
        <f>SUMIFS('Assumption-Best'!$E$3:$E$32,'Assumption-Best'!$A$3:$A$32,$B173,'Assumption-Best'!$B$3:$B$32,$C173)</f>
        <v>0.35</v>
      </c>
      <c r="J173" s="19">
        <f t="shared" si="16"/>
        <v>27099.774095625002</v>
      </c>
      <c r="K173" s="100">
        <f>SUMIFS('Assumption-Best'!$F$3:$F$32,'Assumption-Best'!$A$3:$A$32,$B173,'Assumption-Best'!$B$3:$B$32,$C173)</f>
        <v>9.0000000000000006E-5</v>
      </c>
      <c r="L173" s="19">
        <f t="shared" si="17"/>
        <v>929.13511185000016</v>
      </c>
      <c r="M173" s="99">
        <f t="shared" si="18"/>
        <v>49399.016780025006</v>
      </c>
      <c r="N173" s="97">
        <f>SUMIFS('Assumption-Best'!$G$3:$G$32,'Assumption-Best'!$A$3:$A$32,$B173,'Assumption-Best'!$B$3:$B$32,$C173)</f>
        <v>0.35</v>
      </c>
      <c r="O173" s="19">
        <f t="shared" si="19"/>
        <v>27099.774095625002</v>
      </c>
      <c r="P173" s="99">
        <f t="shared" si="20"/>
        <v>22299.242684400004</v>
      </c>
    </row>
    <row r="174" spans="1:16" x14ac:dyDescent="0.35">
      <c r="A174" s="96" t="str">
        <f>LEFT('2025 actual v budget'!A174,4)&amp;"26"</f>
        <v>Jun-26</v>
      </c>
      <c r="B174" s="17" t="str">
        <f>'2025 actual v budget'!B174</f>
        <v>Singapore</v>
      </c>
      <c r="C174" s="17" t="str">
        <f>'2025 actual v budget'!C174</f>
        <v>FX Conversion</v>
      </c>
      <c r="D174" s="19">
        <f>'2025 actual v budget'!D174</f>
        <v>14481931.84</v>
      </c>
      <c r="E174" s="97">
        <f>SUMIFS('Assumption-Best'!$C$3:$C$32,'Assumption-Best'!$A$3:$A$32,$B174,'Assumption-Best'!$B$3:$B$32,$C174)</f>
        <v>0.1</v>
      </c>
      <c r="F174" s="19">
        <f t="shared" si="14"/>
        <v>15930125.024</v>
      </c>
      <c r="G174" s="98">
        <f>SUMIFS('Assumption-Best'!$D$3:$D$32,'Assumption-Best'!$A$3:$A$32,$B174,'Assumption-Best'!$B$3:$B$32,$C174)</f>
        <v>1.0500000000000001E-2</v>
      </c>
      <c r="H174" s="99">
        <f t="shared" si="15"/>
        <v>167266.31275200003</v>
      </c>
      <c r="I174" s="97">
        <f>SUMIFS('Assumption-Best'!$E$3:$E$32,'Assumption-Best'!$A$3:$A$32,$B174,'Assumption-Best'!$B$3:$B$32,$C174)</f>
        <v>0.28000000000000003</v>
      </c>
      <c r="J174" s="19">
        <f t="shared" si="16"/>
        <v>46834.567570560015</v>
      </c>
      <c r="K174" s="100">
        <f>SUMIFS('Assumption-Best'!$F$3:$F$32,'Assumption-Best'!$A$3:$A$32,$B174,'Assumption-Best'!$B$3:$B$32,$C174)</f>
        <v>9.0000000000000006E-5</v>
      </c>
      <c r="L174" s="19">
        <f t="shared" si="17"/>
        <v>1433.7112521600002</v>
      </c>
      <c r="M174" s="99">
        <f t="shared" si="18"/>
        <v>118998.03392928001</v>
      </c>
      <c r="N174" s="97">
        <f>SUMIFS('Assumption-Best'!$G$3:$G$32,'Assumption-Best'!$A$3:$A$32,$B174,'Assumption-Best'!$B$3:$B$32,$C174)</f>
        <v>0.35</v>
      </c>
      <c r="O174" s="19">
        <f t="shared" si="19"/>
        <v>58543.209463200008</v>
      </c>
      <c r="P174" s="99">
        <f t="shared" si="20"/>
        <v>60454.824466079997</v>
      </c>
    </row>
    <row r="175" spans="1:16" x14ac:dyDescent="0.35">
      <c r="A175" s="96" t="str">
        <f>LEFT('2025 actual v budget'!A175,4)&amp;"26"</f>
        <v>Jun-26</v>
      </c>
      <c r="B175" s="17" t="str">
        <f>'2025 actual v budget'!B175</f>
        <v>Singapore</v>
      </c>
      <c r="C175" s="17" t="str">
        <f>'2025 actual v budget'!C175</f>
        <v>Stablecoin Settlement</v>
      </c>
      <c r="D175" s="19">
        <f>'2025 actual v budget'!D175</f>
        <v>22928705.41</v>
      </c>
      <c r="E175" s="97">
        <f>SUMIFS('Assumption-Best'!$C$3:$C$32,'Assumption-Best'!$A$3:$A$32,$B175,'Assumption-Best'!$B$3:$B$32,$C175)</f>
        <v>0.2</v>
      </c>
      <c r="F175" s="19">
        <f t="shared" si="14"/>
        <v>27514446.491999999</v>
      </c>
      <c r="G175" s="98">
        <f>SUMIFS('Assumption-Best'!$D$3:$D$32,'Assumption-Best'!$A$3:$A$32,$B175,'Assumption-Best'!$B$3:$B$32,$C175)</f>
        <v>6.4999999999999997E-3</v>
      </c>
      <c r="H175" s="99">
        <f t="shared" si="15"/>
        <v>178843.902198</v>
      </c>
      <c r="I175" s="97">
        <f>SUMIFS('Assumption-Best'!$E$3:$E$32,'Assumption-Best'!$A$3:$A$32,$B175,'Assumption-Best'!$B$3:$B$32,$C175)</f>
        <v>0.32</v>
      </c>
      <c r="J175" s="19">
        <f t="shared" si="16"/>
        <v>57230.04870336</v>
      </c>
      <c r="K175" s="100">
        <f>SUMIFS('Assumption-Best'!$F$3:$F$32,'Assumption-Best'!$A$3:$A$32,$B175,'Assumption-Best'!$B$3:$B$32,$C175)</f>
        <v>9.0000000000000006E-5</v>
      </c>
      <c r="L175" s="19">
        <f t="shared" si="17"/>
        <v>2476.3001842799999</v>
      </c>
      <c r="M175" s="99">
        <f t="shared" si="18"/>
        <v>119137.55331036</v>
      </c>
      <c r="N175" s="97">
        <f>SUMIFS('Assumption-Best'!$G$3:$G$32,'Assumption-Best'!$A$3:$A$32,$B175,'Assumption-Best'!$B$3:$B$32,$C175)</f>
        <v>0.35</v>
      </c>
      <c r="O175" s="19">
        <f t="shared" si="19"/>
        <v>62595.365769299991</v>
      </c>
      <c r="P175" s="99">
        <f t="shared" si="20"/>
        <v>56542.187541060011</v>
      </c>
    </row>
    <row r="176" spans="1:16" x14ac:dyDescent="0.35">
      <c r="A176" s="96" t="str">
        <f>LEFT('2025 actual v budget'!A176,4)&amp;"26"</f>
        <v>Jun-26</v>
      </c>
      <c r="B176" s="17" t="str">
        <f>'2025 actual v budget'!B176</f>
        <v>Singapore</v>
      </c>
      <c r="C176" s="17" t="str">
        <f>'2025 actual v budget'!C176</f>
        <v>Treasury Yield</v>
      </c>
      <c r="D176" s="19">
        <f>'2025 actual v budget'!D176</f>
        <v>6144514.9100000001</v>
      </c>
      <c r="E176" s="97">
        <f>SUMIFS('Assumption-Best'!$C$3:$C$32,'Assumption-Best'!$A$3:$A$32,$B176,'Assumption-Best'!$B$3:$B$32,$C176)</f>
        <v>0.1</v>
      </c>
      <c r="F176" s="19">
        <f t="shared" si="14"/>
        <v>6758966.4010000005</v>
      </c>
      <c r="G176" s="98">
        <f>SUMIFS('Assumption-Best'!$D$3:$D$32,'Assumption-Best'!$A$3:$A$32,$B176,'Assumption-Best'!$B$3:$B$32,$C176)</f>
        <v>3.0000000000000001E-3</v>
      </c>
      <c r="H176" s="99">
        <f t="shared" si="15"/>
        <v>20276.899203000001</v>
      </c>
      <c r="I176" s="97">
        <f>SUMIFS('Assumption-Best'!$E$3:$E$32,'Assumption-Best'!$A$3:$A$32,$B176,'Assumption-Best'!$B$3:$B$32,$C176)</f>
        <v>0.18</v>
      </c>
      <c r="J176" s="19">
        <f t="shared" si="16"/>
        <v>3649.8418565400002</v>
      </c>
      <c r="K176" s="100">
        <f>SUMIFS('Assumption-Best'!$F$3:$F$32,'Assumption-Best'!$A$3:$A$32,$B176,'Assumption-Best'!$B$3:$B$32,$C176)</f>
        <v>9.0000000000000006E-5</v>
      </c>
      <c r="L176" s="19">
        <f t="shared" si="17"/>
        <v>608.30697609000003</v>
      </c>
      <c r="M176" s="99">
        <f t="shared" si="18"/>
        <v>16018.750370370002</v>
      </c>
      <c r="N176" s="97">
        <f>SUMIFS('Assumption-Best'!$G$3:$G$32,'Assumption-Best'!$A$3:$A$32,$B176,'Assumption-Best'!$B$3:$B$32,$C176)</f>
        <v>0.35</v>
      </c>
      <c r="O176" s="19">
        <f t="shared" si="19"/>
        <v>7096.9147210499996</v>
      </c>
      <c r="P176" s="99">
        <f t="shared" si="20"/>
        <v>8921.8356493200026</v>
      </c>
    </row>
    <row r="177" spans="1:16" x14ac:dyDescent="0.35">
      <c r="A177" s="96" t="str">
        <f>LEFT('2025 actual v budget'!A177,4)&amp;"26"</f>
        <v>Jun-26</v>
      </c>
      <c r="B177" s="17" t="str">
        <f>'2025 actual v budget'!B177</f>
        <v>Singapore</v>
      </c>
      <c r="C177" s="17" t="str">
        <f>'2025 actual v budget'!C177</f>
        <v>Virtual Accounts</v>
      </c>
      <c r="D177" s="19">
        <f>'2025 actual v budget'!D177</f>
        <v>9342991.6300000008</v>
      </c>
      <c r="E177" s="97">
        <f>SUMIFS('Assumption-Best'!$C$3:$C$32,'Assumption-Best'!$A$3:$A$32,$B177,'Assumption-Best'!$B$3:$B$32,$C177)</f>
        <v>0.1</v>
      </c>
      <c r="F177" s="19">
        <f t="shared" si="14"/>
        <v>10277290.793000001</v>
      </c>
      <c r="G177" s="98">
        <f>SUMIFS('Assumption-Best'!$D$3:$D$32,'Assumption-Best'!$A$3:$A$32,$B177,'Assumption-Best'!$B$3:$B$32,$C177)</f>
        <v>4.4999999999999997E-3</v>
      </c>
      <c r="H177" s="99">
        <f t="shared" si="15"/>
        <v>46247.808568500004</v>
      </c>
      <c r="I177" s="97">
        <f>SUMIFS('Assumption-Best'!$E$3:$E$32,'Assumption-Best'!$A$3:$A$32,$B177,'Assumption-Best'!$B$3:$B$32,$C177)</f>
        <v>0.22</v>
      </c>
      <c r="J177" s="19">
        <f t="shared" si="16"/>
        <v>10174.517885070001</v>
      </c>
      <c r="K177" s="100">
        <f>SUMIFS('Assumption-Best'!$F$3:$F$32,'Assumption-Best'!$A$3:$A$32,$B177,'Assumption-Best'!$B$3:$B$32,$C177)</f>
        <v>9.0000000000000006E-5</v>
      </c>
      <c r="L177" s="19">
        <f t="shared" si="17"/>
        <v>924.95617137000022</v>
      </c>
      <c r="M177" s="99">
        <f t="shared" si="18"/>
        <v>35148.334512059999</v>
      </c>
      <c r="N177" s="97">
        <f>SUMIFS('Assumption-Best'!$G$3:$G$32,'Assumption-Best'!$A$3:$A$32,$B177,'Assumption-Best'!$B$3:$B$32,$C177)</f>
        <v>0.35</v>
      </c>
      <c r="O177" s="19">
        <f t="shared" si="19"/>
        <v>16186.732998975</v>
      </c>
      <c r="P177" s="99">
        <f t="shared" si="20"/>
        <v>18961.601513084999</v>
      </c>
    </row>
    <row r="178" spans="1:16" x14ac:dyDescent="0.35">
      <c r="A178" s="96" t="str">
        <f>LEFT('2025 actual v budget'!A178,4)&amp;"26"</f>
        <v>Jun-26</v>
      </c>
      <c r="B178" s="17" t="str">
        <f>'2025 actual v budget'!B178</f>
        <v>USA</v>
      </c>
      <c r="C178" s="17" t="str">
        <f>'2025 actual v budget'!C178</f>
        <v>Cross-border Payouts</v>
      </c>
      <c r="D178" s="19">
        <f>'2025 actual v budget'!D178</f>
        <v>22912257.609999999</v>
      </c>
      <c r="E178" s="97">
        <f>SUMIFS('Assumption-Best'!$C$3:$C$32,'Assumption-Best'!$A$3:$A$32,$B178,'Assumption-Best'!$B$3:$B$32,$C178)</f>
        <v>0.2</v>
      </c>
      <c r="F178" s="19">
        <f t="shared" si="14"/>
        <v>27494709.131999999</v>
      </c>
      <c r="G178" s="98">
        <f>SUMIFS('Assumption-Best'!$D$3:$D$32,'Assumption-Best'!$A$3:$A$32,$B178,'Assumption-Best'!$B$3:$B$32,$C178)</f>
        <v>7.4999999999999997E-3</v>
      </c>
      <c r="H178" s="99">
        <f t="shared" si="15"/>
        <v>206210.31848999998</v>
      </c>
      <c r="I178" s="97">
        <f>SUMIFS('Assumption-Best'!$E$3:$E$32,'Assumption-Best'!$A$3:$A$32,$B178,'Assumption-Best'!$B$3:$B$32,$C178)</f>
        <v>0.35</v>
      </c>
      <c r="J178" s="19">
        <f t="shared" si="16"/>
        <v>72173.611471499986</v>
      </c>
      <c r="K178" s="100">
        <f>SUMIFS('Assumption-Best'!$F$3:$F$32,'Assumption-Best'!$A$3:$A$32,$B178,'Assumption-Best'!$B$3:$B$32,$C178)</f>
        <v>2.0000000000000001E-4</v>
      </c>
      <c r="L178" s="19">
        <f t="shared" si="17"/>
        <v>5498.9418264000005</v>
      </c>
      <c r="M178" s="99">
        <f t="shared" si="18"/>
        <v>128537.76519209999</v>
      </c>
      <c r="N178" s="97">
        <f>SUMIFS('Assumption-Best'!$G$3:$G$32,'Assumption-Best'!$A$3:$A$32,$B178,'Assumption-Best'!$B$3:$B$32,$C178)</f>
        <v>0.35</v>
      </c>
      <c r="O178" s="19">
        <f t="shared" si="19"/>
        <v>72173.611471499986</v>
      </c>
      <c r="P178" s="99">
        <f t="shared" si="20"/>
        <v>56364.153720600007</v>
      </c>
    </row>
    <row r="179" spans="1:16" x14ac:dyDescent="0.35">
      <c r="A179" s="96" t="str">
        <f>LEFT('2025 actual v budget'!A179,4)&amp;"26"</f>
        <v>Jun-26</v>
      </c>
      <c r="B179" s="17" t="str">
        <f>'2025 actual v budget'!B179</f>
        <v>USA</v>
      </c>
      <c r="C179" s="17" t="str">
        <f>'2025 actual v budget'!C179</f>
        <v>FX Conversion</v>
      </c>
      <c r="D179" s="19">
        <f>'2025 actual v budget'!D179</f>
        <v>35350980.560000002</v>
      </c>
      <c r="E179" s="97">
        <f>SUMIFS('Assumption-Best'!$C$3:$C$32,'Assumption-Best'!$A$3:$A$32,$B179,'Assumption-Best'!$B$3:$B$32,$C179)</f>
        <v>0.2</v>
      </c>
      <c r="F179" s="19">
        <f t="shared" si="14"/>
        <v>42421176.671999998</v>
      </c>
      <c r="G179" s="98">
        <f>SUMIFS('Assumption-Best'!$D$3:$D$32,'Assumption-Best'!$A$3:$A$32,$B179,'Assumption-Best'!$B$3:$B$32,$C179)</f>
        <v>1.0500000000000001E-2</v>
      </c>
      <c r="H179" s="99">
        <f t="shared" si="15"/>
        <v>445422.355056</v>
      </c>
      <c r="I179" s="97">
        <f>SUMIFS('Assumption-Best'!$E$3:$E$32,'Assumption-Best'!$A$3:$A$32,$B179,'Assumption-Best'!$B$3:$B$32,$C179)</f>
        <v>0.28000000000000003</v>
      </c>
      <c r="J179" s="19">
        <f t="shared" si="16"/>
        <v>124718.25941568002</v>
      </c>
      <c r="K179" s="100">
        <f>SUMIFS('Assumption-Best'!$F$3:$F$32,'Assumption-Best'!$A$3:$A$32,$B179,'Assumption-Best'!$B$3:$B$32,$C179)</f>
        <v>2.0000000000000001E-4</v>
      </c>
      <c r="L179" s="19">
        <f t="shared" si="17"/>
        <v>8484.2353344000003</v>
      </c>
      <c r="M179" s="99">
        <f t="shared" si="18"/>
        <v>312219.86030592001</v>
      </c>
      <c r="N179" s="97">
        <f>SUMIFS('Assumption-Best'!$G$3:$G$32,'Assumption-Best'!$A$3:$A$32,$B179,'Assumption-Best'!$B$3:$B$32,$C179)</f>
        <v>0.35</v>
      </c>
      <c r="O179" s="19">
        <f t="shared" si="19"/>
        <v>155897.82426959998</v>
      </c>
      <c r="P179" s="99">
        <f t="shared" si="20"/>
        <v>156322.03603632003</v>
      </c>
    </row>
    <row r="180" spans="1:16" x14ac:dyDescent="0.35">
      <c r="A180" s="96" t="str">
        <f>LEFT('2025 actual v budget'!A180,4)&amp;"26"</f>
        <v>Jun-26</v>
      </c>
      <c r="B180" s="17" t="str">
        <f>'2025 actual v budget'!B180</f>
        <v>USA</v>
      </c>
      <c r="C180" s="17" t="str">
        <f>'2025 actual v budget'!C180</f>
        <v>Stablecoin Settlement</v>
      </c>
      <c r="D180" s="19">
        <f>'2025 actual v budget'!D180</f>
        <v>55976242.25</v>
      </c>
      <c r="E180" s="97">
        <f>SUMIFS('Assumption-Best'!$C$3:$C$32,'Assumption-Best'!$A$3:$A$32,$B180,'Assumption-Best'!$B$3:$B$32,$C180)</f>
        <v>0.4</v>
      </c>
      <c r="F180" s="19">
        <f t="shared" si="14"/>
        <v>78366739.149999991</v>
      </c>
      <c r="G180" s="98">
        <f>SUMIFS('Assumption-Best'!$D$3:$D$32,'Assumption-Best'!$A$3:$A$32,$B180,'Assumption-Best'!$B$3:$B$32,$C180)</f>
        <v>6.4999999999999997E-3</v>
      </c>
      <c r="H180" s="99">
        <f t="shared" si="15"/>
        <v>509383.8044749999</v>
      </c>
      <c r="I180" s="97">
        <f>SUMIFS('Assumption-Best'!$E$3:$E$32,'Assumption-Best'!$A$3:$A$32,$B180,'Assumption-Best'!$B$3:$B$32,$C180)</f>
        <v>0.32</v>
      </c>
      <c r="J180" s="19">
        <f t="shared" si="16"/>
        <v>163002.81743199998</v>
      </c>
      <c r="K180" s="100">
        <f>SUMIFS('Assumption-Best'!$F$3:$F$32,'Assumption-Best'!$A$3:$A$32,$B180,'Assumption-Best'!$B$3:$B$32,$C180)</f>
        <v>2.0000000000000001E-4</v>
      </c>
      <c r="L180" s="19">
        <f t="shared" si="17"/>
        <v>15673.347829999999</v>
      </c>
      <c r="M180" s="99">
        <f t="shared" si="18"/>
        <v>330707.63921299996</v>
      </c>
      <c r="N180" s="97">
        <f>SUMIFS('Assumption-Best'!$G$3:$G$32,'Assumption-Best'!$A$3:$A$32,$B180,'Assumption-Best'!$B$3:$B$32,$C180)</f>
        <v>0.35</v>
      </c>
      <c r="O180" s="19">
        <f t="shared" si="19"/>
        <v>178284.33156624995</v>
      </c>
      <c r="P180" s="99">
        <f t="shared" si="20"/>
        <v>152423.30764675001</v>
      </c>
    </row>
    <row r="181" spans="1:16" x14ac:dyDescent="0.35">
      <c r="A181" s="96" t="str">
        <f>LEFT('2025 actual v budget'!A181,4)&amp;"26"</f>
        <v>Jun-26</v>
      </c>
      <c r="B181" s="17" t="str">
        <f>'2025 actual v budget'!B181</f>
        <v>USA</v>
      </c>
      <c r="C181" s="17" t="str">
        <f>'2025 actual v budget'!C181</f>
        <v>Treasury Yield</v>
      </c>
      <c r="D181" s="19">
        <f>'2025 actual v budget'!D181</f>
        <v>14999009.08</v>
      </c>
      <c r="E181" s="97">
        <f>SUMIFS('Assumption-Best'!$C$3:$C$32,'Assumption-Best'!$A$3:$A$32,$B181,'Assumption-Best'!$B$3:$B$32,$C181)</f>
        <v>0.2</v>
      </c>
      <c r="F181" s="19">
        <f t="shared" si="14"/>
        <v>17998810.895999998</v>
      </c>
      <c r="G181" s="98">
        <f>SUMIFS('Assumption-Best'!$D$3:$D$32,'Assumption-Best'!$A$3:$A$32,$B181,'Assumption-Best'!$B$3:$B$32,$C181)</f>
        <v>3.0000000000000001E-3</v>
      </c>
      <c r="H181" s="99">
        <f t="shared" si="15"/>
        <v>53996.432687999994</v>
      </c>
      <c r="I181" s="97">
        <f>SUMIFS('Assumption-Best'!$E$3:$E$32,'Assumption-Best'!$A$3:$A$32,$B181,'Assumption-Best'!$B$3:$B$32,$C181)</f>
        <v>0.18</v>
      </c>
      <c r="J181" s="19">
        <f t="shared" si="16"/>
        <v>9719.357883839999</v>
      </c>
      <c r="K181" s="100">
        <f>SUMIFS('Assumption-Best'!$F$3:$F$32,'Assumption-Best'!$A$3:$A$32,$B181,'Assumption-Best'!$B$3:$B$32,$C181)</f>
        <v>2.0000000000000001E-4</v>
      </c>
      <c r="L181" s="19">
        <f t="shared" si="17"/>
        <v>3599.7621791999995</v>
      </c>
      <c r="M181" s="99">
        <f t="shared" si="18"/>
        <v>40677.312624959995</v>
      </c>
      <c r="N181" s="97">
        <f>SUMIFS('Assumption-Best'!$G$3:$G$32,'Assumption-Best'!$A$3:$A$32,$B181,'Assumption-Best'!$B$3:$B$32,$C181)</f>
        <v>0.35</v>
      </c>
      <c r="O181" s="19">
        <f t="shared" si="19"/>
        <v>18898.751440799995</v>
      </c>
      <c r="P181" s="99">
        <f t="shared" si="20"/>
        <v>21778.56118416</v>
      </c>
    </row>
    <row r="182" spans="1:16" x14ac:dyDescent="0.35">
      <c r="A182" s="96" t="str">
        <f>LEFT('2025 actual v budget'!A182,4)&amp;"26"</f>
        <v>Jun-26</v>
      </c>
      <c r="B182" s="17" t="str">
        <f>'2025 actual v budget'!B182</f>
        <v>USA</v>
      </c>
      <c r="C182" s="17" t="str">
        <f>'2025 actual v budget'!C182</f>
        <v>Virtual Accounts</v>
      </c>
      <c r="D182" s="19">
        <f>'2025 actual v budget'!D182</f>
        <v>22806619.93</v>
      </c>
      <c r="E182" s="97">
        <f>SUMIFS('Assumption-Best'!$C$3:$C$32,'Assumption-Best'!$A$3:$A$32,$B182,'Assumption-Best'!$B$3:$B$32,$C182)</f>
        <v>0.2</v>
      </c>
      <c r="F182" s="19">
        <f t="shared" si="14"/>
        <v>27367943.915999997</v>
      </c>
      <c r="G182" s="98">
        <f>SUMIFS('Assumption-Best'!$D$3:$D$32,'Assumption-Best'!$A$3:$A$32,$B182,'Assumption-Best'!$B$3:$B$32,$C182)</f>
        <v>4.4999999999999997E-3</v>
      </c>
      <c r="H182" s="99">
        <f t="shared" si="15"/>
        <v>123155.74762199998</v>
      </c>
      <c r="I182" s="97">
        <f>SUMIFS('Assumption-Best'!$E$3:$E$32,'Assumption-Best'!$A$3:$A$32,$B182,'Assumption-Best'!$B$3:$B$32,$C182)</f>
        <v>0.22</v>
      </c>
      <c r="J182" s="19">
        <f t="shared" si="16"/>
        <v>27094.264476839995</v>
      </c>
      <c r="K182" s="100">
        <f>SUMIFS('Assumption-Best'!$F$3:$F$32,'Assumption-Best'!$A$3:$A$32,$B182,'Assumption-Best'!$B$3:$B$32,$C182)</f>
        <v>2.0000000000000001E-4</v>
      </c>
      <c r="L182" s="19">
        <f t="shared" si="17"/>
        <v>5473.5887831999999</v>
      </c>
      <c r="M182" s="99">
        <f t="shared" si="18"/>
        <v>90587.894361959989</v>
      </c>
      <c r="N182" s="97">
        <f>SUMIFS('Assumption-Best'!$G$3:$G$32,'Assumption-Best'!$A$3:$A$32,$B182,'Assumption-Best'!$B$3:$B$32,$C182)</f>
        <v>0.35</v>
      </c>
      <c r="O182" s="19">
        <f t="shared" si="19"/>
        <v>43104.51166769999</v>
      </c>
      <c r="P182" s="99">
        <f t="shared" si="20"/>
        <v>47483.382694259999</v>
      </c>
    </row>
    <row r="183" spans="1:16" x14ac:dyDescent="0.35">
      <c r="A183" s="91" t="str">
        <f>LEFT('2025 actual v budget'!A183,4)&amp;"26"</f>
        <v>Jul-26</v>
      </c>
      <c r="B183" s="12" t="str">
        <f>'2025 actual v budget'!B183</f>
        <v>Brazil</v>
      </c>
      <c r="C183" s="12" t="str">
        <f>'2025 actual v budget'!C183</f>
        <v>Cross-border Payouts</v>
      </c>
      <c r="D183" s="14">
        <f>'2025 actual v budget'!D183</f>
        <v>15554657.18</v>
      </c>
      <c r="E183" s="92">
        <f>SUMIFS('Assumption-Best'!$C$3:$C$32,'Assumption-Best'!$A$3:$A$32,$B183,'Assumption-Best'!$B$3:$B$32,$C183)</f>
        <v>0.4</v>
      </c>
      <c r="F183" s="14">
        <f t="shared" si="14"/>
        <v>21776520.051999997</v>
      </c>
      <c r="G183" s="93">
        <f>SUMIFS('Assumption-Best'!$D$3:$D$32,'Assumption-Best'!$A$3:$A$32,$B183,'Assumption-Best'!$B$3:$B$32,$C183)</f>
        <v>7.4999999999999997E-3</v>
      </c>
      <c r="H183" s="94">
        <f t="shared" si="15"/>
        <v>163323.90038999997</v>
      </c>
      <c r="I183" s="92">
        <f>SUMIFS('Assumption-Best'!$E$3:$E$32,'Assumption-Best'!$A$3:$A$32,$B183,'Assumption-Best'!$B$3:$B$32,$C183)</f>
        <v>0.35</v>
      </c>
      <c r="J183" s="14">
        <f t="shared" si="16"/>
        <v>57163.365136499982</v>
      </c>
      <c r="K183" s="95">
        <f>SUMIFS('Assumption-Best'!$F$3:$F$32,'Assumption-Best'!$A$3:$A$32,$B183,'Assumption-Best'!$B$3:$B$32,$C183)</f>
        <v>6.9999999999999994E-5</v>
      </c>
      <c r="L183" s="14">
        <f t="shared" si="17"/>
        <v>1524.3564036399996</v>
      </c>
      <c r="M183" s="94">
        <f t="shared" si="18"/>
        <v>104636.17884985998</v>
      </c>
      <c r="N183" s="92">
        <f>SUMIFS('Assumption-Best'!$G$3:$G$32,'Assumption-Best'!$A$3:$A$32,$B183,'Assumption-Best'!$B$3:$B$32,$C183)</f>
        <v>0.35</v>
      </c>
      <c r="O183" s="14">
        <f t="shared" si="19"/>
        <v>57163.365136499982</v>
      </c>
      <c r="P183" s="94">
        <f t="shared" si="20"/>
        <v>47472.813713359996</v>
      </c>
    </row>
    <row r="184" spans="1:16" x14ac:dyDescent="0.35">
      <c r="A184" s="91" t="str">
        <f>LEFT('2025 actual v budget'!A184,4)&amp;"26"</f>
        <v>Jul-26</v>
      </c>
      <c r="B184" s="12" t="str">
        <f>'2025 actual v budget'!B184</f>
        <v>Brazil</v>
      </c>
      <c r="C184" s="12" t="str">
        <f>'2025 actual v budget'!C184</f>
        <v>FX Conversion</v>
      </c>
      <c r="D184" s="14">
        <f>'2025 actual v budget'!D184</f>
        <v>23902555.920000002</v>
      </c>
      <c r="E184" s="92">
        <f>SUMIFS('Assumption-Best'!$C$3:$C$32,'Assumption-Best'!$A$3:$A$32,$B184,'Assumption-Best'!$B$3:$B$32,$C184)</f>
        <v>0.4</v>
      </c>
      <c r="F184" s="14">
        <f t="shared" si="14"/>
        <v>33463578.287999999</v>
      </c>
      <c r="G184" s="93">
        <f>SUMIFS('Assumption-Best'!$D$3:$D$32,'Assumption-Best'!$A$3:$A$32,$B184,'Assumption-Best'!$B$3:$B$32,$C184)</f>
        <v>1.0500000000000001E-2</v>
      </c>
      <c r="H184" s="94">
        <f t="shared" si="15"/>
        <v>351367.57202399999</v>
      </c>
      <c r="I184" s="92">
        <f>SUMIFS('Assumption-Best'!$E$3:$E$32,'Assumption-Best'!$A$3:$A$32,$B184,'Assumption-Best'!$B$3:$B$32,$C184)</f>
        <v>0.28000000000000003</v>
      </c>
      <c r="J184" s="14">
        <f t="shared" si="16"/>
        <v>98382.92016672001</v>
      </c>
      <c r="K184" s="95">
        <f>SUMIFS('Assumption-Best'!$F$3:$F$32,'Assumption-Best'!$A$3:$A$32,$B184,'Assumption-Best'!$B$3:$B$32,$C184)</f>
        <v>6.9999999999999994E-5</v>
      </c>
      <c r="L184" s="14">
        <f t="shared" si="17"/>
        <v>2342.4504801599996</v>
      </c>
      <c r="M184" s="94">
        <f t="shared" si="18"/>
        <v>250642.20137711999</v>
      </c>
      <c r="N184" s="92">
        <f>SUMIFS('Assumption-Best'!$G$3:$G$32,'Assumption-Best'!$A$3:$A$32,$B184,'Assumption-Best'!$B$3:$B$32,$C184)</f>
        <v>0.35</v>
      </c>
      <c r="O184" s="14">
        <f t="shared" si="19"/>
        <v>122978.65020839999</v>
      </c>
      <c r="P184" s="94">
        <f t="shared" si="20"/>
        <v>127663.55116871999</v>
      </c>
    </row>
    <row r="185" spans="1:16" x14ac:dyDescent="0.35">
      <c r="A185" s="91" t="str">
        <f>LEFT('2025 actual v budget'!A185,4)&amp;"26"</f>
        <v>Jul-26</v>
      </c>
      <c r="B185" s="12" t="str">
        <f>'2025 actual v budget'!B185</f>
        <v>Brazil</v>
      </c>
      <c r="C185" s="12" t="str">
        <f>'2025 actual v budget'!C185</f>
        <v>Stablecoin Settlement</v>
      </c>
      <c r="D185" s="14">
        <f>'2025 actual v budget'!D185</f>
        <v>37473712.109999999</v>
      </c>
      <c r="E185" s="92">
        <f>SUMIFS('Assumption-Best'!$C$3:$C$32,'Assumption-Best'!$A$3:$A$32,$B185,'Assumption-Best'!$B$3:$B$32,$C185)</f>
        <v>0.8</v>
      </c>
      <c r="F185" s="14">
        <f t="shared" si="14"/>
        <v>67452681.798000008</v>
      </c>
      <c r="G185" s="93">
        <f>SUMIFS('Assumption-Best'!$D$3:$D$32,'Assumption-Best'!$A$3:$A$32,$B185,'Assumption-Best'!$B$3:$B$32,$C185)</f>
        <v>6.4999999999999997E-3</v>
      </c>
      <c r="H185" s="94">
        <f t="shared" si="15"/>
        <v>438442.43168700003</v>
      </c>
      <c r="I185" s="92">
        <f>SUMIFS('Assumption-Best'!$E$3:$E$32,'Assumption-Best'!$A$3:$A$32,$B185,'Assumption-Best'!$B$3:$B$32,$C185)</f>
        <v>0.32</v>
      </c>
      <c r="J185" s="14">
        <f t="shared" si="16"/>
        <v>140301.57813984001</v>
      </c>
      <c r="K185" s="95">
        <f>SUMIFS('Assumption-Best'!$F$3:$F$32,'Assumption-Best'!$A$3:$A$32,$B185,'Assumption-Best'!$B$3:$B$32,$C185)</f>
        <v>6.9999999999999994E-5</v>
      </c>
      <c r="L185" s="14">
        <f t="shared" si="17"/>
        <v>4721.6877258599998</v>
      </c>
      <c r="M185" s="94">
        <f t="shared" si="18"/>
        <v>293419.16582130006</v>
      </c>
      <c r="N185" s="92">
        <f>SUMIFS('Assumption-Best'!$G$3:$G$32,'Assumption-Best'!$A$3:$A$32,$B185,'Assumption-Best'!$B$3:$B$32,$C185)</f>
        <v>0.35</v>
      </c>
      <c r="O185" s="14">
        <f t="shared" si="19"/>
        <v>153454.85109045001</v>
      </c>
      <c r="P185" s="94">
        <f t="shared" si="20"/>
        <v>139964.31473085005</v>
      </c>
    </row>
    <row r="186" spans="1:16" x14ac:dyDescent="0.35">
      <c r="A186" s="91" t="str">
        <f>LEFT('2025 actual v budget'!A186,4)&amp;"26"</f>
        <v>Jul-26</v>
      </c>
      <c r="B186" s="12" t="str">
        <f>'2025 actual v budget'!B186</f>
        <v>Brazil</v>
      </c>
      <c r="C186" s="12" t="str">
        <f>'2025 actual v budget'!C186</f>
        <v>Treasury Yield</v>
      </c>
      <c r="D186" s="14">
        <f>'2025 actual v budget'!D186</f>
        <v>10110938.029999999</v>
      </c>
      <c r="E186" s="92">
        <f>SUMIFS('Assumption-Best'!$C$3:$C$32,'Assumption-Best'!$A$3:$A$32,$B186,'Assumption-Best'!$B$3:$B$32,$C186)</f>
        <v>0.4</v>
      </c>
      <c r="F186" s="14">
        <f t="shared" si="14"/>
        <v>14155313.241999999</v>
      </c>
      <c r="G186" s="93">
        <f>SUMIFS('Assumption-Best'!$D$3:$D$32,'Assumption-Best'!$A$3:$A$32,$B186,'Assumption-Best'!$B$3:$B$32,$C186)</f>
        <v>3.0000000000000001E-3</v>
      </c>
      <c r="H186" s="94">
        <f t="shared" si="15"/>
        <v>42465.939725999997</v>
      </c>
      <c r="I186" s="92">
        <f>SUMIFS('Assumption-Best'!$E$3:$E$32,'Assumption-Best'!$A$3:$A$32,$B186,'Assumption-Best'!$B$3:$B$32,$C186)</f>
        <v>0.18</v>
      </c>
      <c r="J186" s="14">
        <f t="shared" si="16"/>
        <v>7643.8691506799987</v>
      </c>
      <c r="K186" s="95">
        <f>SUMIFS('Assumption-Best'!$F$3:$F$32,'Assumption-Best'!$A$3:$A$32,$B186,'Assumption-Best'!$B$3:$B$32,$C186)</f>
        <v>6.9999999999999994E-5</v>
      </c>
      <c r="L186" s="14">
        <f t="shared" si="17"/>
        <v>990.87192693999987</v>
      </c>
      <c r="M186" s="94">
        <f t="shared" si="18"/>
        <v>33831.198648379999</v>
      </c>
      <c r="N186" s="92">
        <f>SUMIFS('Assumption-Best'!$G$3:$G$32,'Assumption-Best'!$A$3:$A$32,$B186,'Assumption-Best'!$B$3:$B$32,$C186)</f>
        <v>0.35</v>
      </c>
      <c r="O186" s="14">
        <f t="shared" si="19"/>
        <v>14863.078904099997</v>
      </c>
      <c r="P186" s="94">
        <f t="shared" si="20"/>
        <v>18968.119744280004</v>
      </c>
    </row>
    <row r="187" spans="1:16" x14ac:dyDescent="0.35">
      <c r="A187" s="91" t="str">
        <f>LEFT('2025 actual v budget'!A187,4)&amp;"26"</f>
        <v>Jul-26</v>
      </c>
      <c r="B187" s="12" t="str">
        <f>'2025 actual v budget'!B187</f>
        <v>Brazil</v>
      </c>
      <c r="C187" s="12" t="str">
        <f>'2025 actual v budget'!C187</f>
        <v>Virtual Accounts</v>
      </c>
      <c r="D187" s="14">
        <f>'2025 actual v budget'!D187</f>
        <v>14891813.970000001</v>
      </c>
      <c r="E187" s="92">
        <f>SUMIFS('Assumption-Best'!$C$3:$C$32,'Assumption-Best'!$A$3:$A$32,$B187,'Assumption-Best'!$B$3:$B$32,$C187)</f>
        <v>0.4</v>
      </c>
      <c r="F187" s="14">
        <f t="shared" si="14"/>
        <v>20848539.557999998</v>
      </c>
      <c r="G187" s="93">
        <f>SUMIFS('Assumption-Best'!$D$3:$D$32,'Assumption-Best'!$A$3:$A$32,$B187,'Assumption-Best'!$B$3:$B$32,$C187)</f>
        <v>4.4999999999999997E-3</v>
      </c>
      <c r="H187" s="94">
        <f t="shared" si="15"/>
        <v>93818.428010999982</v>
      </c>
      <c r="I187" s="92">
        <f>SUMIFS('Assumption-Best'!$E$3:$E$32,'Assumption-Best'!$A$3:$A$32,$B187,'Assumption-Best'!$B$3:$B$32,$C187)</f>
        <v>0.22</v>
      </c>
      <c r="J187" s="14">
        <f t="shared" si="16"/>
        <v>20640.054162419998</v>
      </c>
      <c r="K187" s="95">
        <f>SUMIFS('Assumption-Best'!$F$3:$F$32,'Assumption-Best'!$A$3:$A$32,$B187,'Assumption-Best'!$B$3:$B$32,$C187)</f>
        <v>6.9999999999999994E-5</v>
      </c>
      <c r="L187" s="14">
        <f t="shared" si="17"/>
        <v>1459.3977690599997</v>
      </c>
      <c r="M187" s="94">
        <f t="shared" si="18"/>
        <v>71718.976079519984</v>
      </c>
      <c r="N187" s="92">
        <f>SUMIFS('Assumption-Best'!$G$3:$G$32,'Assumption-Best'!$A$3:$A$32,$B187,'Assumption-Best'!$B$3:$B$32,$C187)</f>
        <v>0.35</v>
      </c>
      <c r="O187" s="14">
        <f t="shared" si="19"/>
        <v>32836.449803849995</v>
      </c>
      <c r="P187" s="94">
        <f t="shared" si="20"/>
        <v>38882.526275669989</v>
      </c>
    </row>
    <row r="188" spans="1:16" x14ac:dyDescent="0.35">
      <c r="A188" s="91" t="str">
        <f>LEFT('2025 actual v budget'!A188,4)&amp;"26"</f>
        <v>Jul-26</v>
      </c>
      <c r="B188" s="12" t="str">
        <f>'2025 actual v budget'!B188</f>
        <v>Germany</v>
      </c>
      <c r="C188" s="12" t="str">
        <f>'2025 actual v budget'!C188</f>
        <v>Cross-border Payouts</v>
      </c>
      <c r="D188" s="14">
        <f>'2025 actual v budget'!D188</f>
        <v>7536090.3499999996</v>
      </c>
      <c r="E188" s="92">
        <f>SUMIFS('Assumption-Best'!$C$3:$C$32,'Assumption-Best'!$A$3:$A$32,$B188,'Assumption-Best'!$B$3:$B$32,$C188)</f>
        <v>0.12</v>
      </c>
      <c r="F188" s="14">
        <f t="shared" si="14"/>
        <v>8440421.1919999998</v>
      </c>
      <c r="G188" s="93">
        <f>SUMIFS('Assumption-Best'!$D$3:$D$32,'Assumption-Best'!$A$3:$A$32,$B188,'Assumption-Best'!$B$3:$B$32,$C188)</f>
        <v>7.4999999999999997E-3</v>
      </c>
      <c r="H188" s="94">
        <f t="shared" si="15"/>
        <v>63303.158939999994</v>
      </c>
      <c r="I188" s="92">
        <f>SUMIFS('Assumption-Best'!$E$3:$E$32,'Assumption-Best'!$A$3:$A$32,$B188,'Assumption-Best'!$B$3:$B$32,$C188)</f>
        <v>0.35</v>
      </c>
      <c r="J188" s="14">
        <f t="shared" si="16"/>
        <v>22156.105628999998</v>
      </c>
      <c r="K188" s="95">
        <f>SUMIFS('Assumption-Best'!$F$3:$F$32,'Assumption-Best'!$A$3:$A$32,$B188,'Assumption-Best'!$B$3:$B$32,$C188)</f>
        <v>1.4999999999999999E-4</v>
      </c>
      <c r="L188" s="14">
        <f t="shared" si="17"/>
        <v>1266.0631787999998</v>
      </c>
      <c r="M188" s="94">
        <f t="shared" si="18"/>
        <v>39880.990132199993</v>
      </c>
      <c r="N188" s="92">
        <f>SUMIFS('Assumption-Best'!$G$3:$G$32,'Assumption-Best'!$A$3:$A$32,$B188,'Assumption-Best'!$B$3:$B$32,$C188)</f>
        <v>0.35</v>
      </c>
      <c r="O188" s="14">
        <f t="shared" si="19"/>
        <v>22156.105628999998</v>
      </c>
      <c r="P188" s="94">
        <f t="shared" si="20"/>
        <v>17724.884503199995</v>
      </c>
    </row>
    <row r="189" spans="1:16" x14ac:dyDescent="0.35">
      <c r="A189" s="91" t="str">
        <f>LEFT('2025 actual v budget'!A189,4)&amp;"26"</f>
        <v>Jul-26</v>
      </c>
      <c r="B189" s="12" t="str">
        <f>'2025 actual v budget'!B189</f>
        <v>Germany</v>
      </c>
      <c r="C189" s="12" t="str">
        <f>'2025 actual v budget'!C189</f>
        <v>FX Conversion</v>
      </c>
      <c r="D189" s="14">
        <f>'2025 actual v budget'!D189</f>
        <v>11574300.24</v>
      </c>
      <c r="E189" s="92">
        <f>SUMIFS('Assumption-Best'!$C$3:$C$32,'Assumption-Best'!$A$3:$A$32,$B189,'Assumption-Best'!$B$3:$B$32,$C189)</f>
        <v>0.12</v>
      </c>
      <c r="F189" s="14">
        <f t="shared" si="14"/>
        <v>12963216.268800002</v>
      </c>
      <c r="G189" s="93">
        <f>SUMIFS('Assumption-Best'!$D$3:$D$32,'Assumption-Best'!$A$3:$A$32,$B189,'Assumption-Best'!$B$3:$B$32,$C189)</f>
        <v>1.0500000000000001E-2</v>
      </c>
      <c r="H189" s="94">
        <f t="shared" si="15"/>
        <v>136113.77082240002</v>
      </c>
      <c r="I189" s="92">
        <f>SUMIFS('Assumption-Best'!$E$3:$E$32,'Assumption-Best'!$A$3:$A$32,$B189,'Assumption-Best'!$B$3:$B$32,$C189)</f>
        <v>0.28000000000000003</v>
      </c>
      <c r="J189" s="14">
        <f t="shared" si="16"/>
        <v>38111.855830272012</v>
      </c>
      <c r="K189" s="95">
        <f>SUMIFS('Assumption-Best'!$F$3:$F$32,'Assumption-Best'!$A$3:$A$32,$B189,'Assumption-Best'!$B$3:$B$32,$C189)</f>
        <v>1.4999999999999999E-4</v>
      </c>
      <c r="L189" s="14">
        <f t="shared" si="17"/>
        <v>1944.48244032</v>
      </c>
      <c r="M189" s="94">
        <f t="shared" si="18"/>
        <v>96057.432551808</v>
      </c>
      <c r="N189" s="92">
        <f>SUMIFS('Assumption-Best'!$G$3:$G$32,'Assumption-Best'!$A$3:$A$32,$B189,'Assumption-Best'!$B$3:$B$32,$C189)</f>
        <v>0.35</v>
      </c>
      <c r="O189" s="14">
        <f t="shared" si="19"/>
        <v>47639.819787840002</v>
      </c>
      <c r="P189" s="94">
        <f t="shared" si="20"/>
        <v>48417.612763967998</v>
      </c>
    </row>
    <row r="190" spans="1:16" x14ac:dyDescent="0.35">
      <c r="A190" s="91" t="str">
        <f>LEFT('2025 actual v budget'!A190,4)&amp;"26"</f>
        <v>Jul-26</v>
      </c>
      <c r="B190" s="12" t="str">
        <f>'2025 actual v budget'!B190</f>
        <v>Germany</v>
      </c>
      <c r="C190" s="12" t="str">
        <f>'2025 actual v budget'!C190</f>
        <v>Stablecoin Settlement</v>
      </c>
      <c r="D190" s="14">
        <f>'2025 actual v budget'!D190</f>
        <v>18155673.690000001</v>
      </c>
      <c r="E190" s="92">
        <f>SUMIFS('Assumption-Best'!$C$3:$C$32,'Assumption-Best'!$A$3:$A$32,$B190,'Assumption-Best'!$B$3:$B$32,$C190)</f>
        <v>0.24</v>
      </c>
      <c r="F190" s="14">
        <f t="shared" si="14"/>
        <v>22513035.375600003</v>
      </c>
      <c r="G190" s="93">
        <f>SUMIFS('Assumption-Best'!$D$3:$D$32,'Assumption-Best'!$A$3:$A$32,$B190,'Assumption-Best'!$B$3:$B$32,$C190)</f>
        <v>6.4999999999999997E-3</v>
      </c>
      <c r="H190" s="94">
        <f t="shared" si="15"/>
        <v>146334.7299414</v>
      </c>
      <c r="I190" s="92">
        <f>SUMIFS('Assumption-Best'!$E$3:$E$32,'Assumption-Best'!$A$3:$A$32,$B190,'Assumption-Best'!$B$3:$B$32,$C190)</f>
        <v>0.32</v>
      </c>
      <c r="J190" s="14">
        <f t="shared" si="16"/>
        <v>46827.113581247999</v>
      </c>
      <c r="K190" s="95">
        <f>SUMIFS('Assumption-Best'!$F$3:$F$32,'Assumption-Best'!$A$3:$A$32,$B190,'Assumption-Best'!$B$3:$B$32,$C190)</f>
        <v>1.4999999999999999E-4</v>
      </c>
      <c r="L190" s="14">
        <f t="shared" si="17"/>
        <v>3376.9553063400003</v>
      </c>
      <c r="M190" s="94">
        <f t="shared" si="18"/>
        <v>96130.661053812</v>
      </c>
      <c r="N190" s="92">
        <f>SUMIFS('Assumption-Best'!$G$3:$G$32,'Assumption-Best'!$A$3:$A$32,$B190,'Assumption-Best'!$B$3:$B$32,$C190)</f>
        <v>0.35</v>
      </c>
      <c r="O190" s="14">
        <f t="shared" si="19"/>
        <v>51217.15547949</v>
      </c>
      <c r="P190" s="94">
        <f t="shared" si="20"/>
        <v>44913.505574322</v>
      </c>
    </row>
    <row r="191" spans="1:16" x14ac:dyDescent="0.35">
      <c r="A191" s="91" t="str">
        <f>LEFT('2025 actual v budget'!A191,4)&amp;"26"</f>
        <v>Jul-26</v>
      </c>
      <c r="B191" s="12" t="str">
        <f>'2025 actual v budget'!B191</f>
        <v>Germany</v>
      </c>
      <c r="C191" s="12" t="str">
        <f>'2025 actual v budget'!C191</f>
        <v>Treasury Yield</v>
      </c>
      <c r="D191" s="14">
        <f>'2025 actual v budget'!D191</f>
        <v>4896004.96</v>
      </c>
      <c r="E191" s="92">
        <f>SUMIFS('Assumption-Best'!$C$3:$C$32,'Assumption-Best'!$A$3:$A$32,$B191,'Assumption-Best'!$B$3:$B$32,$C191)</f>
        <v>0.12</v>
      </c>
      <c r="F191" s="14">
        <f t="shared" si="14"/>
        <v>5483525.5552000003</v>
      </c>
      <c r="G191" s="93">
        <f>SUMIFS('Assumption-Best'!$D$3:$D$32,'Assumption-Best'!$A$3:$A$32,$B191,'Assumption-Best'!$B$3:$B$32,$C191)</f>
        <v>3.0000000000000001E-3</v>
      </c>
      <c r="H191" s="94">
        <f t="shared" si="15"/>
        <v>16450.576665600001</v>
      </c>
      <c r="I191" s="92">
        <f>SUMIFS('Assumption-Best'!$E$3:$E$32,'Assumption-Best'!$A$3:$A$32,$B191,'Assumption-Best'!$B$3:$B$32,$C191)</f>
        <v>0.18</v>
      </c>
      <c r="J191" s="14">
        <f t="shared" si="16"/>
        <v>2961.1037998080001</v>
      </c>
      <c r="K191" s="95">
        <f>SUMIFS('Assumption-Best'!$F$3:$F$32,'Assumption-Best'!$A$3:$A$32,$B191,'Assumption-Best'!$B$3:$B$32,$C191)</f>
        <v>1.4999999999999999E-4</v>
      </c>
      <c r="L191" s="14">
        <f t="shared" si="17"/>
        <v>822.52883327999996</v>
      </c>
      <c r="M191" s="94">
        <f t="shared" si="18"/>
        <v>12666.944032512003</v>
      </c>
      <c r="N191" s="92">
        <f>SUMIFS('Assumption-Best'!$G$3:$G$32,'Assumption-Best'!$A$3:$A$32,$B191,'Assumption-Best'!$B$3:$B$32,$C191)</f>
        <v>0.35</v>
      </c>
      <c r="O191" s="14">
        <f t="shared" si="19"/>
        <v>5757.7018329600005</v>
      </c>
      <c r="P191" s="94">
        <f t="shared" si="20"/>
        <v>6909.2421995520026</v>
      </c>
    </row>
    <row r="192" spans="1:16" x14ac:dyDescent="0.35">
      <c r="A192" s="91" t="str">
        <f>LEFT('2025 actual v budget'!A192,4)&amp;"26"</f>
        <v>Jul-26</v>
      </c>
      <c r="B192" s="12" t="str">
        <f>'2025 actual v budget'!B192</f>
        <v>Germany</v>
      </c>
      <c r="C192" s="12" t="str">
        <f>'2025 actual v budget'!C192</f>
        <v>Virtual Accounts</v>
      </c>
      <c r="D192" s="14">
        <f>'2025 actual v budget'!D192</f>
        <v>7211041.6399999997</v>
      </c>
      <c r="E192" s="92">
        <f>SUMIFS('Assumption-Best'!$C$3:$C$32,'Assumption-Best'!$A$3:$A$32,$B192,'Assumption-Best'!$B$3:$B$32,$C192)</f>
        <v>0.12</v>
      </c>
      <c r="F192" s="14">
        <f t="shared" si="14"/>
        <v>8076366.6368000004</v>
      </c>
      <c r="G192" s="93">
        <f>SUMIFS('Assumption-Best'!$D$3:$D$32,'Assumption-Best'!$A$3:$A$32,$B192,'Assumption-Best'!$B$3:$B$32,$C192)</f>
        <v>4.4999999999999997E-3</v>
      </c>
      <c r="H192" s="94">
        <f t="shared" si="15"/>
        <v>36343.649865599997</v>
      </c>
      <c r="I192" s="92">
        <f>SUMIFS('Assumption-Best'!$E$3:$E$32,'Assumption-Best'!$A$3:$A$32,$B192,'Assumption-Best'!$B$3:$B$32,$C192)</f>
        <v>0.22</v>
      </c>
      <c r="J192" s="14">
        <f t="shared" si="16"/>
        <v>7995.602970431999</v>
      </c>
      <c r="K192" s="95">
        <f>SUMIFS('Assumption-Best'!$F$3:$F$32,'Assumption-Best'!$A$3:$A$32,$B192,'Assumption-Best'!$B$3:$B$32,$C192)</f>
        <v>1.4999999999999999E-4</v>
      </c>
      <c r="L192" s="14">
        <f t="shared" si="17"/>
        <v>1211.45499552</v>
      </c>
      <c r="M192" s="94">
        <f t="shared" si="18"/>
        <v>27136.591899647996</v>
      </c>
      <c r="N192" s="92">
        <f>SUMIFS('Assumption-Best'!$G$3:$G$32,'Assumption-Best'!$A$3:$A$32,$B192,'Assumption-Best'!$B$3:$B$32,$C192)</f>
        <v>0.35</v>
      </c>
      <c r="O192" s="14">
        <f t="shared" si="19"/>
        <v>12720.277452959997</v>
      </c>
      <c r="P192" s="94">
        <f t="shared" si="20"/>
        <v>14416.314446687998</v>
      </c>
    </row>
    <row r="193" spans="1:16" x14ac:dyDescent="0.35">
      <c r="A193" s="91" t="str">
        <f>LEFT('2025 actual v budget'!A193,4)&amp;"26"</f>
        <v>Jul-26</v>
      </c>
      <c r="B193" s="12" t="str">
        <f>'2025 actual v budget'!B193</f>
        <v>India</v>
      </c>
      <c r="C193" s="12" t="str">
        <f>'2025 actual v budget'!C193</f>
        <v>Cross-border Payouts</v>
      </c>
      <c r="D193" s="14">
        <f>'2025 actual v budget'!D193</f>
        <v>10576161.08</v>
      </c>
      <c r="E193" s="92">
        <f>SUMIFS('Assumption-Best'!$C$3:$C$32,'Assumption-Best'!$A$3:$A$32,$B193,'Assumption-Best'!$B$3:$B$32,$C193)</f>
        <v>0.24</v>
      </c>
      <c r="F193" s="14">
        <f t="shared" si="14"/>
        <v>13114439.7392</v>
      </c>
      <c r="G193" s="93">
        <f>SUMIFS('Assumption-Best'!$D$3:$D$32,'Assumption-Best'!$A$3:$A$32,$B193,'Assumption-Best'!$B$3:$B$32,$C193)</f>
        <v>7.4999999999999997E-3</v>
      </c>
      <c r="H193" s="94">
        <f t="shared" si="15"/>
        <v>98358.298043999996</v>
      </c>
      <c r="I193" s="92">
        <f>SUMIFS('Assumption-Best'!$E$3:$E$32,'Assumption-Best'!$A$3:$A$32,$B193,'Assumption-Best'!$B$3:$B$32,$C193)</f>
        <v>0.35</v>
      </c>
      <c r="J193" s="14">
        <f t="shared" si="16"/>
        <v>34425.404315399996</v>
      </c>
      <c r="K193" s="95">
        <f>SUMIFS('Assumption-Best'!$F$3:$F$32,'Assumption-Best'!$A$3:$A$32,$B193,'Assumption-Best'!$B$3:$B$32,$C193)</f>
        <v>1.8000000000000001E-4</v>
      </c>
      <c r="L193" s="14">
        <f t="shared" si="17"/>
        <v>2360.599153056</v>
      </c>
      <c r="M193" s="94">
        <f t="shared" si="18"/>
        <v>61572.294575544001</v>
      </c>
      <c r="N193" s="92">
        <f>SUMIFS('Assumption-Best'!$G$3:$G$32,'Assumption-Best'!$A$3:$A$32,$B193,'Assumption-Best'!$B$3:$B$32,$C193)</f>
        <v>0.35</v>
      </c>
      <c r="O193" s="14">
        <f t="shared" si="19"/>
        <v>34425.404315399996</v>
      </c>
      <c r="P193" s="94">
        <f t="shared" si="20"/>
        <v>27146.890260144006</v>
      </c>
    </row>
    <row r="194" spans="1:16" x14ac:dyDescent="0.35">
      <c r="A194" s="91" t="str">
        <f>LEFT('2025 actual v budget'!A194,4)&amp;"26"</f>
        <v>Jul-26</v>
      </c>
      <c r="B194" s="12" t="str">
        <f>'2025 actual v budget'!B194</f>
        <v>India</v>
      </c>
      <c r="C194" s="12" t="str">
        <f>'2025 actual v budget'!C194</f>
        <v>FX Conversion</v>
      </c>
      <c r="D194" s="14">
        <f>'2025 actual v budget'!D194</f>
        <v>16256471.66</v>
      </c>
      <c r="E194" s="92">
        <f>SUMIFS('Assumption-Best'!$C$3:$C$32,'Assumption-Best'!$A$3:$A$32,$B194,'Assumption-Best'!$B$3:$B$32,$C194)</f>
        <v>0.24</v>
      </c>
      <c r="F194" s="14">
        <f t="shared" si="14"/>
        <v>20158024.858399998</v>
      </c>
      <c r="G194" s="93">
        <f>SUMIFS('Assumption-Best'!$D$3:$D$32,'Assumption-Best'!$A$3:$A$32,$B194,'Assumption-Best'!$B$3:$B$32,$C194)</f>
        <v>1.0500000000000001E-2</v>
      </c>
      <c r="H194" s="94">
        <f t="shared" si="15"/>
        <v>211659.26101319998</v>
      </c>
      <c r="I194" s="92">
        <f>SUMIFS('Assumption-Best'!$E$3:$E$32,'Assumption-Best'!$A$3:$A$32,$B194,'Assumption-Best'!$B$3:$B$32,$C194)</f>
        <v>0.28000000000000003</v>
      </c>
      <c r="J194" s="14">
        <f t="shared" si="16"/>
        <v>59264.593083696003</v>
      </c>
      <c r="K194" s="95">
        <f>SUMIFS('Assumption-Best'!$F$3:$F$32,'Assumption-Best'!$A$3:$A$32,$B194,'Assumption-Best'!$B$3:$B$32,$C194)</f>
        <v>1.8000000000000001E-4</v>
      </c>
      <c r="L194" s="14">
        <f t="shared" si="17"/>
        <v>3628.4444745119999</v>
      </c>
      <c r="M194" s="94">
        <f t="shared" si="18"/>
        <v>148766.22345499197</v>
      </c>
      <c r="N194" s="92">
        <f>SUMIFS('Assumption-Best'!$G$3:$G$32,'Assumption-Best'!$A$3:$A$32,$B194,'Assumption-Best'!$B$3:$B$32,$C194)</f>
        <v>0.35</v>
      </c>
      <c r="O194" s="14">
        <f t="shared" si="19"/>
        <v>74080.741354619982</v>
      </c>
      <c r="P194" s="94">
        <f t="shared" si="20"/>
        <v>74685.482100371984</v>
      </c>
    </row>
    <row r="195" spans="1:16" x14ac:dyDescent="0.35">
      <c r="A195" s="91" t="str">
        <f>LEFT('2025 actual v budget'!A195,4)&amp;"26"</f>
        <v>Jul-26</v>
      </c>
      <c r="B195" s="12" t="str">
        <f>'2025 actual v budget'!B195</f>
        <v>India</v>
      </c>
      <c r="C195" s="12" t="str">
        <f>'2025 actual v budget'!C195</f>
        <v>Stablecoin Settlement</v>
      </c>
      <c r="D195" s="14">
        <f>'2025 actual v budget'!D195</f>
        <v>25479701.079999998</v>
      </c>
      <c r="E195" s="92">
        <f>SUMIFS('Assumption-Best'!$C$3:$C$32,'Assumption-Best'!$A$3:$A$32,$B195,'Assumption-Best'!$B$3:$B$32,$C195)</f>
        <v>0.48</v>
      </c>
      <c r="F195" s="14">
        <f t="shared" ref="F195:F258" si="21">D195*(1+E195)</f>
        <v>37709957.598399997</v>
      </c>
      <c r="G195" s="93">
        <f>SUMIFS('Assumption-Best'!$D$3:$D$32,'Assumption-Best'!$A$3:$A$32,$B195,'Assumption-Best'!$B$3:$B$32,$C195)</f>
        <v>6.4999999999999997E-3</v>
      </c>
      <c r="H195" s="94">
        <f t="shared" ref="H195:H258" si="22">F195*G195</f>
        <v>245114.72438959996</v>
      </c>
      <c r="I195" s="92">
        <f>SUMIFS('Assumption-Best'!$E$3:$E$32,'Assumption-Best'!$A$3:$A$32,$B195,'Assumption-Best'!$B$3:$B$32,$C195)</f>
        <v>0.32</v>
      </c>
      <c r="J195" s="14">
        <f t="shared" ref="J195:J258" si="23">H195*I195</f>
        <v>78436.711804671984</v>
      </c>
      <c r="K195" s="95">
        <f>SUMIFS('Assumption-Best'!$F$3:$F$32,'Assumption-Best'!$A$3:$A$32,$B195,'Assumption-Best'!$B$3:$B$32,$C195)</f>
        <v>1.8000000000000001E-4</v>
      </c>
      <c r="L195" s="14">
        <f t="shared" ref="L195:L258" si="24">F195*K195</f>
        <v>6787.7923677119998</v>
      </c>
      <c r="M195" s="94">
        <f t="shared" ref="M195:M258" si="25">H195-J195-L195</f>
        <v>159890.22021721595</v>
      </c>
      <c r="N195" s="92">
        <f>SUMIFS('Assumption-Best'!$G$3:$G$32,'Assumption-Best'!$A$3:$A$32,$B195,'Assumption-Best'!$B$3:$B$32,$C195)</f>
        <v>0.35</v>
      </c>
      <c r="O195" s="14">
        <f t="shared" ref="O195:O258" si="26">H195*N195</f>
        <v>85790.153536359983</v>
      </c>
      <c r="P195" s="94">
        <f t="shared" ref="P195:P258" si="27">M195-O195</f>
        <v>74100.066680855962</v>
      </c>
    </row>
    <row r="196" spans="1:16" x14ac:dyDescent="0.35">
      <c r="A196" s="91" t="str">
        <f>LEFT('2025 actual v budget'!A196,4)&amp;"26"</f>
        <v>Jul-26</v>
      </c>
      <c r="B196" s="12" t="str">
        <f>'2025 actual v budget'!B196</f>
        <v>India</v>
      </c>
      <c r="C196" s="12" t="str">
        <f>'2025 actual v budget'!C196</f>
        <v>Treasury Yield</v>
      </c>
      <c r="D196" s="14">
        <f>'2025 actual v budget'!D196</f>
        <v>6876594.2000000002</v>
      </c>
      <c r="E196" s="92">
        <f>SUMIFS('Assumption-Best'!$C$3:$C$32,'Assumption-Best'!$A$3:$A$32,$B196,'Assumption-Best'!$B$3:$B$32,$C196)</f>
        <v>0.24</v>
      </c>
      <c r="F196" s="14">
        <f t="shared" si="21"/>
        <v>8526976.8080000002</v>
      </c>
      <c r="G196" s="93">
        <f>SUMIFS('Assumption-Best'!$D$3:$D$32,'Assumption-Best'!$A$3:$A$32,$B196,'Assumption-Best'!$B$3:$B$32,$C196)</f>
        <v>3.0000000000000001E-3</v>
      </c>
      <c r="H196" s="94">
        <f t="shared" si="22"/>
        <v>25580.930424000002</v>
      </c>
      <c r="I196" s="92">
        <f>SUMIFS('Assumption-Best'!$E$3:$E$32,'Assumption-Best'!$A$3:$A$32,$B196,'Assumption-Best'!$B$3:$B$32,$C196)</f>
        <v>0.18</v>
      </c>
      <c r="J196" s="14">
        <f t="shared" si="23"/>
        <v>4604.5674763200004</v>
      </c>
      <c r="K196" s="95">
        <f>SUMIFS('Assumption-Best'!$F$3:$F$32,'Assumption-Best'!$A$3:$A$32,$B196,'Assumption-Best'!$B$3:$B$32,$C196)</f>
        <v>1.8000000000000001E-4</v>
      </c>
      <c r="L196" s="14">
        <f t="shared" si="24"/>
        <v>1534.8558254400002</v>
      </c>
      <c r="M196" s="94">
        <f t="shared" si="25"/>
        <v>19441.50712224</v>
      </c>
      <c r="N196" s="92">
        <f>SUMIFS('Assumption-Best'!$G$3:$G$32,'Assumption-Best'!$A$3:$A$32,$B196,'Assumption-Best'!$B$3:$B$32,$C196)</f>
        <v>0.35</v>
      </c>
      <c r="O196" s="14">
        <f t="shared" si="26"/>
        <v>8953.3256483999994</v>
      </c>
      <c r="P196" s="94">
        <f t="shared" si="27"/>
        <v>10488.181473840001</v>
      </c>
    </row>
    <row r="197" spans="1:16" x14ac:dyDescent="0.35">
      <c r="A197" s="91" t="str">
        <f>LEFT('2025 actual v budget'!A197,4)&amp;"26"</f>
        <v>Jul-26</v>
      </c>
      <c r="B197" s="12" t="str">
        <f>'2025 actual v budget'!B197</f>
        <v>India</v>
      </c>
      <c r="C197" s="12" t="str">
        <f>'2025 actual v budget'!C197</f>
        <v>Virtual Accounts</v>
      </c>
      <c r="D197" s="14">
        <f>'2025 actual v budget'!D197</f>
        <v>10128136.609999999</v>
      </c>
      <c r="E197" s="92">
        <f>SUMIFS('Assumption-Best'!$C$3:$C$32,'Assumption-Best'!$A$3:$A$32,$B197,'Assumption-Best'!$B$3:$B$32,$C197)</f>
        <v>0.24</v>
      </c>
      <c r="F197" s="14">
        <f t="shared" si="21"/>
        <v>12558889.396399999</v>
      </c>
      <c r="G197" s="93">
        <f>SUMIFS('Assumption-Best'!$D$3:$D$32,'Assumption-Best'!$A$3:$A$32,$B197,'Assumption-Best'!$B$3:$B$32,$C197)</f>
        <v>4.4999999999999997E-3</v>
      </c>
      <c r="H197" s="94">
        <f t="shared" si="22"/>
        <v>56515.002283799993</v>
      </c>
      <c r="I197" s="92">
        <f>SUMIFS('Assumption-Best'!$E$3:$E$32,'Assumption-Best'!$A$3:$A$32,$B197,'Assumption-Best'!$B$3:$B$32,$C197)</f>
        <v>0.22</v>
      </c>
      <c r="J197" s="14">
        <f t="shared" si="23"/>
        <v>12433.300502435999</v>
      </c>
      <c r="K197" s="95">
        <f>SUMIFS('Assumption-Best'!$F$3:$F$32,'Assumption-Best'!$A$3:$A$32,$B197,'Assumption-Best'!$B$3:$B$32,$C197)</f>
        <v>1.8000000000000001E-4</v>
      </c>
      <c r="L197" s="14">
        <f t="shared" si="24"/>
        <v>2260.6000913520002</v>
      </c>
      <c r="M197" s="94">
        <f t="shared" si="25"/>
        <v>41821.101690012001</v>
      </c>
      <c r="N197" s="92">
        <f>SUMIFS('Assumption-Best'!$G$3:$G$32,'Assumption-Best'!$A$3:$A$32,$B197,'Assumption-Best'!$B$3:$B$32,$C197)</f>
        <v>0.35</v>
      </c>
      <c r="O197" s="14">
        <f t="shared" si="26"/>
        <v>19780.250799329995</v>
      </c>
      <c r="P197" s="94">
        <f t="shared" si="27"/>
        <v>22040.850890682006</v>
      </c>
    </row>
    <row r="198" spans="1:16" x14ac:dyDescent="0.35">
      <c r="A198" s="91" t="str">
        <f>LEFT('2025 actual v budget'!A198,4)&amp;"26"</f>
        <v>Jul-26</v>
      </c>
      <c r="B198" s="12" t="str">
        <f>'2025 actual v budget'!B198</f>
        <v>Mexico</v>
      </c>
      <c r="C198" s="12" t="str">
        <f>'2025 actual v budget'!C198</f>
        <v>Cross-border Payouts</v>
      </c>
      <c r="D198" s="14">
        <f>'2025 actual v budget'!D198</f>
        <v>12569850.51</v>
      </c>
      <c r="E198" s="92">
        <f>SUMIFS('Assumption-Best'!$C$3:$C$32,'Assumption-Best'!$A$3:$A$32,$B198,'Assumption-Best'!$B$3:$B$32,$C198)</f>
        <v>0.3</v>
      </c>
      <c r="F198" s="14">
        <f t="shared" si="21"/>
        <v>16340805.663000001</v>
      </c>
      <c r="G198" s="93">
        <f>SUMIFS('Assumption-Best'!$D$3:$D$32,'Assumption-Best'!$A$3:$A$32,$B198,'Assumption-Best'!$B$3:$B$32,$C198)</f>
        <v>7.4999999999999997E-3</v>
      </c>
      <c r="H198" s="94">
        <f t="shared" si="22"/>
        <v>122556.0424725</v>
      </c>
      <c r="I198" s="92">
        <f>SUMIFS('Assumption-Best'!$E$3:$E$32,'Assumption-Best'!$A$3:$A$32,$B198,'Assumption-Best'!$B$3:$B$32,$C198)</f>
        <v>0.35</v>
      </c>
      <c r="J198" s="14">
        <f t="shared" si="23"/>
        <v>42894.614865374999</v>
      </c>
      <c r="K198" s="95">
        <f>SUMIFS('Assumption-Best'!$F$3:$F$32,'Assumption-Best'!$A$3:$A$32,$B198,'Assumption-Best'!$B$3:$B$32,$C198)</f>
        <v>8.0000000000000007E-5</v>
      </c>
      <c r="L198" s="14">
        <f t="shared" si="24"/>
        <v>1307.2644530400003</v>
      </c>
      <c r="M198" s="94">
        <f t="shared" si="25"/>
        <v>78354.163154085007</v>
      </c>
      <c r="N198" s="92">
        <f>SUMIFS('Assumption-Best'!$G$3:$G$32,'Assumption-Best'!$A$3:$A$32,$B198,'Assumption-Best'!$B$3:$B$32,$C198)</f>
        <v>0.35</v>
      </c>
      <c r="O198" s="14">
        <f t="shared" si="26"/>
        <v>42894.614865374999</v>
      </c>
      <c r="P198" s="94">
        <f t="shared" si="27"/>
        <v>35459.548288710008</v>
      </c>
    </row>
    <row r="199" spans="1:16" x14ac:dyDescent="0.35">
      <c r="A199" s="91" t="str">
        <f>LEFT('2025 actual v budget'!A199,4)&amp;"26"</f>
        <v>Jul-26</v>
      </c>
      <c r="B199" s="12" t="str">
        <f>'2025 actual v budget'!B199</f>
        <v>Mexico</v>
      </c>
      <c r="C199" s="12" t="str">
        <f>'2025 actual v budget'!C199</f>
        <v>FX Conversion</v>
      </c>
      <c r="D199" s="14">
        <f>'2025 actual v budget'!D199</f>
        <v>19318413.050000001</v>
      </c>
      <c r="E199" s="92">
        <f>SUMIFS('Assumption-Best'!$C$3:$C$32,'Assumption-Best'!$A$3:$A$32,$B199,'Assumption-Best'!$B$3:$B$32,$C199)</f>
        <v>0.3</v>
      </c>
      <c r="F199" s="14">
        <f t="shared" si="21"/>
        <v>25113936.965000004</v>
      </c>
      <c r="G199" s="93">
        <f>SUMIFS('Assumption-Best'!$D$3:$D$32,'Assumption-Best'!$A$3:$A$32,$B199,'Assumption-Best'!$B$3:$B$32,$C199)</f>
        <v>1.0500000000000001E-2</v>
      </c>
      <c r="H199" s="94">
        <f t="shared" si="22"/>
        <v>263696.33813250007</v>
      </c>
      <c r="I199" s="92">
        <f>SUMIFS('Assumption-Best'!$E$3:$E$32,'Assumption-Best'!$A$3:$A$32,$B199,'Assumption-Best'!$B$3:$B$32,$C199)</f>
        <v>0.28000000000000003</v>
      </c>
      <c r="J199" s="14">
        <f t="shared" si="23"/>
        <v>73834.974677100021</v>
      </c>
      <c r="K199" s="95">
        <f>SUMIFS('Assumption-Best'!$F$3:$F$32,'Assumption-Best'!$A$3:$A$32,$B199,'Assumption-Best'!$B$3:$B$32,$C199)</f>
        <v>8.0000000000000007E-5</v>
      </c>
      <c r="L199" s="14">
        <f t="shared" si="24"/>
        <v>2009.1149572000004</v>
      </c>
      <c r="M199" s="94">
        <f t="shared" si="25"/>
        <v>187852.24849820003</v>
      </c>
      <c r="N199" s="92">
        <f>SUMIFS('Assumption-Best'!$G$3:$G$32,'Assumption-Best'!$A$3:$A$32,$B199,'Assumption-Best'!$B$3:$B$32,$C199)</f>
        <v>0.35</v>
      </c>
      <c r="O199" s="14">
        <f t="shared" si="26"/>
        <v>92293.718346375012</v>
      </c>
      <c r="P199" s="94">
        <f t="shared" si="27"/>
        <v>95558.53015182502</v>
      </c>
    </row>
    <row r="200" spans="1:16" x14ac:dyDescent="0.35">
      <c r="A200" s="91" t="str">
        <f>LEFT('2025 actual v budget'!A200,4)&amp;"26"</f>
        <v>Jul-26</v>
      </c>
      <c r="B200" s="12" t="str">
        <f>'2025 actual v budget'!B200</f>
        <v>Mexico</v>
      </c>
      <c r="C200" s="12" t="str">
        <f>'2025 actual v budget'!C200</f>
        <v>Stablecoin Settlement</v>
      </c>
      <c r="D200" s="14">
        <f>'2025 actual v budget'!D200</f>
        <v>30282824.870000001</v>
      </c>
      <c r="E200" s="92">
        <f>SUMIFS('Assumption-Best'!$C$3:$C$32,'Assumption-Best'!$A$3:$A$32,$B200,'Assumption-Best'!$B$3:$B$32,$C200)</f>
        <v>0.6</v>
      </c>
      <c r="F200" s="14">
        <f t="shared" si="21"/>
        <v>48452519.792000003</v>
      </c>
      <c r="G200" s="93">
        <f>SUMIFS('Assumption-Best'!$D$3:$D$32,'Assumption-Best'!$A$3:$A$32,$B200,'Assumption-Best'!$B$3:$B$32,$C200)</f>
        <v>6.4999999999999997E-3</v>
      </c>
      <c r="H200" s="94">
        <f t="shared" si="22"/>
        <v>314941.37864800001</v>
      </c>
      <c r="I200" s="92">
        <f>SUMIFS('Assumption-Best'!$E$3:$E$32,'Assumption-Best'!$A$3:$A$32,$B200,'Assumption-Best'!$B$3:$B$32,$C200)</f>
        <v>0.32</v>
      </c>
      <c r="J200" s="14">
        <f t="shared" si="23"/>
        <v>100781.24116736</v>
      </c>
      <c r="K200" s="95">
        <f>SUMIFS('Assumption-Best'!$F$3:$F$32,'Assumption-Best'!$A$3:$A$32,$B200,'Assumption-Best'!$B$3:$B$32,$C200)</f>
        <v>8.0000000000000007E-5</v>
      </c>
      <c r="L200" s="14">
        <f t="shared" si="24"/>
        <v>3876.2015833600008</v>
      </c>
      <c r="M200" s="94">
        <f t="shared" si="25"/>
        <v>210283.93589728003</v>
      </c>
      <c r="N200" s="92">
        <f>SUMIFS('Assumption-Best'!$G$3:$G$32,'Assumption-Best'!$A$3:$A$32,$B200,'Assumption-Best'!$B$3:$B$32,$C200)</f>
        <v>0.35</v>
      </c>
      <c r="O200" s="14">
        <f t="shared" si="26"/>
        <v>110229.4825268</v>
      </c>
      <c r="P200" s="94">
        <f t="shared" si="27"/>
        <v>100054.45337048003</v>
      </c>
    </row>
    <row r="201" spans="1:16" x14ac:dyDescent="0.35">
      <c r="A201" s="91" t="str">
        <f>LEFT('2025 actual v budget'!A201,4)&amp;"26"</f>
        <v>Jul-26</v>
      </c>
      <c r="B201" s="12" t="str">
        <f>'2025 actual v budget'!B201</f>
        <v>Mexico</v>
      </c>
      <c r="C201" s="12" t="str">
        <f>'2025 actual v budget'!C201</f>
        <v>Treasury Yield</v>
      </c>
      <c r="D201" s="14">
        <f>'2025 actual v budget'!D201</f>
        <v>8171815.5</v>
      </c>
      <c r="E201" s="92">
        <f>SUMIFS('Assumption-Best'!$C$3:$C$32,'Assumption-Best'!$A$3:$A$32,$B201,'Assumption-Best'!$B$3:$B$32,$C201)</f>
        <v>0.3</v>
      </c>
      <c r="F201" s="14">
        <f t="shared" si="21"/>
        <v>10623360.15</v>
      </c>
      <c r="G201" s="93">
        <f>SUMIFS('Assumption-Best'!$D$3:$D$32,'Assumption-Best'!$A$3:$A$32,$B201,'Assumption-Best'!$B$3:$B$32,$C201)</f>
        <v>3.0000000000000001E-3</v>
      </c>
      <c r="H201" s="94">
        <f t="shared" si="22"/>
        <v>31870.080450000001</v>
      </c>
      <c r="I201" s="92">
        <f>SUMIFS('Assumption-Best'!$E$3:$E$32,'Assumption-Best'!$A$3:$A$32,$B201,'Assumption-Best'!$B$3:$B$32,$C201)</f>
        <v>0.18</v>
      </c>
      <c r="J201" s="14">
        <f t="shared" si="23"/>
        <v>5736.6144809999996</v>
      </c>
      <c r="K201" s="95">
        <f>SUMIFS('Assumption-Best'!$F$3:$F$32,'Assumption-Best'!$A$3:$A$32,$B201,'Assumption-Best'!$B$3:$B$32,$C201)</f>
        <v>8.0000000000000007E-5</v>
      </c>
      <c r="L201" s="14">
        <f t="shared" si="24"/>
        <v>849.86881200000005</v>
      </c>
      <c r="M201" s="94">
        <f t="shared" si="25"/>
        <v>25283.597157</v>
      </c>
      <c r="N201" s="92">
        <f>SUMIFS('Assumption-Best'!$G$3:$G$32,'Assumption-Best'!$A$3:$A$32,$B201,'Assumption-Best'!$B$3:$B$32,$C201)</f>
        <v>0.35</v>
      </c>
      <c r="O201" s="14">
        <f t="shared" si="26"/>
        <v>11154.528157499999</v>
      </c>
      <c r="P201" s="94">
        <f t="shared" si="27"/>
        <v>14129.068999500001</v>
      </c>
    </row>
    <row r="202" spans="1:16" x14ac:dyDescent="0.35">
      <c r="A202" s="91" t="str">
        <f>LEFT('2025 actual v budget'!A202,4)&amp;"26"</f>
        <v>Jul-26</v>
      </c>
      <c r="B202" s="12" t="str">
        <f>'2025 actual v budget'!B202</f>
        <v>Mexico</v>
      </c>
      <c r="C202" s="12" t="str">
        <f>'2025 actual v budget'!C202</f>
        <v>Virtual Accounts</v>
      </c>
      <c r="D202" s="14">
        <f>'2025 actual v budget'!D202</f>
        <v>12035792.92</v>
      </c>
      <c r="E202" s="92">
        <f>SUMIFS('Assumption-Best'!$C$3:$C$32,'Assumption-Best'!$A$3:$A$32,$B202,'Assumption-Best'!$B$3:$B$32,$C202)</f>
        <v>0.3</v>
      </c>
      <c r="F202" s="14">
        <f t="shared" si="21"/>
        <v>15646530.796</v>
      </c>
      <c r="G202" s="93">
        <f>SUMIFS('Assumption-Best'!$D$3:$D$32,'Assumption-Best'!$A$3:$A$32,$B202,'Assumption-Best'!$B$3:$B$32,$C202)</f>
        <v>4.4999999999999997E-3</v>
      </c>
      <c r="H202" s="94">
        <f t="shared" si="22"/>
        <v>70409.388582</v>
      </c>
      <c r="I202" s="92">
        <f>SUMIFS('Assumption-Best'!$E$3:$E$32,'Assumption-Best'!$A$3:$A$32,$B202,'Assumption-Best'!$B$3:$B$32,$C202)</f>
        <v>0.22</v>
      </c>
      <c r="J202" s="14">
        <f t="shared" si="23"/>
        <v>15490.06548804</v>
      </c>
      <c r="K202" s="95">
        <f>SUMIFS('Assumption-Best'!$F$3:$F$32,'Assumption-Best'!$A$3:$A$32,$B202,'Assumption-Best'!$B$3:$B$32,$C202)</f>
        <v>8.0000000000000007E-5</v>
      </c>
      <c r="L202" s="14">
        <f t="shared" si="24"/>
        <v>1251.7224636800001</v>
      </c>
      <c r="M202" s="94">
        <f t="shared" si="25"/>
        <v>53667.600630280001</v>
      </c>
      <c r="N202" s="92">
        <f>SUMIFS('Assumption-Best'!$G$3:$G$32,'Assumption-Best'!$A$3:$A$32,$B202,'Assumption-Best'!$B$3:$B$32,$C202)</f>
        <v>0.35</v>
      </c>
      <c r="O202" s="14">
        <f t="shared" si="26"/>
        <v>24643.286003699999</v>
      </c>
      <c r="P202" s="94">
        <f t="shared" si="27"/>
        <v>29024.314626580002</v>
      </c>
    </row>
    <row r="203" spans="1:16" x14ac:dyDescent="0.35">
      <c r="A203" s="91" t="str">
        <f>LEFT('2025 actual v budget'!A203,4)&amp;"26"</f>
        <v>Jul-26</v>
      </c>
      <c r="B203" s="12" t="str">
        <f>'2025 actual v budget'!B203</f>
        <v>Singapore</v>
      </c>
      <c r="C203" s="12" t="str">
        <f>'2025 actual v budget'!C203</f>
        <v>Cross-border Payouts</v>
      </c>
      <c r="D203" s="14">
        <f>'2025 actual v budget'!D203</f>
        <v>10079076.75</v>
      </c>
      <c r="E203" s="92">
        <f>SUMIFS('Assumption-Best'!$C$3:$C$32,'Assumption-Best'!$A$3:$A$32,$B203,'Assumption-Best'!$B$3:$B$32,$C203)</f>
        <v>0.1</v>
      </c>
      <c r="F203" s="14">
        <f t="shared" si="21"/>
        <v>11086984.425000001</v>
      </c>
      <c r="G203" s="93">
        <f>SUMIFS('Assumption-Best'!$D$3:$D$32,'Assumption-Best'!$A$3:$A$32,$B203,'Assumption-Best'!$B$3:$B$32,$C203)</f>
        <v>7.4999999999999997E-3</v>
      </c>
      <c r="H203" s="94">
        <f t="shared" si="22"/>
        <v>83152.383187500003</v>
      </c>
      <c r="I203" s="92">
        <f>SUMIFS('Assumption-Best'!$E$3:$E$32,'Assumption-Best'!$A$3:$A$32,$B203,'Assumption-Best'!$B$3:$B$32,$C203)</f>
        <v>0.35</v>
      </c>
      <c r="J203" s="14">
        <f t="shared" si="23"/>
        <v>29103.334115624999</v>
      </c>
      <c r="K203" s="95">
        <f>SUMIFS('Assumption-Best'!$F$3:$F$32,'Assumption-Best'!$A$3:$A$32,$B203,'Assumption-Best'!$B$3:$B$32,$C203)</f>
        <v>9.0000000000000006E-5</v>
      </c>
      <c r="L203" s="14">
        <f t="shared" si="24"/>
        <v>997.82859825000014</v>
      </c>
      <c r="M203" s="94">
        <f t="shared" si="25"/>
        <v>53051.220473625006</v>
      </c>
      <c r="N203" s="92">
        <f>SUMIFS('Assumption-Best'!$G$3:$G$32,'Assumption-Best'!$A$3:$A$32,$B203,'Assumption-Best'!$B$3:$B$32,$C203)</f>
        <v>0.35</v>
      </c>
      <c r="O203" s="14">
        <f t="shared" si="26"/>
        <v>29103.334115624999</v>
      </c>
      <c r="P203" s="94">
        <f t="shared" si="27"/>
        <v>23947.886358000007</v>
      </c>
    </row>
    <row r="204" spans="1:16" x14ac:dyDescent="0.35">
      <c r="A204" s="91" t="str">
        <f>LEFT('2025 actual v budget'!A204,4)&amp;"26"</f>
        <v>Jul-26</v>
      </c>
      <c r="B204" s="12" t="str">
        <f>'2025 actual v budget'!B204</f>
        <v>Singapore</v>
      </c>
      <c r="C204" s="12" t="str">
        <f>'2025 actual v budget'!C204</f>
        <v>FX Conversion</v>
      </c>
      <c r="D204" s="14">
        <f>'2025 actual v budget'!D204</f>
        <v>15484177.57</v>
      </c>
      <c r="E204" s="92">
        <f>SUMIFS('Assumption-Best'!$C$3:$C$32,'Assumption-Best'!$A$3:$A$32,$B204,'Assumption-Best'!$B$3:$B$32,$C204)</f>
        <v>0.1</v>
      </c>
      <c r="F204" s="14">
        <f t="shared" si="21"/>
        <v>17032595.327000003</v>
      </c>
      <c r="G204" s="93">
        <f>SUMIFS('Assumption-Best'!$D$3:$D$32,'Assumption-Best'!$A$3:$A$32,$B204,'Assumption-Best'!$B$3:$B$32,$C204)</f>
        <v>1.0500000000000001E-2</v>
      </c>
      <c r="H204" s="94">
        <f t="shared" si="22"/>
        <v>178842.25093350004</v>
      </c>
      <c r="I204" s="92">
        <f>SUMIFS('Assumption-Best'!$E$3:$E$32,'Assumption-Best'!$A$3:$A$32,$B204,'Assumption-Best'!$B$3:$B$32,$C204)</f>
        <v>0.28000000000000003</v>
      </c>
      <c r="J204" s="14">
        <f t="shared" si="23"/>
        <v>50075.830261380012</v>
      </c>
      <c r="K204" s="95">
        <f>SUMIFS('Assumption-Best'!$F$3:$F$32,'Assumption-Best'!$A$3:$A$32,$B204,'Assumption-Best'!$B$3:$B$32,$C204)</f>
        <v>9.0000000000000006E-5</v>
      </c>
      <c r="L204" s="14">
        <f t="shared" si="24"/>
        <v>1532.9335794300005</v>
      </c>
      <c r="M204" s="94">
        <f t="shared" si="25"/>
        <v>127233.48709269003</v>
      </c>
      <c r="N204" s="92">
        <f>SUMIFS('Assumption-Best'!$G$3:$G$32,'Assumption-Best'!$A$3:$A$32,$B204,'Assumption-Best'!$B$3:$B$32,$C204)</f>
        <v>0.35</v>
      </c>
      <c r="O204" s="14">
        <f t="shared" si="26"/>
        <v>62594.787826725005</v>
      </c>
      <c r="P204" s="94">
        <f t="shared" si="27"/>
        <v>64638.699265965028</v>
      </c>
    </row>
    <row r="205" spans="1:16" x14ac:dyDescent="0.35">
      <c r="A205" s="91" t="str">
        <f>LEFT('2025 actual v budget'!A205,4)&amp;"26"</f>
        <v>Jul-26</v>
      </c>
      <c r="B205" s="12" t="str">
        <f>'2025 actual v budget'!B205</f>
        <v>Singapore</v>
      </c>
      <c r="C205" s="12" t="str">
        <f>'2025 actual v budget'!C205</f>
        <v>Stablecoin Settlement</v>
      </c>
      <c r="D205" s="14">
        <f>'2025 actual v budget'!D205</f>
        <v>24282143.68</v>
      </c>
      <c r="E205" s="92">
        <f>SUMIFS('Assumption-Best'!$C$3:$C$32,'Assumption-Best'!$A$3:$A$32,$B205,'Assumption-Best'!$B$3:$B$32,$C205)</f>
        <v>0.2</v>
      </c>
      <c r="F205" s="14">
        <f t="shared" si="21"/>
        <v>29138572.415999997</v>
      </c>
      <c r="G205" s="93">
        <f>SUMIFS('Assumption-Best'!$D$3:$D$32,'Assumption-Best'!$A$3:$A$32,$B205,'Assumption-Best'!$B$3:$B$32,$C205)</f>
        <v>6.4999999999999997E-3</v>
      </c>
      <c r="H205" s="94">
        <f t="shared" si="22"/>
        <v>189400.72070399998</v>
      </c>
      <c r="I205" s="92">
        <f>SUMIFS('Assumption-Best'!$E$3:$E$32,'Assumption-Best'!$A$3:$A$32,$B205,'Assumption-Best'!$B$3:$B$32,$C205)</f>
        <v>0.32</v>
      </c>
      <c r="J205" s="14">
        <f t="shared" si="23"/>
        <v>60608.230625279997</v>
      </c>
      <c r="K205" s="95">
        <f>SUMIFS('Assumption-Best'!$F$3:$F$32,'Assumption-Best'!$A$3:$A$32,$B205,'Assumption-Best'!$B$3:$B$32,$C205)</f>
        <v>9.0000000000000006E-5</v>
      </c>
      <c r="L205" s="14">
        <f t="shared" si="24"/>
        <v>2622.4715174399998</v>
      </c>
      <c r="M205" s="94">
        <f t="shared" si="25"/>
        <v>126170.01856127997</v>
      </c>
      <c r="N205" s="92">
        <f>SUMIFS('Assumption-Best'!$G$3:$G$32,'Assumption-Best'!$A$3:$A$32,$B205,'Assumption-Best'!$B$3:$B$32,$C205)</f>
        <v>0.35</v>
      </c>
      <c r="O205" s="14">
        <f t="shared" si="26"/>
        <v>66290.252246399992</v>
      </c>
      <c r="P205" s="94">
        <f t="shared" si="27"/>
        <v>59879.766314879977</v>
      </c>
    </row>
    <row r="206" spans="1:16" x14ac:dyDescent="0.35">
      <c r="A206" s="91" t="str">
        <f>LEFT('2025 actual v budget'!A206,4)&amp;"26"</f>
        <v>Jul-26</v>
      </c>
      <c r="B206" s="12" t="str">
        <f>'2025 actual v budget'!B206</f>
        <v>Singapore</v>
      </c>
      <c r="C206" s="12" t="str">
        <f>'2025 actual v budget'!C206</f>
        <v>Treasury Yield</v>
      </c>
      <c r="D206" s="14">
        <f>'2025 actual v budget'!D206</f>
        <v>6549908.7300000004</v>
      </c>
      <c r="E206" s="92">
        <f>SUMIFS('Assumption-Best'!$C$3:$C$32,'Assumption-Best'!$A$3:$A$32,$B206,'Assumption-Best'!$B$3:$B$32,$C206)</f>
        <v>0.1</v>
      </c>
      <c r="F206" s="14">
        <f t="shared" si="21"/>
        <v>7204899.6030000011</v>
      </c>
      <c r="G206" s="93">
        <f>SUMIFS('Assumption-Best'!$D$3:$D$32,'Assumption-Best'!$A$3:$A$32,$B206,'Assumption-Best'!$B$3:$B$32,$C206)</f>
        <v>3.0000000000000001E-3</v>
      </c>
      <c r="H206" s="94">
        <f t="shared" si="22"/>
        <v>21614.698809000005</v>
      </c>
      <c r="I206" s="92">
        <f>SUMIFS('Assumption-Best'!$E$3:$E$32,'Assumption-Best'!$A$3:$A$32,$B206,'Assumption-Best'!$B$3:$B$32,$C206)</f>
        <v>0.18</v>
      </c>
      <c r="J206" s="14">
        <f t="shared" si="23"/>
        <v>3890.6457856200009</v>
      </c>
      <c r="K206" s="95">
        <f>SUMIFS('Assumption-Best'!$F$3:$F$32,'Assumption-Best'!$A$3:$A$32,$B206,'Assumption-Best'!$B$3:$B$32,$C206)</f>
        <v>9.0000000000000006E-5</v>
      </c>
      <c r="L206" s="14">
        <f t="shared" si="24"/>
        <v>648.44096427000011</v>
      </c>
      <c r="M206" s="94">
        <f t="shared" si="25"/>
        <v>17075.612059110004</v>
      </c>
      <c r="N206" s="92">
        <f>SUMIFS('Assumption-Best'!$G$3:$G$32,'Assumption-Best'!$A$3:$A$32,$B206,'Assumption-Best'!$B$3:$B$32,$C206)</f>
        <v>0.35</v>
      </c>
      <c r="O206" s="14">
        <f t="shared" si="26"/>
        <v>7565.1445831500014</v>
      </c>
      <c r="P206" s="94">
        <f t="shared" si="27"/>
        <v>9510.467475960002</v>
      </c>
    </row>
    <row r="207" spans="1:16" x14ac:dyDescent="0.35">
      <c r="A207" s="91" t="str">
        <f>LEFT('2025 actual v budget'!A207,4)&amp;"26"</f>
        <v>Jul-26</v>
      </c>
      <c r="B207" s="12" t="str">
        <f>'2025 actual v budget'!B207</f>
        <v>Singapore</v>
      </c>
      <c r="C207" s="12" t="str">
        <f>'2025 actual v budget'!C207</f>
        <v>Virtual Accounts</v>
      </c>
      <c r="D207" s="14">
        <f>'2025 actual v budget'!D207</f>
        <v>9646980.5399999991</v>
      </c>
      <c r="E207" s="92">
        <f>SUMIFS('Assumption-Best'!$C$3:$C$32,'Assumption-Best'!$A$3:$A$32,$B207,'Assumption-Best'!$B$3:$B$32,$C207)</f>
        <v>0.1</v>
      </c>
      <c r="F207" s="14">
        <f t="shared" si="21"/>
        <v>10611678.594000001</v>
      </c>
      <c r="G207" s="93">
        <f>SUMIFS('Assumption-Best'!$D$3:$D$32,'Assumption-Best'!$A$3:$A$32,$B207,'Assumption-Best'!$B$3:$B$32,$C207)</f>
        <v>4.4999999999999997E-3</v>
      </c>
      <c r="H207" s="94">
        <f t="shared" si="22"/>
        <v>47752.553673000002</v>
      </c>
      <c r="I207" s="92">
        <f>SUMIFS('Assumption-Best'!$E$3:$E$32,'Assumption-Best'!$A$3:$A$32,$B207,'Assumption-Best'!$B$3:$B$32,$C207)</f>
        <v>0.22</v>
      </c>
      <c r="J207" s="14">
        <f t="shared" si="23"/>
        <v>10505.56180806</v>
      </c>
      <c r="K207" s="95">
        <f>SUMIFS('Assumption-Best'!$F$3:$F$32,'Assumption-Best'!$A$3:$A$32,$B207,'Assumption-Best'!$B$3:$B$32,$C207)</f>
        <v>9.0000000000000006E-5</v>
      </c>
      <c r="L207" s="14">
        <f t="shared" si="24"/>
        <v>955.05107346000011</v>
      </c>
      <c r="M207" s="94">
        <f t="shared" si="25"/>
        <v>36291.940791480003</v>
      </c>
      <c r="N207" s="92">
        <f>SUMIFS('Assumption-Best'!$G$3:$G$32,'Assumption-Best'!$A$3:$A$32,$B207,'Assumption-Best'!$B$3:$B$32,$C207)</f>
        <v>0.35</v>
      </c>
      <c r="O207" s="14">
        <f t="shared" si="26"/>
        <v>16713.393785550001</v>
      </c>
      <c r="P207" s="94">
        <f t="shared" si="27"/>
        <v>19578.547005930002</v>
      </c>
    </row>
    <row r="208" spans="1:16" x14ac:dyDescent="0.35">
      <c r="A208" s="91" t="str">
        <f>LEFT('2025 actual v budget'!A208,4)&amp;"26"</f>
        <v>Jul-26</v>
      </c>
      <c r="B208" s="12" t="str">
        <f>'2025 actual v budget'!B208</f>
        <v>USA</v>
      </c>
      <c r="C208" s="12" t="str">
        <f>'2025 actual v budget'!C208</f>
        <v>Cross-border Payouts</v>
      </c>
      <c r="D208" s="14">
        <f>'2025 actual v budget'!D208</f>
        <v>24489605.98</v>
      </c>
      <c r="E208" s="92">
        <f>SUMIFS('Assumption-Best'!$C$3:$C$32,'Assumption-Best'!$A$3:$A$32,$B208,'Assumption-Best'!$B$3:$B$32,$C208)</f>
        <v>0.2</v>
      </c>
      <c r="F208" s="14">
        <f t="shared" si="21"/>
        <v>29387527.175999999</v>
      </c>
      <c r="G208" s="93">
        <f>SUMIFS('Assumption-Best'!$D$3:$D$32,'Assumption-Best'!$A$3:$A$32,$B208,'Assumption-Best'!$B$3:$B$32,$C208)</f>
        <v>7.4999999999999997E-3</v>
      </c>
      <c r="H208" s="94">
        <f t="shared" si="22"/>
        <v>220406.45382</v>
      </c>
      <c r="I208" s="92">
        <f>SUMIFS('Assumption-Best'!$E$3:$E$32,'Assumption-Best'!$A$3:$A$32,$B208,'Assumption-Best'!$B$3:$B$32,$C208)</f>
        <v>0.35</v>
      </c>
      <c r="J208" s="14">
        <f t="shared" si="23"/>
        <v>77142.258836999987</v>
      </c>
      <c r="K208" s="95">
        <f>SUMIFS('Assumption-Best'!$F$3:$F$32,'Assumption-Best'!$A$3:$A$32,$B208,'Assumption-Best'!$B$3:$B$32,$C208)</f>
        <v>2.0000000000000001E-4</v>
      </c>
      <c r="L208" s="14">
        <f t="shared" si="24"/>
        <v>5877.5054351999997</v>
      </c>
      <c r="M208" s="94">
        <f t="shared" si="25"/>
        <v>137386.68954779999</v>
      </c>
      <c r="N208" s="92">
        <f>SUMIFS('Assumption-Best'!$G$3:$G$32,'Assumption-Best'!$A$3:$A$32,$B208,'Assumption-Best'!$B$3:$B$32,$C208)</f>
        <v>0.35</v>
      </c>
      <c r="O208" s="14">
        <f t="shared" si="26"/>
        <v>77142.258836999987</v>
      </c>
      <c r="P208" s="94">
        <f t="shared" si="27"/>
        <v>60244.430710800007</v>
      </c>
    </row>
    <row r="209" spans="1:16" x14ac:dyDescent="0.35">
      <c r="A209" s="91" t="str">
        <f>LEFT('2025 actual v budget'!A209,4)&amp;"26"</f>
        <v>Jul-26</v>
      </c>
      <c r="B209" s="12" t="str">
        <f>'2025 actual v budget'!B209</f>
        <v>USA</v>
      </c>
      <c r="C209" s="12" t="str">
        <f>'2025 actual v budget'!C209</f>
        <v>FX Conversion</v>
      </c>
      <c r="D209" s="14">
        <f>'2025 actual v budget'!D209</f>
        <v>37617514.770000003</v>
      </c>
      <c r="E209" s="92">
        <f>SUMIFS('Assumption-Best'!$C$3:$C$32,'Assumption-Best'!$A$3:$A$32,$B209,'Assumption-Best'!$B$3:$B$32,$C209)</f>
        <v>0.2</v>
      </c>
      <c r="F209" s="14">
        <f t="shared" si="21"/>
        <v>45141017.723999999</v>
      </c>
      <c r="G209" s="93">
        <f>SUMIFS('Assumption-Best'!$D$3:$D$32,'Assumption-Best'!$A$3:$A$32,$B209,'Assumption-Best'!$B$3:$B$32,$C209)</f>
        <v>1.0500000000000001E-2</v>
      </c>
      <c r="H209" s="94">
        <f t="shared" si="22"/>
        <v>473980.68610200001</v>
      </c>
      <c r="I209" s="92">
        <f>SUMIFS('Assumption-Best'!$E$3:$E$32,'Assumption-Best'!$A$3:$A$32,$B209,'Assumption-Best'!$B$3:$B$32,$C209)</f>
        <v>0.28000000000000003</v>
      </c>
      <c r="J209" s="14">
        <f t="shared" si="23"/>
        <v>132714.59210856003</v>
      </c>
      <c r="K209" s="95">
        <f>SUMIFS('Assumption-Best'!$F$3:$F$32,'Assumption-Best'!$A$3:$A$32,$B209,'Assumption-Best'!$B$3:$B$32,$C209)</f>
        <v>2.0000000000000001E-4</v>
      </c>
      <c r="L209" s="14">
        <f t="shared" si="24"/>
        <v>9028.2035448000006</v>
      </c>
      <c r="M209" s="94">
        <f t="shared" si="25"/>
        <v>332237.89044863998</v>
      </c>
      <c r="N209" s="92">
        <f>SUMIFS('Assumption-Best'!$G$3:$G$32,'Assumption-Best'!$A$3:$A$32,$B209,'Assumption-Best'!$B$3:$B$32,$C209)</f>
        <v>0.35</v>
      </c>
      <c r="O209" s="14">
        <f t="shared" si="26"/>
        <v>165893.24013570001</v>
      </c>
      <c r="P209" s="94">
        <f t="shared" si="27"/>
        <v>166344.65031293998</v>
      </c>
    </row>
    <row r="210" spans="1:16" x14ac:dyDescent="0.35">
      <c r="A210" s="91" t="str">
        <f>LEFT('2025 actual v budget'!A210,4)&amp;"26"</f>
        <v>Jul-26</v>
      </c>
      <c r="B210" s="12" t="str">
        <f>'2025 actual v budget'!B210</f>
        <v>USA</v>
      </c>
      <c r="C210" s="12" t="str">
        <f>'2025 actual v budget'!C210</f>
        <v>Stablecoin Settlement</v>
      </c>
      <c r="D210" s="14">
        <f>'2025 actual v budget'!D210</f>
        <v>58999464.5</v>
      </c>
      <c r="E210" s="92">
        <f>SUMIFS('Assumption-Best'!$C$3:$C$32,'Assumption-Best'!$A$3:$A$32,$B210,'Assumption-Best'!$B$3:$B$32,$C210)</f>
        <v>0.4</v>
      </c>
      <c r="F210" s="14">
        <f t="shared" si="21"/>
        <v>82599250.299999997</v>
      </c>
      <c r="G210" s="93">
        <f>SUMIFS('Assumption-Best'!$D$3:$D$32,'Assumption-Best'!$A$3:$A$32,$B210,'Assumption-Best'!$B$3:$B$32,$C210)</f>
        <v>6.4999999999999997E-3</v>
      </c>
      <c r="H210" s="94">
        <f t="shared" si="22"/>
        <v>536895.12694999995</v>
      </c>
      <c r="I210" s="92">
        <f>SUMIFS('Assumption-Best'!$E$3:$E$32,'Assumption-Best'!$A$3:$A$32,$B210,'Assumption-Best'!$B$3:$B$32,$C210)</f>
        <v>0.32</v>
      </c>
      <c r="J210" s="14">
        <f t="shared" si="23"/>
        <v>171806.44062399998</v>
      </c>
      <c r="K210" s="95">
        <f>SUMIFS('Assumption-Best'!$F$3:$F$32,'Assumption-Best'!$A$3:$A$32,$B210,'Assumption-Best'!$B$3:$B$32,$C210)</f>
        <v>2.0000000000000001E-4</v>
      </c>
      <c r="L210" s="14">
        <f t="shared" si="24"/>
        <v>16519.850060000001</v>
      </c>
      <c r="M210" s="94">
        <f t="shared" si="25"/>
        <v>348568.83626599994</v>
      </c>
      <c r="N210" s="92">
        <f>SUMIFS('Assumption-Best'!$G$3:$G$32,'Assumption-Best'!$A$3:$A$32,$B210,'Assumption-Best'!$B$3:$B$32,$C210)</f>
        <v>0.35</v>
      </c>
      <c r="O210" s="14">
        <f t="shared" si="26"/>
        <v>187913.29443249997</v>
      </c>
      <c r="P210" s="94">
        <f t="shared" si="27"/>
        <v>160655.54183349997</v>
      </c>
    </row>
    <row r="211" spans="1:16" x14ac:dyDescent="0.35">
      <c r="A211" s="91" t="str">
        <f>LEFT('2025 actual v budget'!A211,4)&amp;"26"</f>
        <v>Jul-26</v>
      </c>
      <c r="B211" s="12" t="str">
        <f>'2025 actual v budget'!B211</f>
        <v>USA</v>
      </c>
      <c r="C211" s="12" t="str">
        <f>'2025 actual v budget'!C211</f>
        <v>Treasury Yield</v>
      </c>
      <c r="D211" s="14">
        <f>'2025 actual v budget'!D211</f>
        <v>15912455.630000001</v>
      </c>
      <c r="E211" s="92">
        <f>SUMIFS('Assumption-Best'!$C$3:$C$32,'Assumption-Best'!$A$3:$A$32,$B211,'Assumption-Best'!$B$3:$B$32,$C211)</f>
        <v>0.2</v>
      </c>
      <c r="F211" s="14">
        <f t="shared" si="21"/>
        <v>19094946.756000001</v>
      </c>
      <c r="G211" s="93">
        <f>SUMIFS('Assumption-Best'!$D$3:$D$32,'Assumption-Best'!$A$3:$A$32,$B211,'Assumption-Best'!$B$3:$B$32,$C211)</f>
        <v>3.0000000000000001E-3</v>
      </c>
      <c r="H211" s="94">
        <f t="shared" si="22"/>
        <v>57284.840268000007</v>
      </c>
      <c r="I211" s="92">
        <f>SUMIFS('Assumption-Best'!$E$3:$E$32,'Assumption-Best'!$A$3:$A$32,$B211,'Assumption-Best'!$B$3:$B$32,$C211)</f>
        <v>0.18</v>
      </c>
      <c r="J211" s="14">
        <f t="shared" si="23"/>
        <v>10311.27124824</v>
      </c>
      <c r="K211" s="95">
        <f>SUMIFS('Assumption-Best'!$F$3:$F$32,'Assumption-Best'!$A$3:$A$32,$B211,'Assumption-Best'!$B$3:$B$32,$C211)</f>
        <v>2.0000000000000001E-4</v>
      </c>
      <c r="L211" s="14">
        <f t="shared" si="24"/>
        <v>3818.9893512000003</v>
      </c>
      <c r="M211" s="94">
        <f t="shared" si="25"/>
        <v>43154.579668560007</v>
      </c>
      <c r="N211" s="92">
        <f>SUMIFS('Assumption-Best'!$G$3:$G$32,'Assumption-Best'!$A$3:$A$32,$B211,'Assumption-Best'!$B$3:$B$32,$C211)</f>
        <v>0.35</v>
      </c>
      <c r="O211" s="14">
        <f t="shared" si="26"/>
        <v>20049.694093800001</v>
      </c>
      <c r="P211" s="94">
        <f t="shared" si="27"/>
        <v>23104.885574760006</v>
      </c>
    </row>
    <row r="212" spans="1:16" x14ac:dyDescent="0.35">
      <c r="A212" s="91" t="str">
        <f>LEFT('2025 actual v budget'!A212,4)&amp;"26"</f>
        <v>Jul-26</v>
      </c>
      <c r="B212" s="12" t="str">
        <f>'2025 actual v budget'!B212</f>
        <v>USA</v>
      </c>
      <c r="C212" s="12" t="str">
        <f>'2025 actual v budget'!C212</f>
        <v>Virtual Accounts</v>
      </c>
      <c r="D212" s="14">
        <f>'2025 actual v budget'!D212</f>
        <v>23436532.629999999</v>
      </c>
      <c r="E212" s="92">
        <f>SUMIFS('Assumption-Best'!$C$3:$C$32,'Assumption-Best'!$A$3:$A$32,$B212,'Assumption-Best'!$B$3:$B$32,$C212)</f>
        <v>0.2</v>
      </c>
      <c r="F212" s="14">
        <f t="shared" si="21"/>
        <v>28123839.155999999</v>
      </c>
      <c r="G212" s="93">
        <f>SUMIFS('Assumption-Best'!$D$3:$D$32,'Assumption-Best'!$A$3:$A$32,$B212,'Assumption-Best'!$B$3:$B$32,$C212)</f>
        <v>4.4999999999999997E-3</v>
      </c>
      <c r="H212" s="94">
        <f t="shared" si="22"/>
        <v>126557.27620199999</v>
      </c>
      <c r="I212" s="92">
        <f>SUMIFS('Assumption-Best'!$E$3:$E$32,'Assumption-Best'!$A$3:$A$32,$B212,'Assumption-Best'!$B$3:$B$32,$C212)</f>
        <v>0.22</v>
      </c>
      <c r="J212" s="14">
        <f t="shared" si="23"/>
        <v>27842.600764439998</v>
      </c>
      <c r="K212" s="95">
        <f>SUMIFS('Assumption-Best'!$F$3:$F$32,'Assumption-Best'!$A$3:$A$32,$B212,'Assumption-Best'!$B$3:$B$32,$C212)</f>
        <v>2.0000000000000001E-4</v>
      </c>
      <c r="L212" s="14">
        <f t="shared" si="24"/>
        <v>5624.7678311999998</v>
      </c>
      <c r="M212" s="94">
        <f t="shared" si="25"/>
        <v>93089.907606359993</v>
      </c>
      <c r="N212" s="92">
        <f>SUMIFS('Assumption-Best'!$G$3:$G$32,'Assumption-Best'!$A$3:$A$32,$B212,'Assumption-Best'!$B$3:$B$32,$C212)</f>
        <v>0.35</v>
      </c>
      <c r="O212" s="14">
        <f t="shared" si="26"/>
        <v>44295.046670699994</v>
      </c>
      <c r="P212" s="94">
        <f t="shared" si="27"/>
        <v>48794.860935659999</v>
      </c>
    </row>
    <row r="213" spans="1:16" x14ac:dyDescent="0.35">
      <c r="A213" s="96" t="str">
        <f>LEFT('2025 actual v budget'!A213,4)&amp;"26"</f>
        <v>Aug-26</v>
      </c>
      <c r="B213" s="17" t="str">
        <f>'2025 actual v budget'!B213</f>
        <v>Brazil</v>
      </c>
      <c r="C213" s="17" t="str">
        <f>'2025 actual v budget'!C213</f>
        <v>Cross-border Payouts</v>
      </c>
      <c r="D213" s="19">
        <f>'2025 actual v budget'!D213</f>
        <v>16628959.75</v>
      </c>
      <c r="E213" s="97">
        <f>SUMIFS('Assumption-Best'!$C$3:$C$32,'Assumption-Best'!$A$3:$A$32,$B213,'Assumption-Best'!$B$3:$B$32,$C213)</f>
        <v>0.4</v>
      </c>
      <c r="F213" s="19">
        <f t="shared" si="21"/>
        <v>23280543.649999999</v>
      </c>
      <c r="G213" s="98">
        <f>SUMIFS('Assumption-Best'!$D$3:$D$32,'Assumption-Best'!$A$3:$A$32,$B213,'Assumption-Best'!$B$3:$B$32,$C213)</f>
        <v>7.4999999999999997E-3</v>
      </c>
      <c r="H213" s="99">
        <f t="shared" si="22"/>
        <v>174604.07737499999</v>
      </c>
      <c r="I213" s="97">
        <f>SUMIFS('Assumption-Best'!$E$3:$E$32,'Assumption-Best'!$A$3:$A$32,$B213,'Assumption-Best'!$B$3:$B$32,$C213)</f>
        <v>0.35</v>
      </c>
      <c r="J213" s="19">
        <f t="shared" si="23"/>
        <v>61111.427081249996</v>
      </c>
      <c r="K213" s="100">
        <f>SUMIFS('Assumption-Best'!$F$3:$F$32,'Assumption-Best'!$A$3:$A$32,$B213,'Assumption-Best'!$B$3:$B$32,$C213)</f>
        <v>6.9999999999999994E-5</v>
      </c>
      <c r="L213" s="19">
        <f t="shared" si="24"/>
        <v>1629.6380554999998</v>
      </c>
      <c r="M213" s="99">
        <f t="shared" si="25"/>
        <v>111863.01223824998</v>
      </c>
      <c r="N213" s="97">
        <f>SUMIFS('Assumption-Best'!$G$3:$G$32,'Assumption-Best'!$A$3:$A$32,$B213,'Assumption-Best'!$B$3:$B$32,$C213)</f>
        <v>0.35</v>
      </c>
      <c r="O213" s="19">
        <f t="shared" si="26"/>
        <v>61111.427081249996</v>
      </c>
      <c r="P213" s="99">
        <f t="shared" si="27"/>
        <v>50751.585156999987</v>
      </c>
    </row>
    <row r="214" spans="1:16" x14ac:dyDescent="0.35">
      <c r="A214" s="96" t="str">
        <f>LEFT('2025 actual v budget'!A214,4)&amp;"26"</f>
        <v>Aug-26</v>
      </c>
      <c r="B214" s="17" t="str">
        <f>'2025 actual v budget'!B214</f>
        <v>Brazil</v>
      </c>
      <c r="C214" s="17" t="str">
        <f>'2025 actual v budget'!C214</f>
        <v>FX Conversion</v>
      </c>
      <c r="D214" s="19">
        <f>'2025 actual v budget'!D214</f>
        <v>25722226.34</v>
      </c>
      <c r="E214" s="97">
        <f>SUMIFS('Assumption-Best'!$C$3:$C$32,'Assumption-Best'!$A$3:$A$32,$B214,'Assumption-Best'!$B$3:$B$32,$C214)</f>
        <v>0.4</v>
      </c>
      <c r="F214" s="19">
        <f t="shared" si="21"/>
        <v>36011116.875999995</v>
      </c>
      <c r="G214" s="98">
        <f>SUMIFS('Assumption-Best'!$D$3:$D$32,'Assumption-Best'!$A$3:$A$32,$B214,'Assumption-Best'!$B$3:$B$32,$C214)</f>
        <v>1.0500000000000001E-2</v>
      </c>
      <c r="H214" s="99">
        <f t="shared" si="22"/>
        <v>378116.72719799995</v>
      </c>
      <c r="I214" s="97">
        <f>SUMIFS('Assumption-Best'!$E$3:$E$32,'Assumption-Best'!$A$3:$A$32,$B214,'Assumption-Best'!$B$3:$B$32,$C214)</f>
        <v>0.28000000000000003</v>
      </c>
      <c r="J214" s="19">
        <f t="shared" si="23"/>
        <v>105872.68361543999</v>
      </c>
      <c r="K214" s="100">
        <f>SUMIFS('Assumption-Best'!$F$3:$F$32,'Assumption-Best'!$A$3:$A$32,$B214,'Assumption-Best'!$B$3:$B$32,$C214)</f>
        <v>6.9999999999999994E-5</v>
      </c>
      <c r="L214" s="19">
        <f t="shared" si="24"/>
        <v>2520.7781813199995</v>
      </c>
      <c r="M214" s="99">
        <f t="shared" si="25"/>
        <v>269723.26540123997</v>
      </c>
      <c r="N214" s="97">
        <f>SUMIFS('Assumption-Best'!$G$3:$G$32,'Assumption-Best'!$A$3:$A$32,$B214,'Assumption-Best'!$B$3:$B$32,$C214)</f>
        <v>0.35</v>
      </c>
      <c r="O214" s="19">
        <f t="shared" si="26"/>
        <v>132340.85451929999</v>
      </c>
      <c r="P214" s="99">
        <f t="shared" si="27"/>
        <v>137382.41088193998</v>
      </c>
    </row>
    <row r="215" spans="1:16" x14ac:dyDescent="0.35">
      <c r="A215" s="96" t="str">
        <f>LEFT('2025 actual v budget'!A215,4)&amp;"26"</f>
        <v>Aug-26</v>
      </c>
      <c r="B215" s="17" t="str">
        <f>'2025 actual v budget'!B215</f>
        <v>Brazil</v>
      </c>
      <c r="C215" s="17" t="str">
        <f>'2025 actual v budget'!C215</f>
        <v>Stablecoin Settlement</v>
      </c>
      <c r="D215" s="19">
        <f>'2025 actual v budget'!D215</f>
        <v>39372636.869999997</v>
      </c>
      <c r="E215" s="97">
        <f>SUMIFS('Assumption-Best'!$C$3:$C$32,'Assumption-Best'!$A$3:$A$32,$B215,'Assumption-Best'!$B$3:$B$32,$C215)</f>
        <v>0.8</v>
      </c>
      <c r="F215" s="19">
        <f t="shared" si="21"/>
        <v>70870746.365999997</v>
      </c>
      <c r="G215" s="98">
        <f>SUMIFS('Assumption-Best'!$D$3:$D$32,'Assumption-Best'!$A$3:$A$32,$B215,'Assumption-Best'!$B$3:$B$32,$C215)</f>
        <v>6.4999999999999997E-3</v>
      </c>
      <c r="H215" s="99">
        <f t="shared" si="22"/>
        <v>460659.85137899994</v>
      </c>
      <c r="I215" s="97">
        <f>SUMIFS('Assumption-Best'!$E$3:$E$32,'Assumption-Best'!$A$3:$A$32,$B215,'Assumption-Best'!$B$3:$B$32,$C215)</f>
        <v>0.32</v>
      </c>
      <c r="J215" s="19">
        <f t="shared" si="23"/>
        <v>147411.15244127999</v>
      </c>
      <c r="K215" s="100">
        <f>SUMIFS('Assumption-Best'!$F$3:$F$32,'Assumption-Best'!$A$3:$A$32,$B215,'Assumption-Best'!$B$3:$B$32,$C215)</f>
        <v>6.9999999999999994E-5</v>
      </c>
      <c r="L215" s="19">
        <f t="shared" si="24"/>
        <v>4960.9522456199993</v>
      </c>
      <c r="M215" s="99">
        <f t="shared" si="25"/>
        <v>308287.7466920999</v>
      </c>
      <c r="N215" s="97">
        <f>SUMIFS('Assumption-Best'!$G$3:$G$32,'Assumption-Best'!$A$3:$A$32,$B215,'Assumption-Best'!$B$3:$B$32,$C215)</f>
        <v>0.35</v>
      </c>
      <c r="O215" s="19">
        <f t="shared" si="26"/>
        <v>161230.94798264996</v>
      </c>
      <c r="P215" s="99">
        <f t="shared" si="27"/>
        <v>147056.79870944994</v>
      </c>
    </row>
    <row r="216" spans="1:16" x14ac:dyDescent="0.35">
      <c r="A216" s="96" t="str">
        <f>LEFT('2025 actual v budget'!A216,4)&amp;"26"</f>
        <v>Aug-26</v>
      </c>
      <c r="B216" s="17" t="str">
        <f>'2025 actual v budget'!B216</f>
        <v>Brazil</v>
      </c>
      <c r="C216" s="17" t="str">
        <f>'2025 actual v budget'!C216</f>
        <v>Treasury Yield</v>
      </c>
      <c r="D216" s="19">
        <f>'2025 actual v budget'!D216</f>
        <v>10701534.720000001</v>
      </c>
      <c r="E216" s="97">
        <f>SUMIFS('Assumption-Best'!$C$3:$C$32,'Assumption-Best'!$A$3:$A$32,$B216,'Assumption-Best'!$B$3:$B$32,$C216)</f>
        <v>0.4</v>
      </c>
      <c r="F216" s="19">
        <f t="shared" si="21"/>
        <v>14982148.607999999</v>
      </c>
      <c r="G216" s="98">
        <f>SUMIFS('Assumption-Best'!$D$3:$D$32,'Assumption-Best'!$A$3:$A$32,$B216,'Assumption-Best'!$B$3:$B$32,$C216)</f>
        <v>3.0000000000000001E-3</v>
      </c>
      <c r="H216" s="99">
        <f t="shared" si="22"/>
        <v>44946.445823999995</v>
      </c>
      <c r="I216" s="97">
        <f>SUMIFS('Assumption-Best'!$E$3:$E$32,'Assumption-Best'!$A$3:$A$32,$B216,'Assumption-Best'!$B$3:$B$32,$C216)</f>
        <v>0.18</v>
      </c>
      <c r="J216" s="19">
        <f t="shared" si="23"/>
        <v>8090.3602483199984</v>
      </c>
      <c r="K216" s="100">
        <f>SUMIFS('Assumption-Best'!$F$3:$F$32,'Assumption-Best'!$A$3:$A$32,$B216,'Assumption-Best'!$B$3:$B$32,$C216)</f>
        <v>6.9999999999999994E-5</v>
      </c>
      <c r="L216" s="19">
        <f t="shared" si="24"/>
        <v>1048.7504025599999</v>
      </c>
      <c r="M216" s="99">
        <f t="shared" si="25"/>
        <v>35807.335173119995</v>
      </c>
      <c r="N216" s="97">
        <f>SUMIFS('Assumption-Best'!$G$3:$G$32,'Assumption-Best'!$A$3:$A$32,$B216,'Assumption-Best'!$B$3:$B$32,$C216)</f>
        <v>0.35</v>
      </c>
      <c r="O216" s="19">
        <f t="shared" si="26"/>
        <v>15731.256038399997</v>
      </c>
      <c r="P216" s="99">
        <f t="shared" si="27"/>
        <v>20076.079134719999</v>
      </c>
    </row>
    <row r="217" spans="1:16" x14ac:dyDescent="0.35">
      <c r="A217" s="96" t="str">
        <f>LEFT('2025 actual v budget'!A217,4)&amp;"26"</f>
        <v>Aug-26</v>
      </c>
      <c r="B217" s="17" t="str">
        <f>'2025 actual v budget'!B217</f>
        <v>Brazil</v>
      </c>
      <c r="C217" s="17" t="str">
        <f>'2025 actual v budget'!C217</f>
        <v>Virtual Accounts</v>
      </c>
      <c r="D217" s="19">
        <f>'2025 actual v budget'!D217</f>
        <v>15520913.17</v>
      </c>
      <c r="E217" s="97">
        <f>SUMIFS('Assumption-Best'!$C$3:$C$32,'Assumption-Best'!$A$3:$A$32,$B217,'Assumption-Best'!$B$3:$B$32,$C217)</f>
        <v>0.4</v>
      </c>
      <c r="F217" s="19">
        <f t="shared" si="21"/>
        <v>21729278.437999997</v>
      </c>
      <c r="G217" s="98">
        <f>SUMIFS('Assumption-Best'!$D$3:$D$32,'Assumption-Best'!$A$3:$A$32,$B217,'Assumption-Best'!$B$3:$B$32,$C217)</f>
        <v>4.4999999999999997E-3</v>
      </c>
      <c r="H217" s="99">
        <f t="shared" si="22"/>
        <v>97781.75297099998</v>
      </c>
      <c r="I217" s="97">
        <f>SUMIFS('Assumption-Best'!$E$3:$E$32,'Assumption-Best'!$A$3:$A$32,$B217,'Assumption-Best'!$B$3:$B$32,$C217)</f>
        <v>0.22</v>
      </c>
      <c r="J217" s="19">
        <f t="shared" si="23"/>
        <v>21511.985653619995</v>
      </c>
      <c r="K217" s="100">
        <f>SUMIFS('Assumption-Best'!$F$3:$F$32,'Assumption-Best'!$A$3:$A$32,$B217,'Assumption-Best'!$B$3:$B$32,$C217)</f>
        <v>6.9999999999999994E-5</v>
      </c>
      <c r="L217" s="19">
        <f t="shared" si="24"/>
        <v>1521.0494906599997</v>
      </c>
      <c r="M217" s="99">
        <f t="shared" si="25"/>
        <v>74748.717826719978</v>
      </c>
      <c r="N217" s="97">
        <f>SUMIFS('Assumption-Best'!$G$3:$G$32,'Assumption-Best'!$A$3:$A$32,$B217,'Assumption-Best'!$B$3:$B$32,$C217)</f>
        <v>0.35</v>
      </c>
      <c r="O217" s="19">
        <f t="shared" si="26"/>
        <v>34223.61353984999</v>
      </c>
      <c r="P217" s="99">
        <f t="shared" si="27"/>
        <v>40525.104286869988</v>
      </c>
    </row>
    <row r="218" spans="1:16" x14ac:dyDescent="0.35">
      <c r="A218" s="96" t="str">
        <f>LEFT('2025 actual v budget'!A218,4)&amp;"26"</f>
        <v>Aug-26</v>
      </c>
      <c r="B218" s="17" t="str">
        <f>'2025 actual v budget'!B218</f>
        <v>Germany</v>
      </c>
      <c r="C218" s="17" t="str">
        <f>'2025 actual v budget'!C218</f>
        <v>Cross-border Payouts</v>
      </c>
      <c r="D218" s="19">
        <f>'2025 actual v budget'!D218</f>
        <v>7905282.9199999999</v>
      </c>
      <c r="E218" s="97">
        <f>SUMIFS('Assumption-Best'!$C$3:$C$32,'Assumption-Best'!$A$3:$A$32,$B218,'Assumption-Best'!$B$3:$B$32,$C218)</f>
        <v>0.12</v>
      </c>
      <c r="F218" s="19">
        <f t="shared" si="21"/>
        <v>8853916.8704000004</v>
      </c>
      <c r="G218" s="98">
        <f>SUMIFS('Assumption-Best'!$D$3:$D$32,'Assumption-Best'!$A$3:$A$32,$B218,'Assumption-Best'!$B$3:$B$32,$C218)</f>
        <v>7.4999999999999997E-3</v>
      </c>
      <c r="H218" s="99">
        <f t="shared" si="22"/>
        <v>66404.376527999993</v>
      </c>
      <c r="I218" s="97">
        <f>SUMIFS('Assumption-Best'!$E$3:$E$32,'Assumption-Best'!$A$3:$A$32,$B218,'Assumption-Best'!$B$3:$B$32,$C218)</f>
        <v>0.35</v>
      </c>
      <c r="J218" s="19">
        <f t="shared" si="23"/>
        <v>23241.531784799998</v>
      </c>
      <c r="K218" s="100">
        <f>SUMIFS('Assumption-Best'!$F$3:$F$32,'Assumption-Best'!$A$3:$A$32,$B218,'Assumption-Best'!$B$3:$B$32,$C218)</f>
        <v>1.4999999999999999E-4</v>
      </c>
      <c r="L218" s="19">
        <f t="shared" si="24"/>
        <v>1328.08753056</v>
      </c>
      <c r="M218" s="99">
        <f t="shared" si="25"/>
        <v>41834.757212639997</v>
      </c>
      <c r="N218" s="97">
        <f>SUMIFS('Assumption-Best'!$G$3:$G$32,'Assumption-Best'!$A$3:$A$32,$B218,'Assumption-Best'!$B$3:$B$32,$C218)</f>
        <v>0.35</v>
      </c>
      <c r="O218" s="19">
        <f t="shared" si="26"/>
        <v>23241.531784799998</v>
      </c>
      <c r="P218" s="99">
        <f t="shared" si="27"/>
        <v>18593.22542784</v>
      </c>
    </row>
    <row r="219" spans="1:16" x14ac:dyDescent="0.35">
      <c r="A219" s="96" t="str">
        <f>LEFT('2025 actual v budget'!A219,4)&amp;"26"</f>
        <v>Aug-26</v>
      </c>
      <c r="B219" s="17" t="str">
        <f>'2025 actual v budget'!B219</f>
        <v>Germany</v>
      </c>
      <c r="C219" s="17" t="str">
        <f>'2025 actual v budget'!C219</f>
        <v>FX Conversion</v>
      </c>
      <c r="D219" s="19">
        <f>'2025 actual v budget'!D219</f>
        <v>12220428.380000001</v>
      </c>
      <c r="E219" s="97">
        <f>SUMIFS('Assumption-Best'!$C$3:$C$32,'Assumption-Best'!$A$3:$A$32,$B219,'Assumption-Best'!$B$3:$B$32,$C219)</f>
        <v>0.12</v>
      </c>
      <c r="F219" s="19">
        <f t="shared" si="21"/>
        <v>13686879.785600003</v>
      </c>
      <c r="G219" s="98">
        <f>SUMIFS('Assumption-Best'!$D$3:$D$32,'Assumption-Best'!$A$3:$A$32,$B219,'Assumption-Best'!$B$3:$B$32,$C219)</f>
        <v>1.0500000000000001E-2</v>
      </c>
      <c r="H219" s="99">
        <f t="shared" si="22"/>
        <v>143712.23774880005</v>
      </c>
      <c r="I219" s="97">
        <f>SUMIFS('Assumption-Best'!$E$3:$E$32,'Assumption-Best'!$A$3:$A$32,$B219,'Assumption-Best'!$B$3:$B$32,$C219)</f>
        <v>0.28000000000000003</v>
      </c>
      <c r="J219" s="19">
        <f t="shared" si="23"/>
        <v>40239.426569664014</v>
      </c>
      <c r="K219" s="100">
        <f>SUMIFS('Assumption-Best'!$F$3:$F$32,'Assumption-Best'!$A$3:$A$32,$B219,'Assumption-Best'!$B$3:$B$32,$C219)</f>
        <v>1.4999999999999999E-4</v>
      </c>
      <c r="L219" s="19">
        <f t="shared" si="24"/>
        <v>2053.0319678400001</v>
      </c>
      <c r="M219" s="99">
        <f t="shared" si="25"/>
        <v>101419.77921129605</v>
      </c>
      <c r="N219" s="97">
        <f>SUMIFS('Assumption-Best'!$G$3:$G$32,'Assumption-Best'!$A$3:$A$32,$B219,'Assumption-Best'!$B$3:$B$32,$C219)</f>
        <v>0.35</v>
      </c>
      <c r="O219" s="19">
        <f t="shared" si="26"/>
        <v>50299.283212080016</v>
      </c>
      <c r="P219" s="99">
        <f t="shared" si="27"/>
        <v>51120.495999216029</v>
      </c>
    </row>
    <row r="220" spans="1:16" x14ac:dyDescent="0.35">
      <c r="A220" s="96" t="str">
        <f>LEFT('2025 actual v budget'!A220,4)&amp;"26"</f>
        <v>Aug-26</v>
      </c>
      <c r="B220" s="17" t="str">
        <f>'2025 actual v budget'!B220</f>
        <v>Germany</v>
      </c>
      <c r="C220" s="17" t="str">
        <f>'2025 actual v budget'!C220</f>
        <v>Stablecoin Settlement</v>
      </c>
      <c r="D220" s="19">
        <f>'2025 actual v budget'!D220</f>
        <v>18717456.68</v>
      </c>
      <c r="E220" s="97">
        <f>SUMIFS('Assumption-Best'!$C$3:$C$32,'Assumption-Best'!$A$3:$A$32,$B220,'Assumption-Best'!$B$3:$B$32,$C220)</f>
        <v>0.24</v>
      </c>
      <c r="F220" s="19">
        <f t="shared" si="21"/>
        <v>23209646.283199999</v>
      </c>
      <c r="G220" s="98">
        <f>SUMIFS('Assumption-Best'!$D$3:$D$32,'Assumption-Best'!$A$3:$A$32,$B220,'Assumption-Best'!$B$3:$B$32,$C220)</f>
        <v>6.4999999999999997E-3</v>
      </c>
      <c r="H220" s="99">
        <f t="shared" si="22"/>
        <v>150862.70084079998</v>
      </c>
      <c r="I220" s="97">
        <f>SUMIFS('Assumption-Best'!$E$3:$E$32,'Assumption-Best'!$A$3:$A$32,$B220,'Assumption-Best'!$B$3:$B$32,$C220)</f>
        <v>0.32</v>
      </c>
      <c r="J220" s="19">
        <f t="shared" si="23"/>
        <v>48276.064269055998</v>
      </c>
      <c r="K220" s="100">
        <f>SUMIFS('Assumption-Best'!$F$3:$F$32,'Assumption-Best'!$A$3:$A$32,$B220,'Assumption-Best'!$B$3:$B$32,$C220)</f>
        <v>1.4999999999999999E-4</v>
      </c>
      <c r="L220" s="19">
        <f t="shared" si="24"/>
        <v>3481.4469424799995</v>
      </c>
      <c r="M220" s="99">
        <f t="shared" si="25"/>
        <v>99105.189629263987</v>
      </c>
      <c r="N220" s="97">
        <f>SUMIFS('Assumption-Best'!$G$3:$G$32,'Assumption-Best'!$A$3:$A$32,$B220,'Assumption-Best'!$B$3:$B$32,$C220)</f>
        <v>0.35</v>
      </c>
      <c r="O220" s="19">
        <f t="shared" si="26"/>
        <v>52801.945294279991</v>
      </c>
      <c r="P220" s="99">
        <f t="shared" si="27"/>
        <v>46303.244334983996</v>
      </c>
    </row>
    <row r="221" spans="1:16" x14ac:dyDescent="0.35">
      <c r="A221" s="96" t="str">
        <f>LEFT('2025 actual v budget'!A221,4)&amp;"26"</f>
        <v>Aug-26</v>
      </c>
      <c r="B221" s="17" t="str">
        <f>'2025 actual v budget'!B221</f>
        <v>Germany</v>
      </c>
      <c r="C221" s="17" t="str">
        <f>'2025 actual v budget'!C221</f>
        <v>Treasury Yield</v>
      </c>
      <c r="D221" s="19">
        <f>'2025 actual v budget'!D221</f>
        <v>5084215.37</v>
      </c>
      <c r="E221" s="97">
        <f>SUMIFS('Assumption-Best'!$C$3:$C$32,'Assumption-Best'!$A$3:$A$32,$B221,'Assumption-Best'!$B$3:$B$32,$C221)</f>
        <v>0.12</v>
      </c>
      <c r="F221" s="19">
        <f t="shared" si="21"/>
        <v>5694321.2144000009</v>
      </c>
      <c r="G221" s="98">
        <f>SUMIFS('Assumption-Best'!$D$3:$D$32,'Assumption-Best'!$A$3:$A$32,$B221,'Assumption-Best'!$B$3:$B$32,$C221)</f>
        <v>3.0000000000000001E-3</v>
      </c>
      <c r="H221" s="99">
        <f t="shared" si="22"/>
        <v>17082.963643200004</v>
      </c>
      <c r="I221" s="97">
        <f>SUMIFS('Assumption-Best'!$E$3:$E$32,'Assumption-Best'!$A$3:$A$32,$B221,'Assumption-Best'!$B$3:$B$32,$C221)</f>
        <v>0.18</v>
      </c>
      <c r="J221" s="19">
        <f t="shared" si="23"/>
        <v>3074.9334557760008</v>
      </c>
      <c r="K221" s="100">
        <f>SUMIFS('Assumption-Best'!$F$3:$F$32,'Assumption-Best'!$A$3:$A$32,$B221,'Assumption-Best'!$B$3:$B$32,$C221)</f>
        <v>1.4999999999999999E-4</v>
      </c>
      <c r="L221" s="19">
        <f t="shared" si="24"/>
        <v>854.14818216000003</v>
      </c>
      <c r="M221" s="99">
        <f t="shared" si="25"/>
        <v>13153.882005264004</v>
      </c>
      <c r="N221" s="97">
        <f>SUMIFS('Assumption-Best'!$G$3:$G$32,'Assumption-Best'!$A$3:$A$32,$B221,'Assumption-Best'!$B$3:$B$32,$C221)</f>
        <v>0.35</v>
      </c>
      <c r="O221" s="19">
        <f t="shared" si="26"/>
        <v>5979.0372751200011</v>
      </c>
      <c r="P221" s="99">
        <f t="shared" si="27"/>
        <v>7174.8447301440028</v>
      </c>
    </row>
    <row r="222" spans="1:16" x14ac:dyDescent="0.35">
      <c r="A222" s="96" t="str">
        <f>LEFT('2025 actual v budget'!A222,4)&amp;"26"</f>
        <v>Aug-26</v>
      </c>
      <c r="B222" s="17" t="str">
        <f>'2025 actual v budget'!B222</f>
        <v>Germany</v>
      </c>
      <c r="C222" s="17" t="str">
        <f>'2025 actual v budget'!C222</f>
        <v>Virtual Accounts</v>
      </c>
      <c r="D222" s="19">
        <f>'2025 actual v budget'!D222</f>
        <v>7373864.3499999996</v>
      </c>
      <c r="E222" s="97">
        <f>SUMIFS('Assumption-Best'!$C$3:$C$32,'Assumption-Best'!$A$3:$A$32,$B222,'Assumption-Best'!$B$3:$B$32,$C222)</f>
        <v>0.12</v>
      </c>
      <c r="F222" s="19">
        <f t="shared" si="21"/>
        <v>8258728.0720000006</v>
      </c>
      <c r="G222" s="98">
        <f>SUMIFS('Assumption-Best'!$D$3:$D$32,'Assumption-Best'!$A$3:$A$32,$B222,'Assumption-Best'!$B$3:$B$32,$C222)</f>
        <v>4.4999999999999997E-3</v>
      </c>
      <c r="H222" s="99">
        <f t="shared" si="22"/>
        <v>37164.276323999999</v>
      </c>
      <c r="I222" s="97">
        <f>SUMIFS('Assumption-Best'!$E$3:$E$32,'Assumption-Best'!$A$3:$A$32,$B222,'Assumption-Best'!$B$3:$B$32,$C222)</f>
        <v>0.22</v>
      </c>
      <c r="J222" s="19">
        <f t="shared" si="23"/>
        <v>8176.1407912799996</v>
      </c>
      <c r="K222" s="100">
        <f>SUMIFS('Assumption-Best'!$F$3:$F$32,'Assumption-Best'!$A$3:$A$32,$B222,'Assumption-Best'!$B$3:$B$32,$C222)</f>
        <v>1.4999999999999999E-4</v>
      </c>
      <c r="L222" s="19">
        <f t="shared" si="24"/>
        <v>1238.8092108000001</v>
      </c>
      <c r="M222" s="99">
        <f t="shared" si="25"/>
        <v>27749.326321920002</v>
      </c>
      <c r="N222" s="97">
        <f>SUMIFS('Assumption-Best'!$G$3:$G$32,'Assumption-Best'!$A$3:$A$32,$B222,'Assumption-Best'!$B$3:$B$32,$C222)</f>
        <v>0.35</v>
      </c>
      <c r="O222" s="19">
        <f t="shared" si="26"/>
        <v>13007.496713399998</v>
      </c>
      <c r="P222" s="99">
        <f t="shared" si="27"/>
        <v>14741.829608520004</v>
      </c>
    </row>
    <row r="223" spans="1:16" x14ac:dyDescent="0.35">
      <c r="A223" s="96" t="str">
        <f>LEFT('2025 actual v budget'!A223,4)&amp;"26"</f>
        <v>Aug-26</v>
      </c>
      <c r="B223" s="17" t="str">
        <f>'2025 actual v budget'!B223</f>
        <v>India</v>
      </c>
      <c r="C223" s="17" t="str">
        <f>'2025 actual v budget'!C223</f>
        <v>Cross-border Payouts</v>
      </c>
      <c r="D223" s="19">
        <f>'2025 actual v budget'!D223</f>
        <v>11412782.77</v>
      </c>
      <c r="E223" s="97">
        <f>SUMIFS('Assumption-Best'!$C$3:$C$32,'Assumption-Best'!$A$3:$A$32,$B223,'Assumption-Best'!$B$3:$B$32,$C223)</f>
        <v>0.24</v>
      </c>
      <c r="F223" s="19">
        <f t="shared" si="21"/>
        <v>14151850.6348</v>
      </c>
      <c r="G223" s="98">
        <f>SUMIFS('Assumption-Best'!$D$3:$D$32,'Assumption-Best'!$A$3:$A$32,$B223,'Assumption-Best'!$B$3:$B$32,$C223)</f>
        <v>7.4999999999999997E-3</v>
      </c>
      <c r="H223" s="99">
        <f t="shared" si="22"/>
        <v>106138.879761</v>
      </c>
      <c r="I223" s="97">
        <f>SUMIFS('Assumption-Best'!$E$3:$E$32,'Assumption-Best'!$A$3:$A$32,$B223,'Assumption-Best'!$B$3:$B$32,$C223)</f>
        <v>0.35</v>
      </c>
      <c r="J223" s="19">
        <f t="shared" si="23"/>
        <v>37148.607916349996</v>
      </c>
      <c r="K223" s="100">
        <f>SUMIFS('Assumption-Best'!$F$3:$F$32,'Assumption-Best'!$A$3:$A$32,$B223,'Assumption-Best'!$B$3:$B$32,$C223)</f>
        <v>1.8000000000000001E-4</v>
      </c>
      <c r="L223" s="19">
        <f t="shared" si="24"/>
        <v>2547.333114264</v>
      </c>
      <c r="M223" s="99">
        <f t="shared" si="25"/>
        <v>66442.938730386013</v>
      </c>
      <c r="N223" s="97">
        <f>SUMIFS('Assumption-Best'!$G$3:$G$32,'Assumption-Best'!$A$3:$A$32,$B223,'Assumption-Best'!$B$3:$B$32,$C223)</f>
        <v>0.35</v>
      </c>
      <c r="O223" s="19">
        <f t="shared" si="26"/>
        <v>37148.607916349996</v>
      </c>
      <c r="P223" s="99">
        <f t="shared" si="27"/>
        <v>29294.330814036017</v>
      </c>
    </row>
    <row r="224" spans="1:16" x14ac:dyDescent="0.35">
      <c r="A224" s="96" t="str">
        <f>LEFT('2025 actual v budget'!A224,4)&amp;"26"</f>
        <v>Aug-26</v>
      </c>
      <c r="B224" s="17" t="str">
        <f>'2025 actual v budget'!B224</f>
        <v>India</v>
      </c>
      <c r="C224" s="17" t="str">
        <f>'2025 actual v budget'!C224</f>
        <v>FX Conversion</v>
      </c>
      <c r="D224" s="19">
        <f>'2025 actual v budget'!D224</f>
        <v>17659093.91</v>
      </c>
      <c r="E224" s="97">
        <f>SUMIFS('Assumption-Best'!$C$3:$C$32,'Assumption-Best'!$A$3:$A$32,$B224,'Assumption-Best'!$B$3:$B$32,$C224)</f>
        <v>0.24</v>
      </c>
      <c r="F224" s="19">
        <f t="shared" si="21"/>
        <v>21897276.448399998</v>
      </c>
      <c r="G224" s="98">
        <f>SUMIFS('Assumption-Best'!$D$3:$D$32,'Assumption-Best'!$A$3:$A$32,$B224,'Assumption-Best'!$B$3:$B$32,$C224)</f>
        <v>1.0500000000000001E-2</v>
      </c>
      <c r="H224" s="99">
        <f t="shared" si="22"/>
        <v>229921.40270820001</v>
      </c>
      <c r="I224" s="97">
        <f>SUMIFS('Assumption-Best'!$E$3:$E$32,'Assumption-Best'!$A$3:$A$32,$B224,'Assumption-Best'!$B$3:$B$32,$C224)</f>
        <v>0.28000000000000003</v>
      </c>
      <c r="J224" s="19">
        <f t="shared" si="23"/>
        <v>64377.992758296008</v>
      </c>
      <c r="K224" s="100">
        <f>SUMIFS('Assumption-Best'!$F$3:$F$32,'Assumption-Best'!$A$3:$A$32,$B224,'Assumption-Best'!$B$3:$B$32,$C224)</f>
        <v>1.8000000000000001E-4</v>
      </c>
      <c r="L224" s="19">
        <f t="shared" si="24"/>
        <v>3941.5097607120001</v>
      </c>
      <c r="M224" s="99">
        <f t="shared" si="25"/>
        <v>161601.90018919201</v>
      </c>
      <c r="N224" s="97">
        <f>SUMIFS('Assumption-Best'!$G$3:$G$32,'Assumption-Best'!$A$3:$A$32,$B224,'Assumption-Best'!$B$3:$B$32,$C224)</f>
        <v>0.35</v>
      </c>
      <c r="O224" s="19">
        <f t="shared" si="26"/>
        <v>80472.490947869999</v>
      </c>
      <c r="P224" s="99">
        <f t="shared" si="27"/>
        <v>81129.409241322006</v>
      </c>
    </row>
    <row r="225" spans="1:16" x14ac:dyDescent="0.35">
      <c r="A225" s="96" t="str">
        <f>LEFT('2025 actual v budget'!A225,4)&amp;"26"</f>
        <v>Aug-26</v>
      </c>
      <c r="B225" s="17" t="str">
        <f>'2025 actual v budget'!B225</f>
        <v>India</v>
      </c>
      <c r="C225" s="17" t="str">
        <f>'2025 actual v budget'!C225</f>
        <v>Stablecoin Settlement</v>
      </c>
      <c r="D225" s="19">
        <f>'2025 actual v budget'!D225</f>
        <v>27022216.579999998</v>
      </c>
      <c r="E225" s="97">
        <f>SUMIFS('Assumption-Best'!$C$3:$C$32,'Assumption-Best'!$A$3:$A$32,$B225,'Assumption-Best'!$B$3:$B$32,$C225)</f>
        <v>0.48</v>
      </c>
      <c r="F225" s="19">
        <f t="shared" si="21"/>
        <v>39992880.538399994</v>
      </c>
      <c r="G225" s="98">
        <f>SUMIFS('Assumption-Best'!$D$3:$D$32,'Assumption-Best'!$A$3:$A$32,$B225,'Assumption-Best'!$B$3:$B$32,$C225)</f>
        <v>6.4999999999999997E-3</v>
      </c>
      <c r="H225" s="99">
        <f t="shared" si="22"/>
        <v>259953.72349959996</v>
      </c>
      <c r="I225" s="97">
        <f>SUMIFS('Assumption-Best'!$E$3:$E$32,'Assumption-Best'!$A$3:$A$32,$B225,'Assumption-Best'!$B$3:$B$32,$C225)</f>
        <v>0.32</v>
      </c>
      <c r="J225" s="19">
        <f t="shared" si="23"/>
        <v>83185.191519871994</v>
      </c>
      <c r="K225" s="100">
        <f>SUMIFS('Assumption-Best'!$F$3:$F$32,'Assumption-Best'!$A$3:$A$32,$B225,'Assumption-Best'!$B$3:$B$32,$C225)</f>
        <v>1.8000000000000001E-4</v>
      </c>
      <c r="L225" s="19">
        <f t="shared" si="24"/>
        <v>7198.7184969119999</v>
      </c>
      <c r="M225" s="99">
        <f t="shared" si="25"/>
        <v>169569.81348281595</v>
      </c>
      <c r="N225" s="97">
        <f>SUMIFS('Assumption-Best'!$G$3:$G$32,'Assumption-Best'!$A$3:$A$32,$B225,'Assumption-Best'!$B$3:$B$32,$C225)</f>
        <v>0.35</v>
      </c>
      <c r="O225" s="19">
        <f t="shared" si="26"/>
        <v>90983.803224859977</v>
      </c>
      <c r="P225" s="99">
        <f t="shared" si="27"/>
        <v>78586.010257955975</v>
      </c>
    </row>
    <row r="226" spans="1:16" x14ac:dyDescent="0.35">
      <c r="A226" s="96" t="str">
        <f>LEFT('2025 actual v budget'!A226,4)&amp;"26"</f>
        <v>Aug-26</v>
      </c>
      <c r="B226" s="17" t="str">
        <f>'2025 actual v budget'!B226</f>
        <v>India</v>
      </c>
      <c r="C226" s="17" t="str">
        <f>'2025 actual v budget'!C226</f>
        <v>Treasury Yield</v>
      </c>
      <c r="D226" s="19">
        <f>'2025 actual v budget'!D226</f>
        <v>7346930.4000000004</v>
      </c>
      <c r="E226" s="97">
        <f>SUMIFS('Assumption-Best'!$C$3:$C$32,'Assumption-Best'!$A$3:$A$32,$B226,'Assumption-Best'!$B$3:$B$32,$C226)</f>
        <v>0.24</v>
      </c>
      <c r="F226" s="19">
        <f t="shared" si="21"/>
        <v>9110193.6960000005</v>
      </c>
      <c r="G226" s="98">
        <f>SUMIFS('Assumption-Best'!$D$3:$D$32,'Assumption-Best'!$A$3:$A$32,$B226,'Assumption-Best'!$B$3:$B$32,$C226)</f>
        <v>3.0000000000000001E-3</v>
      </c>
      <c r="H226" s="99">
        <f t="shared" si="22"/>
        <v>27330.581088000003</v>
      </c>
      <c r="I226" s="97">
        <f>SUMIFS('Assumption-Best'!$E$3:$E$32,'Assumption-Best'!$A$3:$A$32,$B226,'Assumption-Best'!$B$3:$B$32,$C226)</f>
        <v>0.18</v>
      </c>
      <c r="J226" s="19">
        <f t="shared" si="23"/>
        <v>4919.5045958400005</v>
      </c>
      <c r="K226" s="100">
        <f>SUMIFS('Assumption-Best'!$F$3:$F$32,'Assumption-Best'!$A$3:$A$32,$B226,'Assumption-Best'!$B$3:$B$32,$C226)</f>
        <v>1.8000000000000001E-4</v>
      </c>
      <c r="L226" s="19">
        <f t="shared" si="24"/>
        <v>1639.8348652800003</v>
      </c>
      <c r="M226" s="99">
        <f t="shared" si="25"/>
        <v>20771.241626880001</v>
      </c>
      <c r="N226" s="97">
        <f>SUMIFS('Assumption-Best'!$G$3:$G$32,'Assumption-Best'!$A$3:$A$32,$B226,'Assumption-Best'!$B$3:$B$32,$C226)</f>
        <v>0.35</v>
      </c>
      <c r="O226" s="19">
        <f t="shared" si="26"/>
        <v>9565.7033807999996</v>
      </c>
      <c r="P226" s="99">
        <f t="shared" si="27"/>
        <v>11205.538246080001</v>
      </c>
    </row>
    <row r="227" spans="1:16" x14ac:dyDescent="0.35">
      <c r="A227" s="96" t="str">
        <f>LEFT('2025 actual v budget'!A227,4)&amp;"26"</f>
        <v>Aug-26</v>
      </c>
      <c r="B227" s="17" t="str">
        <f>'2025 actual v budget'!B227</f>
        <v>India</v>
      </c>
      <c r="C227" s="17" t="str">
        <f>'2025 actual v budget'!C227</f>
        <v>Virtual Accounts</v>
      </c>
      <c r="D227" s="19">
        <f>'2025 actual v budget'!D227</f>
        <v>10655580.880000001</v>
      </c>
      <c r="E227" s="97">
        <f>SUMIFS('Assumption-Best'!$C$3:$C$32,'Assumption-Best'!$A$3:$A$32,$B227,'Assumption-Best'!$B$3:$B$32,$C227)</f>
        <v>0.24</v>
      </c>
      <c r="F227" s="19">
        <f t="shared" si="21"/>
        <v>13212920.291200001</v>
      </c>
      <c r="G227" s="98">
        <f>SUMIFS('Assumption-Best'!$D$3:$D$32,'Assumption-Best'!$A$3:$A$32,$B227,'Assumption-Best'!$B$3:$B$32,$C227)</f>
        <v>4.4999999999999997E-3</v>
      </c>
      <c r="H227" s="99">
        <f t="shared" si="22"/>
        <v>59458.141310400002</v>
      </c>
      <c r="I227" s="97">
        <f>SUMIFS('Assumption-Best'!$E$3:$E$32,'Assumption-Best'!$A$3:$A$32,$B227,'Assumption-Best'!$B$3:$B$32,$C227)</f>
        <v>0.22</v>
      </c>
      <c r="J227" s="19">
        <f t="shared" si="23"/>
        <v>13080.791088288001</v>
      </c>
      <c r="K227" s="100">
        <f>SUMIFS('Assumption-Best'!$F$3:$F$32,'Assumption-Best'!$A$3:$A$32,$B227,'Assumption-Best'!$B$3:$B$32,$C227)</f>
        <v>1.8000000000000001E-4</v>
      </c>
      <c r="L227" s="19">
        <f t="shared" si="24"/>
        <v>2378.3256524160001</v>
      </c>
      <c r="M227" s="99">
        <f t="shared" si="25"/>
        <v>43999.024569695997</v>
      </c>
      <c r="N227" s="97">
        <f>SUMIFS('Assumption-Best'!$G$3:$G$32,'Assumption-Best'!$A$3:$A$32,$B227,'Assumption-Best'!$B$3:$B$32,$C227)</f>
        <v>0.35</v>
      </c>
      <c r="O227" s="19">
        <f t="shared" si="26"/>
        <v>20810.349458640001</v>
      </c>
      <c r="P227" s="99">
        <f t="shared" si="27"/>
        <v>23188.675111055996</v>
      </c>
    </row>
    <row r="228" spans="1:16" x14ac:dyDescent="0.35">
      <c r="A228" s="96" t="str">
        <f>LEFT('2025 actual v budget'!A228,4)&amp;"26"</f>
        <v>Aug-26</v>
      </c>
      <c r="B228" s="17" t="str">
        <f>'2025 actual v budget'!B228</f>
        <v>Mexico</v>
      </c>
      <c r="C228" s="17" t="str">
        <f>'2025 actual v budget'!C228</f>
        <v>Cross-border Payouts</v>
      </c>
      <c r="D228" s="19">
        <f>'2025 actual v budget'!D228</f>
        <v>13501092.75</v>
      </c>
      <c r="E228" s="97">
        <f>SUMIFS('Assumption-Best'!$C$3:$C$32,'Assumption-Best'!$A$3:$A$32,$B228,'Assumption-Best'!$B$3:$B$32,$C228)</f>
        <v>0.3</v>
      </c>
      <c r="F228" s="19">
        <f t="shared" si="21"/>
        <v>17551420.574999999</v>
      </c>
      <c r="G228" s="98">
        <f>SUMIFS('Assumption-Best'!$D$3:$D$32,'Assumption-Best'!$A$3:$A$32,$B228,'Assumption-Best'!$B$3:$B$32,$C228)</f>
        <v>7.4999999999999997E-3</v>
      </c>
      <c r="H228" s="99">
        <f t="shared" si="22"/>
        <v>131635.6543125</v>
      </c>
      <c r="I228" s="97">
        <f>SUMIFS('Assumption-Best'!$E$3:$E$32,'Assumption-Best'!$A$3:$A$32,$B228,'Assumption-Best'!$B$3:$B$32,$C228)</f>
        <v>0.35</v>
      </c>
      <c r="J228" s="19">
        <f t="shared" si="23"/>
        <v>46072.479009374998</v>
      </c>
      <c r="K228" s="100">
        <f>SUMIFS('Assumption-Best'!$F$3:$F$32,'Assumption-Best'!$A$3:$A$32,$B228,'Assumption-Best'!$B$3:$B$32,$C228)</f>
        <v>8.0000000000000007E-5</v>
      </c>
      <c r="L228" s="19">
        <f t="shared" si="24"/>
        <v>1404.113646</v>
      </c>
      <c r="M228" s="99">
        <f t="shared" si="25"/>
        <v>84159.061657124999</v>
      </c>
      <c r="N228" s="97">
        <f>SUMIFS('Assumption-Best'!$G$3:$G$32,'Assumption-Best'!$A$3:$A$32,$B228,'Assumption-Best'!$B$3:$B$32,$C228)</f>
        <v>0.35</v>
      </c>
      <c r="O228" s="19">
        <f t="shared" si="26"/>
        <v>46072.479009374998</v>
      </c>
      <c r="P228" s="99">
        <f t="shared" si="27"/>
        <v>38086.582647750001</v>
      </c>
    </row>
    <row r="229" spans="1:16" x14ac:dyDescent="0.35">
      <c r="A229" s="96" t="str">
        <f>LEFT('2025 actual v budget'!A229,4)&amp;"26"</f>
        <v>Aug-26</v>
      </c>
      <c r="B229" s="17" t="str">
        <f>'2025 actual v budget'!B229</f>
        <v>Mexico</v>
      </c>
      <c r="C229" s="17" t="str">
        <f>'2025 actual v budget'!C229</f>
        <v>FX Conversion</v>
      </c>
      <c r="D229" s="19">
        <f>'2025 actual v budget'!D229</f>
        <v>20887160.43</v>
      </c>
      <c r="E229" s="97">
        <f>SUMIFS('Assumption-Best'!$C$3:$C$32,'Assumption-Best'!$A$3:$A$32,$B229,'Assumption-Best'!$B$3:$B$32,$C229)</f>
        <v>0.3</v>
      </c>
      <c r="F229" s="19">
        <f t="shared" si="21"/>
        <v>27153308.559</v>
      </c>
      <c r="G229" s="98">
        <f>SUMIFS('Assumption-Best'!$D$3:$D$32,'Assumption-Best'!$A$3:$A$32,$B229,'Assumption-Best'!$B$3:$B$32,$C229)</f>
        <v>1.0500000000000001E-2</v>
      </c>
      <c r="H229" s="99">
        <f t="shared" si="22"/>
        <v>285109.73986950004</v>
      </c>
      <c r="I229" s="97">
        <f>SUMIFS('Assumption-Best'!$E$3:$E$32,'Assumption-Best'!$A$3:$A$32,$B229,'Assumption-Best'!$B$3:$B$32,$C229)</f>
        <v>0.28000000000000003</v>
      </c>
      <c r="J229" s="19">
        <f t="shared" si="23"/>
        <v>79830.727163460018</v>
      </c>
      <c r="K229" s="100">
        <f>SUMIFS('Assumption-Best'!$F$3:$F$32,'Assumption-Best'!$A$3:$A$32,$B229,'Assumption-Best'!$B$3:$B$32,$C229)</f>
        <v>8.0000000000000007E-5</v>
      </c>
      <c r="L229" s="19">
        <f t="shared" si="24"/>
        <v>2172.2646847200003</v>
      </c>
      <c r="M229" s="99">
        <f t="shared" si="25"/>
        <v>203106.74802132003</v>
      </c>
      <c r="N229" s="97">
        <f>SUMIFS('Assumption-Best'!$G$3:$G$32,'Assumption-Best'!$A$3:$A$32,$B229,'Assumption-Best'!$B$3:$B$32,$C229)</f>
        <v>0.35</v>
      </c>
      <c r="O229" s="19">
        <f t="shared" si="26"/>
        <v>99788.408954325016</v>
      </c>
      <c r="P229" s="99">
        <f t="shared" si="27"/>
        <v>103318.33906699502</v>
      </c>
    </row>
    <row r="230" spans="1:16" x14ac:dyDescent="0.35">
      <c r="A230" s="96" t="str">
        <f>LEFT('2025 actual v budget'!A230,4)&amp;"26"</f>
        <v>Aug-26</v>
      </c>
      <c r="B230" s="17" t="str">
        <f>'2025 actual v budget'!B230</f>
        <v>Mexico</v>
      </c>
      <c r="C230" s="17" t="str">
        <f>'2025 actual v budget'!C230</f>
        <v>Stablecoin Settlement</v>
      </c>
      <c r="D230" s="19">
        <f>'2025 actual v budget'!D230</f>
        <v>31966739.370000001</v>
      </c>
      <c r="E230" s="97">
        <f>SUMIFS('Assumption-Best'!$C$3:$C$32,'Assumption-Best'!$A$3:$A$32,$B230,'Assumption-Best'!$B$3:$B$32,$C230)</f>
        <v>0.6</v>
      </c>
      <c r="F230" s="19">
        <f t="shared" si="21"/>
        <v>51146782.992000006</v>
      </c>
      <c r="G230" s="98">
        <f>SUMIFS('Assumption-Best'!$D$3:$D$32,'Assumption-Best'!$A$3:$A$32,$B230,'Assumption-Best'!$B$3:$B$32,$C230)</f>
        <v>6.4999999999999997E-3</v>
      </c>
      <c r="H230" s="99">
        <f t="shared" si="22"/>
        <v>332454.08944800001</v>
      </c>
      <c r="I230" s="97">
        <f>SUMIFS('Assumption-Best'!$E$3:$E$32,'Assumption-Best'!$A$3:$A$32,$B230,'Assumption-Best'!$B$3:$B$32,$C230)</f>
        <v>0.32</v>
      </c>
      <c r="J230" s="19">
        <f t="shared" si="23"/>
        <v>106385.30862336</v>
      </c>
      <c r="K230" s="100">
        <f>SUMIFS('Assumption-Best'!$F$3:$F$32,'Assumption-Best'!$A$3:$A$32,$B230,'Assumption-Best'!$B$3:$B$32,$C230)</f>
        <v>8.0000000000000007E-5</v>
      </c>
      <c r="L230" s="19">
        <f t="shared" si="24"/>
        <v>4091.7426393600008</v>
      </c>
      <c r="M230" s="99">
        <f t="shared" si="25"/>
        <v>221977.03818528002</v>
      </c>
      <c r="N230" s="97">
        <f>SUMIFS('Assumption-Best'!$G$3:$G$32,'Assumption-Best'!$A$3:$A$32,$B230,'Assumption-Best'!$B$3:$B$32,$C230)</f>
        <v>0.35</v>
      </c>
      <c r="O230" s="19">
        <f t="shared" si="26"/>
        <v>116358.93130679999</v>
      </c>
      <c r="P230" s="99">
        <f t="shared" si="27"/>
        <v>105618.10687848003</v>
      </c>
    </row>
    <row r="231" spans="1:16" x14ac:dyDescent="0.35">
      <c r="A231" s="96" t="str">
        <f>LEFT('2025 actual v budget'!A231,4)&amp;"26"</f>
        <v>Aug-26</v>
      </c>
      <c r="B231" s="17" t="str">
        <f>'2025 actual v budget'!B231</f>
        <v>Mexico</v>
      </c>
      <c r="C231" s="17" t="str">
        <f>'2025 actual v budget'!C231</f>
        <v>Treasury Yield</v>
      </c>
      <c r="D231" s="19">
        <f>'2025 actual v budget'!D231</f>
        <v>8689942.6799999997</v>
      </c>
      <c r="E231" s="97">
        <f>SUMIFS('Assumption-Best'!$C$3:$C$32,'Assumption-Best'!$A$3:$A$32,$B231,'Assumption-Best'!$B$3:$B$32,$C231)</f>
        <v>0.3</v>
      </c>
      <c r="F231" s="19">
        <f t="shared" si="21"/>
        <v>11296925.483999999</v>
      </c>
      <c r="G231" s="98">
        <f>SUMIFS('Assumption-Best'!$D$3:$D$32,'Assumption-Best'!$A$3:$A$32,$B231,'Assumption-Best'!$B$3:$B$32,$C231)</f>
        <v>3.0000000000000001E-3</v>
      </c>
      <c r="H231" s="99">
        <f t="shared" si="22"/>
        <v>33890.776451999998</v>
      </c>
      <c r="I231" s="97">
        <f>SUMIFS('Assumption-Best'!$E$3:$E$32,'Assumption-Best'!$A$3:$A$32,$B231,'Assumption-Best'!$B$3:$B$32,$C231)</f>
        <v>0.18</v>
      </c>
      <c r="J231" s="19">
        <f t="shared" si="23"/>
        <v>6100.3397613599991</v>
      </c>
      <c r="K231" s="100">
        <f>SUMIFS('Assumption-Best'!$F$3:$F$32,'Assumption-Best'!$A$3:$A$32,$B231,'Assumption-Best'!$B$3:$B$32,$C231)</f>
        <v>8.0000000000000007E-5</v>
      </c>
      <c r="L231" s="19">
        <f t="shared" si="24"/>
        <v>903.75403872000004</v>
      </c>
      <c r="M231" s="99">
        <f t="shared" si="25"/>
        <v>26886.68265192</v>
      </c>
      <c r="N231" s="97">
        <f>SUMIFS('Assumption-Best'!$G$3:$G$32,'Assumption-Best'!$A$3:$A$32,$B231,'Assumption-Best'!$B$3:$B$32,$C231)</f>
        <v>0.35</v>
      </c>
      <c r="O231" s="19">
        <f t="shared" si="26"/>
        <v>11861.771758199999</v>
      </c>
      <c r="P231" s="99">
        <f t="shared" si="27"/>
        <v>15024.910893720002</v>
      </c>
    </row>
    <row r="232" spans="1:16" x14ac:dyDescent="0.35">
      <c r="A232" s="96" t="str">
        <f>LEFT('2025 actual v budget'!A232,4)&amp;"26"</f>
        <v>Aug-26</v>
      </c>
      <c r="B232" s="17" t="str">
        <f>'2025 actual v budget'!B232</f>
        <v>Mexico</v>
      </c>
      <c r="C232" s="17" t="str">
        <f>'2025 actual v budget'!C232</f>
        <v>Virtual Accounts</v>
      </c>
      <c r="D232" s="19">
        <f>'2025 actual v budget'!D232</f>
        <v>12603411.51</v>
      </c>
      <c r="E232" s="97">
        <f>SUMIFS('Assumption-Best'!$C$3:$C$32,'Assumption-Best'!$A$3:$A$32,$B232,'Assumption-Best'!$B$3:$B$32,$C232)</f>
        <v>0.3</v>
      </c>
      <c r="F232" s="19">
        <f t="shared" si="21"/>
        <v>16384434.963</v>
      </c>
      <c r="G232" s="98">
        <f>SUMIFS('Assumption-Best'!$D$3:$D$32,'Assumption-Best'!$A$3:$A$32,$B232,'Assumption-Best'!$B$3:$B$32,$C232)</f>
        <v>4.4999999999999997E-3</v>
      </c>
      <c r="H232" s="99">
        <f t="shared" si="22"/>
        <v>73729.957333499988</v>
      </c>
      <c r="I232" s="97">
        <f>SUMIFS('Assumption-Best'!$E$3:$E$32,'Assumption-Best'!$A$3:$A$32,$B232,'Assumption-Best'!$B$3:$B$32,$C232)</f>
        <v>0.22</v>
      </c>
      <c r="J232" s="19">
        <f t="shared" si="23"/>
        <v>16220.590613369997</v>
      </c>
      <c r="K232" s="100">
        <f>SUMIFS('Assumption-Best'!$F$3:$F$32,'Assumption-Best'!$A$3:$A$32,$B232,'Assumption-Best'!$B$3:$B$32,$C232)</f>
        <v>8.0000000000000007E-5</v>
      </c>
      <c r="L232" s="19">
        <f t="shared" si="24"/>
        <v>1310.7547970400001</v>
      </c>
      <c r="M232" s="99">
        <f t="shared" si="25"/>
        <v>56198.611923089993</v>
      </c>
      <c r="N232" s="97">
        <f>SUMIFS('Assumption-Best'!$G$3:$G$32,'Assumption-Best'!$A$3:$A$32,$B232,'Assumption-Best'!$B$3:$B$32,$C232)</f>
        <v>0.35</v>
      </c>
      <c r="O232" s="19">
        <f t="shared" si="26"/>
        <v>25805.485066724996</v>
      </c>
      <c r="P232" s="99">
        <f t="shared" si="27"/>
        <v>30393.126856364997</v>
      </c>
    </row>
    <row r="233" spans="1:16" x14ac:dyDescent="0.35">
      <c r="A233" s="96" t="str">
        <f>LEFT('2025 actual v budget'!A233,4)&amp;"26"</f>
        <v>Aug-26</v>
      </c>
      <c r="B233" s="17" t="str">
        <f>'2025 actual v budget'!B233</f>
        <v>Singapore</v>
      </c>
      <c r="C233" s="17" t="str">
        <f>'2025 actual v budget'!C233</f>
        <v>Cross-border Payouts</v>
      </c>
      <c r="D233" s="19">
        <f>'2025 actual v budget'!D233</f>
        <v>10674025.66</v>
      </c>
      <c r="E233" s="97">
        <f>SUMIFS('Assumption-Best'!$C$3:$C$32,'Assumption-Best'!$A$3:$A$32,$B233,'Assumption-Best'!$B$3:$B$32,$C233)</f>
        <v>0.1</v>
      </c>
      <c r="F233" s="19">
        <f t="shared" si="21"/>
        <v>11741428.226000002</v>
      </c>
      <c r="G233" s="98">
        <f>SUMIFS('Assumption-Best'!$D$3:$D$32,'Assumption-Best'!$A$3:$A$32,$B233,'Assumption-Best'!$B$3:$B$32,$C233)</f>
        <v>7.4999999999999997E-3</v>
      </c>
      <c r="H233" s="99">
        <f t="shared" si="22"/>
        <v>88060.711695000005</v>
      </c>
      <c r="I233" s="97">
        <f>SUMIFS('Assumption-Best'!$E$3:$E$32,'Assumption-Best'!$A$3:$A$32,$B233,'Assumption-Best'!$B$3:$B$32,$C233)</f>
        <v>0.35</v>
      </c>
      <c r="J233" s="19">
        <f t="shared" si="23"/>
        <v>30821.24909325</v>
      </c>
      <c r="K233" s="100">
        <f>SUMIFS('Assumption-Best'!$F$3:$F$32,'Assumption-Best'!$A$3:$A$32,$B233,'Assumption-Best'!$B$3:$B$32,$C233)</f>
        <v>9.0000000000000006E-5</v>
      </c>
      <c r="L233" s="19">
        <f t="shared" si="24"/>
        <v>1056.7285403400001</v>
      </c>
      <c r="M233" s="99">
        <f t="shared" si="25"/>
        <v>56182.734061410003</v>
      </c>
      <c r="N233" s="97">
        <f>SUMIFS('Assumption-Best'!$G$3:$G$32,'Assumption-Best'!$A$3:$A$32,$B233,'Assumption-Best'!$B$3:$B$32,$C233)</f>
        <v>0.35</v>
      </c>
      <c r="O233" s="19">
        <f t="shared" si="26"/>
        <v>30821.24909325</v>
      </c>
      <c r="P233" s="99">
        <f t="shared" si="27"/>
        <v>25361.484968160003</v>
      </c>
    </row>
    <row r="234" spans="1:16" x14ac:dyDescent="0.35">
      <c r="A234" s="96" t="str">
        <f>LEFT('2025 actual v budget'!A234,4)&amp;"26"</f>
        <v>Aug-26</v>
      </c>
      <c r="B234" s="17" t="str">
        <f>'2025 actual v budget'!B234</f>
        <v>Singapore</v>
      </c>
      <c r="C234" s="17" t="str">
        <f>'2025 actual v budget'!C234</f>
        <v>FX Conversion</v>
      </c>
      <c r="D234" s="19">
        <f>'2025 actual v budget'!D234</f>
        <v>16505770.01</v>
      </c>
      <c r="E234" s="97">
        <f>SUMIFS('Assumption-Best'!$C$3:$C$32,'Assumption-Best'!$A$3:$A$32,$B234,'Assumption-Best'!$B$3:$B$32,$C234)</f>
        <v>0.1</v>
      </c>
      <c r="F234" s="19">
        <f t="shared" si="21"/>
        <v>18156347.011</v>
      </c>
      <c r="G234" s="98">
        <f>SUMIFS('Assumption-Best'!$D$3:$D$32,'Assumption-Best'!$A$3:$A$32,$B234,'Assumption-Best'!$B$3:$B$32,$C234)</f>
        <v>1.0500000000000001E-2</v>
      </c>
      <c r="H234" s="99">
        <f t="shared" si="22"/>
        <v>190641.64361550001</v>
      </c>
      <c r="I234" s="97">
        <f>SUMIFS('Assumption-Best'!$E$3:$E$32,'Assumption-Best'!$A$3:$A$32,$B234,'Assumption-Best'!$B$3:$B$32,$C234)</f>
        <v>0.28000000000000003</v>
      </c>
      <c r="J234" s="19">
        <f t="shared" si="23"/>
        <v>53379.660212340008</v>
      </c>
      <c r="K234" s="100">
        <f>SUMIFS('Assumption-Best'!$F$3:$F$32,'Assumption-Best'!$A$3:$A$32,$B234,'Assumption-Best'!$B$3:$B$32,$C234)</f>
        <v>9.0000000000000006E-5</v>
      </c>
      <c r="L234" s="19">
        <f t="shared" si="24"/>
        <v>1634.07123099</v>
      </c>
      <c r="M234" s="99">
        <f t="shared" si="25"/>
        <v>135627.91217217001</v>
      </c>
      <c r="N234" s="97">
        <f>SUMIFS('Assumption-Best'!$G$3:$G$32,'Assumption-Best'!$A$3:$A$32,$B234,'Assumption-Best'!$B$3:$B$32,$C234)</f>
        <v>0.35</v>
      </c>
      <c r="O234" s="19">
        <f t="shared" si="26"/>
        <v>66724.575265424995</v>
      </c>
      <c r="P234" s="99">
        <f t="shared" si="27"/>
        <v>68903.336906745011</v>
      </c>
    </row>
    <row r="235" spans="1:16" x14ac:dyDescent="0.35">
      <c r="A235" s="96" t="str">
        <f>LEFT('2025 actual v budget'!A235,4)&amp;"26"</f>
        <v>Aug-26</v>
      </c>
      <c r="B235" s="17" t="str">
        <f>'2025 actual v budget'!B235</f>
        <v>Singapore</v>
      </c>
      <c r="C235" s="17" t="str">
        <f>'2025 actual v budget'!C235</f>
        <v>Stablecoin Settlement</v>
      </c>
      <c r="D235" s="19">
        <f>'2025 actual v budget'!D235</f>
        <v>25273050.300000001</v>
      </c>
      <c r="E235" s="97">
        <f>SUMIFS('Assumption-Best'!$C$3:$C$32,'Assumption-Best'!$A$3:$A$32,$B235,'Assumption-Best'!$B$3:$B$32,$C235)</f>
        <v>0.2</v>
      </c>
      <c r="F235" s="19">
        <f t="shared" si="21"/>
        <v>30327660.359999999</v>
      </c>
      <c r="G235" s="98">
        <f>SUMIFS('Assumption-Best'!$D$3:$D$32,'Assumption-Best'!$A$3:$A$32,$B235,'Assumption-Best'!$B$3:$B$32,$C235)</f>
        <v>6.4999999999999997E-3</v>
      </c>
      <c r="H235" s="99">
        <f t="shared" si="22"/>
        <v>197129.79233999999</v>
      </c>
      <c r="I235" s="97">
        <f>SUMIFS('Assumption-Best'!$E$3:$E$32,'Assumption-Best'!$A$3:$A$32,$B235,'Assumption-Best'!$B$3:$B$32,$C235)</f>
        <v>0.32</v>
      </c>
      <c r="J235" s="19">
        <f t="shared" si="23"/>
        <v>63081.533548799998</v>
      </c>
      <c r="K235" s="100">
        <f>SUMIFS('Assumption-Best'!$F$3:$F$32,'Assumption-Best'!$A$3:$A$32,$B235,'Assumption-Best'!$B$3:$B$32,$C235)</f>
        <v>9.0000000000000006E-5</v>
      </c>
      <c r="L235" s="19">
        <f t="shared" si="24"/>
        <v>2729.4894324000002</v>
      </c>
      <c r="M235" s="99">
        <f t="shared" si="25"/>
        <v>131318.7693588</v>
      </c>
      <c r="N235" s="97">
        <f>SUMIFS('Assumption-Best'!$G$3:$G$32,'Assumption-Best'!$A$3:$A$32,$B235,'Assumption-Best'!$B$3:$B$32,$C235)</f>
        <v>0.35</v>
      </c>
      <c r="O235" s="19">
        <f t="shared" si="26"/>
        <v>68995.427318999995</v>
      </c>
      <c r="P235" s="99">
        <f t="shared" si="27"/>
        <v>62323.342039800002</v>
      </c>
    </row>
    <row r="236" spans="1:16" x14ac:dyDescent="0.35">
      <c r="A236" s="96" t="str">
        <f>LEFT('2025 actual v budget'!A236,4)&amp;"26"</f>
        <v>Aug-26</v>
      </c>
      <c r="B236" s="17" t="str">
        <f>'2025 actual v budget'!B236</f>
        <v>Singapore</v>
      </c>
      <c r="C236" s="17" t="str">
        <f>'2025 actual v budget'!C236</f>
        <v>Treasury Yield</v>
      </c>
      <c r="D236" s="19">
        <f>'2025 actual v budget'!D236</f>
        <v>6867098.8399999999</v>
      </c>
      <c r="E236" s="97">
        <f>SUMIFS('Assumption-Best'!$C$3:$C$32,'Assumption-Best'!$A$3:$A$32,$B236,'Assumption-Best'!$B$3:$B$32,$C236)</f>
        <v>0.1</v>
      </c>
      <c r="F236" s="19">
        <f t="shared" si="21"/>
        <v>7553808.7240000004</v>
      </c>
      <c r="G236" s="98">
        <f>SUMIFS('Assumption-Best'!$D$3:$D$32,'Assumption-Best'!$A$3:$A$32,$B236,'Assumption-Best'!$B$3:$B$32,$C236)</f>
        <v>3.0000000000000001E-3</v>
      </c>
      <c r="H236" s="99">
        <f t="shared" si="22"/>
        <v>22661.426172000003</v>
      </c>
      <c r="I236" s="97">
        <f>SUMIFS('Assumption-Best'!$E$3:$E$32,'Assumption-Best'!$A$3:$A$32,$B236,'Assumption-Best'!$B$3:$B$32,$C236)</f>
        <v>0.18</v>
      </c>
      <c r="J236" s="19">
        <f t="shared" si="23"/>
        <v>4079.0567109600006</v>
      </c>
      <c r="K236" s="100">
        <f>SUMIFS('Assumption-Best'!$F$3:$F$32,'Assumption-Best'!$A$3:$A$32,$B236,'Assumption-Best'!$B$3:$B$32,$C236)</f>
        <v>9.0000000000000006E-5</v>
      </c>
      <c r="L236" s="19">
        <f t="shared" si="24"/>
        <v>679.84278516000006</v>
      </c>
      <c r="M236" s="99">
        <f t="shared" si="25"/>
        <v>17902.526675880003</v>
      </c>
      <c r="N236" s="97">
        <f>SUMIFS('Assumption-Best'!$G$3:$G$32,'Assumption-Best'!$A$3:$A$32,$B236,'Assumption-Best'!$B$3:$B$32,$C236)</f>
        <v>0.35</v>
      </c>
      <c r="O236" s="19">
        <f t="shared" si="26"/>
        <v>7931.4991602000009</v>
      </c>
      <c r="P236" s="99">
        <f t="shared" si="27"/>
        <v>9971.0275156800017</v>
      </c>
    </row>
    <row r="237" spans="1:16" x14ac:dyDescent="0.35">
      <c r="A237" s="96" t="str">
        <f>LEFT('2025 actual v budget'!A237,4)&amp;"26"</f>
        <v>Aug-26</v>
      </c>
      <c r="B237" s="17" t="str">
        <f>'2025 actual v budget'!B237</f>
        <v>Singapore</v>
      </c>
      <c r="C237" s="17" t="str">
        <f>'2025 actual v budget'!C237</f>
        <v>Virtual Accounts</v>
      </c>
      <c r="D237" s="19">
        <f>'2025 actual v budget'!D237</f>
        <v>9959659.7799999993</v>
      </c>
      <c r="E237" s="97">
        <f>SUMIFS('Assumption-Best'!$C$3:$C$32,'Assumption-Best'!$A$3:$A$32,$B237,'Assumption-Best'!$B$3:$B$32,$C237)</f>
        <v>0.1</v>
      </c>
      <c r="F237" s="19">
        <f t="shared" si="21"/>
        <v>10955625.757999999</v>
      </c>
      <c r="G237" s="98">
        <f>SUMIFS('Assumption-Best'!$D$3:$D$32,'Assumption-Best'!$A$3:$A$32,$B237,'Assumption-Best'!$B$3:$B$32,$C237)</f>
        <v>4.4999999999999997E-3</v>
      </c>
      <c r="H237" s="99">
        <f t="shared" si="22"/>
        <v>49300.315910999991</v>
      </c>
      <c r="I237" s="97">
        <f>SUMIFS('Assumption-Best'!$E$3:$E$32,'Assumption-Best'!$A$3:$A$32,$B237,'Assumption-Best'!$B$3:$B$32,$C237)</f>
        <v>0.22</v>
      </c>
      <c r="J237" s="19">
        <f t="shared" si="23"/>
        <v>10846.069500419999</v>
      </c>
      <c r="K237" s="100">
        <f>SUMIFS('Assumption-Best'!$F$3:$F$32,'Assumption-Best'!$A$3:$A$32,$B237,'Assumption-Best'!$B$3:$B$32,$C237)</f>
        <v>9.0000000000000006E-5</v>
      </c>
      <c r="L237" s="19">
        <f t="shared" si="24"/>
        <v>986.00631822000003</v>
      </c>
      <c r="M237" s="99">
        <f t="shared" si="25"/>
        <v>37468.240092359985</v>
      </c>
      <c r="N237" s="97">
        <f>SUMIFS('Assumption-Best'!$G$3:$G$32,'Assumption-Best'!$A$3:$A$32,$B237,'Assumption-Best'!$B$3:$B$32,$C237)</f>
        <v>0.35</v>
      </c>
      <c r="O237" s="19">
        <f t="shared" si="26"/>
        <v>17255.110568849996</v>
      </c>
      <c r="P237" s="99">
        <f t="shared" si="27"/>
        <v>20213.12952350999</v>
      </c>
    </row>
    <row r="238" spans="1:16" x14ac:dyDescent="0.35">
      <c r="A238" s="96" t="str">
        <f>LEFT('2025 actual v budget'!A238,4)&amp;"26"</f>
        <v>Aug-26</v>
      </c>
      <c r="B238" s="17" t="str">
        <f>'2025 actual v budget'!B238</f>
        <v>USA</v>
      </c>
      <c r="C238" s="17" t="str">
        <f>'2025 actual v budget'!C238</f>
        <v>Cross-border Payouts</v>
      </c>
      <c r="D238" s="19">
        <f>'2025 actual v budget'!D238</f>
        <v>25812265.719999999</v>
      </c>
      <c r="E238" s="97">
        <f>SUMIFS('Assumption-Best'!$C$3:$C$32,'Assumption-Best'!$A$3:$A$32,$B238,'Assumption-Best'!$B$3:$B$32,$C238)</f>
        <v>0.2</v>
      </c>
      <c r="F238" s="19">
        <f t="shared" si="21"/>
        <v>30974718.863999996</v>
      </c>
      <c r="G238" s="98">
        <f>SUMIFS('Assumption-Best'!$D$3:$D$32,'Assumption-Best'!$A$3:$A$32,$B238,'Assumption-Best'!$B$3:$B$32,$C238)</f>
        <v>7.4999999999999997E-3</v>
      </c>
      <c r="H238" s="99">
        <f t="shared" si="22"/>
        <v>232310.39147999996</v>
      </c>
      <c r="I238" s="97">
        <f>SUMIFS('Assumption-Best'!$E$3:$E$32,'Assumption-Best'!$A$3:$A$32,$B238,'Assumption-Best'!$B$3:$B$32,$C238)</f>
        <v>0.35</v>
      </c>
      <c r="J238" s="19">
        <f t="shared" si="23"/>
        <v>81308.637017999979</v>
      </c>
      <c r="K238" s="100">
        <f>SUMIFS('Assumption-Best'!$F$3:$F$32,'Assumption-Best'!$A$3:$A$32,$B238,'Assumption-Best'!$B$3:$B$32,$C238)</f>
        <v>2.0000000000000001E-4</v>
      </c>
      <c r="L238" s="19">
        <f t="shared" si="24"/>
        <v>6194.9437727999994</v>
      </c>
      <c r="M238" s="99">
        <f t="shared" si="25"/>
        <v>144806.81068919998</v>
      </c>
      <c r="N238" s="97">
        <f>SUMIFS('Assumption-Best'!$G$3:$G$32,'Assumption-Best'!$A$3:$A$32,$B238,'Assumption-Best'!$B$3:$B$32,$C238)</f>
        <v>0.35</v>
      </c>
      <c r="O238" s="19">
        <f t="shared" si="26"/>
        <v>81308.637017999979</v>
      </c>
      <c r="P238" s="99">
        <f t="shared" si="27"/>
        <v>63498.173671199998</v>
      </c>
    </row>
    <row r="239" spans="1:16" x14ac:dyDescent="0.35">
      <c r="A239" s="96" t="str">
        <f>LEFT('2025 actual v budget'!A239,4)&amp;"26"</f>
        <v>Aug-26</v>
      </c>
      <c r="B239" s="17" t="str">
        <f>'2025 actual v budget'!B239</f>
        <v>USA</v>
      </c>
      <c r="C239" s="17" t="str">
        <f>'2025 actual v budget'!C239</f>
        <v>FX Conversion</v>
      </c>
      <c r="D239" s="19">
        <f>'2025 actual v budget'!D239</f>
        <v>39908438.710000001</v>
      </c>
      <c r="E239" s="97">
        <f>SUMIFS('Assumption-Best'!$C$3:$C$32,'Assumption-Best'!$A$3:$A$32,$B239,'Assumption-Best'!$B$3:$B$32,$C239)</f>
        <v>0.2</v>
      </c>
      <c r="F239" s="19">
        <f t="shared" si="21"/>
        <v>47890126.452</v>
      </c>
      <c r="G239" s="98">
        <f>SUMIFS('Assumption-Best'!$D$3:$D$32,'Assumption-Best'!$A$3:$A$32,$B239,'Assumption-Best'!$B$3:$B$32,$C239)</f>
        <v>1.0500000000000001E-2</v>
      </c>
      <c r="H239" s="99">
        <f t="shared" si="22"/>
        <v>502846.32774600002</v>
      </c>
      <c r="I239" s="97">
        <f>SUMIFS('Assumption-Best'!$E$3:$E$32,'Assumption-Best'!$A$3:$A$32,$B239,'Assumption-Best'!$B$3:$B$32,$C239)</f>
        <v>0.28000000000000003</v>
      </c>
      <c r="J239" s="19">
        <f t="shared" si="23"/>
        <v>140796.97176888003</v>
      </c>
      <c r="K239" s="100">
        <f>SUMIFS('Assumption-Best'!$F$3:$F$32,'Assumption-Best'!$A$3:$A$32,$B239,'Assumption-Best'!$B$3:$B$32,$C239)</f>
        <v>2.0000000000000001E-4</v>
      </c>
      <c r="L239" s="19">
        <f t="shared" si="24"/>
        <v>9578.0252904000008</v>
      </c>
      <c r="M239" s="99">
        <f t="shared" si="25"/>
        <v>352471.33068671997</v>
      </c>
      <c r="N239" s="97">
        <f>SUMIFS('Assumption-Best'!$G$3:$G$32,'Assumption-Best'!$A$3:$A$32,$B239,'Assumption-Best'!$B$3:$B$32,$C239)</f>
        <v>0.35</v>
      </c>
      <c r="O239" s="19">
        <f t="shared" si="26"/>
        <v>175996.21471110001</v>
      </c>
      <c r="P239" s="99">
        <f t="shared" si="27"/>
        <v>176475.11597561996</v>
      </c>
    </row>
    <row r="240" spans="1:16" x14ac:dyDescent="0.35">
      <c r="A240" s="96" t="str">
        <f>LEFT('2025 actual v budget'!A240,4)&amp;"26"</f>
        <v>Aug-26</v>
      </c>
      <c r="B240" s="17" t="str">
        <f>'2025 actual v budget'!B240</f>
        <v>USA</v>
      </c>
      <c r="C240" s="17" t="str">
        <f>'2025 actual v budget'!C240</f>
        <v>Stablecoin Settlement</v>
      </c>
      <c r="D240" s="19">
        <f>'2025 actual v budget'!D240</f>
        <v>61116087.840000004</v>
      </c>
      <c r="E240" s="97">
        <f>SUMIFS('Assumption-Best'!$C$3:$C$32,'Assumption-Best'!$A$3:$A$32,$B240,'Assumption-Best'!$B$3:$B$32,$C240)</f>
        <v>0.4</v>
      </c>
      <c r="F240" s="19">
        <f t="shared" si="21"/>
        <v>85562522.975999996</v>
      </c>
      <c r="G240" s="98">
        <f>SUMIFS('Assumption-Best'!$D$3:$D$32,'Assumption-Best'!$A$3:$A$32,$B240,'Assumption-Best'!$B$3:$B$32,$C240)</f>
        <v>6.4999999999999997E-3</v>
      </c>
      <c r="H240" s="99">
        <f t="shared" si="22"/>
        <v>556156.39934399992</v>
      </c>
      <c r="I240" s="97">
        <f>SUMIFS('Assumption-Best'!$E$3:$E$32,'Assumption-Best'!$A$3:$A$32,$B240,'Assumption-Best'!$B$3:$B$32,$C240)</f>
        <v>0.32</v>
      </c>
      <c r="J240" s="19">
        <f t="shared" si="23"/>
        <v>177970.04779007999</v>
      </c>
      <c r="K240" s="100">
        <f>SUMIFS('Assumption-Best'!$F$3:$F$32,'Assumption-Best'!$A$3:$A$32,$B240,'Assumption-Best'!$B$3:$B$32,$C240)</f>
        <v>2.0000000000000001E-4</v>
      </c>
      <c r="L240" s="19">
        <f t="shared" si="24"/>
        <v>17112.5045952</v>
      </c>
      <c r="M240" s="99">
        <f t="shared" si="25"/>
        <v>361073.84695871995</v>
      </c>
      <c r="N240" s="97">
        <f>SUMIFS('Assumption-Best'!$G$3:$G$32,'Assumption-Best'!$A$3:$A$32,$B240,'Assumption-Best'!$B$3:$B$32,$C240)</f>
        <v>0.35</v>
      </c>
      <c r="O240" s="19">
        <f t="shared" si="26"/>
        <v>194654.73977039996</v>
      </c>
      <c r="P240" s="99">
        <f t="shared" si="27"/>
        <v>166419.10718831999</v>
      </c>
    </row>
    <row r="241" spans="1:16" x14ac:dyDescent="0.35">
      <c r="A241" s="96" t="str">
        <f>LEFT('2025 actual v budget'!A241,4)&amp;"26"</f>
        <v>Aug-26</v>
      </c>
      <c r="B241" s="17" t="str">
        <f>'2025 actual v budget'!B241</f>
        <v>USA</v>
      </c>
      <c r="C241" s="17" t="str">
        <f>'2025 actual v budget'!C241</f>
        <v>Treasury Yield</v>
      </c>
      <c r="D241" s="19">
        <f>'2025 actual v budget'!D241</f>
        <v>16603599.42</v>
      </c>
      <c r="E241" s="97">
        <f>SUMIFS('Assumption-Best'!$C$3:$C$32,'Assumption-Best'!$A$3:$A$32,$B241,'Assumption-Best'!$B$3:$B$32,$C241)</f>
        <v>0.2</v>
      </c>
      <c r="F241" s="19">
        <f t="shared" si="21"/>
        <v>19924319.303999998</v>
      </c>
      <c r="G241" s="98">
        <f>SUMIFS('Assumption-Best'!$D$3:$D$32,'Assumption-Best'!$A$3:$A$32,$B241,'Assumption-Best'!$B$3:$B$32,$C241)</f>
        <v>3.0000000000000001E-3</v>
      </c>
      <c r="H241" s="99">
        <f t="shared" si="22"/>
        <v>59772.957911999991</v>
      </c>
      <c r="I241" s="97">
        <f>SUMIFS('Assumption-Best'!$E$3:$E$32,'Assumption-Best'!$A$3:$A$32,$B241,'Assumption-Best'!$B$3:$B$32,$C241)</f>
        <v>0.18</v>
      </c>
      <c r="J241" s="19">
        <f t="shared" si="23"/>
        <v>10759.132424159998</v>
      </c>
      <c r="K241" s="100">
        <f>SUMIFS('Assumption-Best'!$F$3:$F$32,'Assumption-Best'!$A$3:$A$32,$B241,'Assumption-Best'!$B$3:$B$32,$C241)</f>
        <v>2.0000000000000001E-4</v>
      </c>
      <c r="L241" s="19">
        <f t="shared" si="24"/>
        <v>3984.8638607999997</v>
      </c>
      <c r="M241" s="99">
        <f t="shared" si="25"/>
        <v>45028.961627039993</v>
      </c>
      <c r="N241" s="97">
        <f>SUMIFS('Assumption-Best'!$G$3:$G$32,'Assumption-Best'!$A$3:$A$32,$B241,'Assumption-Best'!$B$3:$B$32,$C241)</f>
        <v>0.35</v>
      </c>
      <c r="O241" s="19">
        <f t="shared" si="26"/>
        <v>20920.535269199994</v>
      </c>
      <c r="P241" s="99">
        <f t="shared" si="27"/>
        <v>24108.426357839999</v>
      </c>
    </row>
    <row r="242" spans="1:16" x14ac:dyDescent="0.35">
      <c r="A242" s="96" t="str">
        <f>LEFT('2025 actual v budget'!A242,4)&amp;"26"</f>
        <v>Aug-26</v>
      </c>
      <c r="B242" s="17" t="str">
        <f>'2025 actual v budget'!B242</f>
        <v>USA</v>
      </c>
      <c r="C242" s="17" t="str">
        <f>'2025 actual v budget'!C242</f>
        <v>Virtual Accounts</v>
      </c>
      <c r="D242" s="19">
        <f>'2025 actual v budget'!D242</f>
        <v>24080940.890000001</v>
      </c>
      <c r="E242" s="97">
        <f>SUMIFS('Assumption-Best'!$C$3:$C$32,'Assumption-Best'!$A$3:$A$32,$B242,'Assumption-Best'!$B$3:$B$32,$C242)</f>
        <v>0.2</v>
      </c>
      <c r="F242" s="19">
        <f t="shared" si="21"/>
        <v>28897129.068</v>
      </c>
      <c r="G242" s="98">
        <f>SUMIFS('Assumption-Best'!$D$3:$D$32,'Assumption-Best'!$A$3:$A$32,$B242,'Assumption-Best'!$B$3:$B$32,$C242)</f>
        <v>4.4999999999999997E-3</v>
      </c>
      <c r="H242" s="99">
        <f t="shared" si="22"/>
        <v>130037.08080599998</v>
      </c>
      <c r="I242" s="97">
        <f>SUMIFS('Assumption-Best'!$E$3:$E$32,'Assumption-Best'!$A$3:$A$32,$B242,'Assumption-Best'!$B$3:$B$32,$C242)</f>
        <v>0.22</v>
      </c>
      <c r="J242" s="19">
        <f t="shared" si="23"/>
        <v>28608.157777319997</v>
      </c>
      <c r="K242" s="100">
        <f>SUMIFS('Assumption-Best'!$F$3:$F$32,'Assumption-Best'!$A$3:$A$32,$B242,'Assumption-Best'!$B$3:$B$32,$C242)</f>
        <v>2.0000000000000001E-4</v>
      </c>
      <c r="L242" s="19">
        <f t="shared" si="24"/>
        <v>5779.4258135999999</v>
      </c>
      <c r="M242" s="99">
        <f t="shared" si="25"/>
        <v>95649.497215079988</v>
      </c>
      <c r="N242" s="97">
        <f>SUMIFS('Assumption-Best'!$G$3:$G$32,'Assumption-Best'!$A$3:$A$32,$B242,'Assumption-Best'!$B$3:$B$32,$C242)</f>
        <v>0.35</v>
      </c>
      <c r="O242" s="19">
        <f t="shared" si="26"/>
        <v>45512.97828209999</v>
      </c>
      <c r="P242" s="99">
        <f t="shared" si="27"/>
        <v>50136.518932979998</v>
      </c>
    </row>
    <row r="243" spans="1:16" x14ac:dyDescent="0.35">
      <c r="A243" s="91" t="str">
        <f>LEFT('2025 actual v budget'!A243,4)&amp;"26"</f>
        <v>Sep-26</v>
      </c>
      <c r="B243" s="12" t="str">
        <f>'2025 actual v budget'!B243</f>
        <v>Brazil</v>
      </c>
      <c r="C243" s="12" t="str">
        <f>'2025 actual v budget'!C243</f>
        <v>Cross-border Payouts</v>
      </c>
      <c r="D243" s="14">
        <f>'2025 actual v budget'!D243</f>
        <v>17471607.609999999</v>
      </c>
      <c r="E243" s="92">
        <f>SUMIFS('Assumption-Best'!$C$3:$C$32,'Assumption-Best'!$A$3:$A$32,$B243,'Assumption-Best'!$B$3:$B$32,$C243)</f>
        <v>0.4</v>
      </c>
      <c r="F243" s="14">
        <f t="shared" si="21"/>
        <v>24460250.653999999</v>
      </c>
      <c r="G243" s="93">
        <f>SUMIFS('Assumption-Best'!$D$3:$D$32,'Assumption-Best'!$A$3:$A$32,$B243,'Assumption-Best'!$B$3:$B$32,$C243)</f>
        <v>7.4999999999999997E-3</v>
      </c>
      <c r="H243" s="94">
        <f t="shared" si="22"/>
        <v>183451.87990499998</v>
      </c>
      <c r="I243" s="92">
        <f>SUMIFS('Assumption-Best'!$E$3:$E$32,'Assumption-Best'!$A$3:$A$32,$B243,'Assumption-Best'!$B$3:$B$32,$C243)</f>
        <v>0.35</v>
      </c>
      <c r="J243" s="14">
        <f t="shared" si="23"/>
        <v>64208.15796674999</v>
      </c>
      <c r="K243" s="95">
        <f>SUMIFS('Assumption-Best'!$F$3:$F$32,'Assumption-Best'!$A$3:$A$32,$B243,'Assumption-Best'!$B$3:$B$32,$C243)</f>
        <v>6.9999999999999994E-5</v>
      </c>
      <c r="L243" s="14">
        <f t="shared" si="24"/>
        <v>1712.2175457799997</v>
      </c>
      <c r="M243" s="94">
        <f t="shared" si="25"/>
        <v>117531.50439246999</v>
      </c>
      <c r="N243" s="92">
        <f>SUMIFS('Assumption-Best'!$G$3:$G$32,'Assumption-Best'!$A$3:$A$32,$B243,'Assumption-Best'!$B$3:$B$32,$C243)</f>
        <v>0.35</v>
      </c>
      <c r="O243" s="14">
        <f t="shared" si="26"/>
        <v>64208.15796674999</v>
      </c>
      <c r="P243" s="94">
        <f t="shared" si="27"/>
        <v>53323.346425719996</v>
      </c>
    </row>
    <row r="244" spans="1:16" x14ac:dyDescent="0.35">
      <c r="A244" s="91" t="str">
        <f>LEFT('2025 actual v budget'!A244,4)&amp;"26"</f>
        <v>Sep-26</v>
      </c>
      <c r="B244" s="12" t="str">
        <f>'2025 actual v budget'!B244</f>
        <v>Brazil</v>
      </c>
      <c r="C244" s="12" t="str">
        <f>'2025 actual v budget'!C244</f>
        <v>FX Conversion</v>
      </c>
      <c r="D244" s="14">
        <f>'2025 actual v budget'!D244</f>
        <v>27224704.32</v>
      </c>
      <c r="E244" s="92">
        <f>SUMIFS('Assumption-Best'!$C$3:$C$32,'Assumption-Best'!$A$3:$A$32,$B244,'Assumption-Best'!$B$3:$B$32,$C244)</f>
        <v>0.4</v>
      </c>
      <c r="F244" s="14">
        <f t="shared" si="21"/>
        <v>38114586.048</v>
      </c>
      <c r="G244" s="93">
        <f>SUMIFS('Assumption-Best'!$D$3:$D$32,'Assumption-Best'!$A$3:$A$32,$B244,'Assumption-Best'!$B$3:$B$32,$C244)</f>
        <v>1.0500000000000001E-2</v>
      </c>
      <c r="H244" s="94">
        <f t="shared" si="22"/>
        <v>400203.15350400005</v>
      </c>
      <c r="I244" s="92">
        <f>SUMIFS('Assumption-Best'!$E$3:$E$32,'Assumption-Best'!$A$3:$A$32,$B244,'Assumption-Best'!$B$3:$B$32,$C244)</f>
        <v>0.28000000000000003</v>
      </c>
      <c r="J244" s="14">
        <f t="shared" si="23"/>
        <v>112056.88298112003</v>
      </c>
      <c r="K244" s="95">
        <f>SUMIFS('Assumption-Best'!$F$3:$F$32,'Assumption-Best'!$A$3:$A$32,$B244,'Assumption-Best'!$B$3:$B$32,$C244)</f>
        <v>6.9999999999999994E-5</v>
      </c>
      <c r="L244" s="14">
        <f t="shared" si="24"/>
        <v>2668.0210233599996</v>
      </c>
      <c r="M244" s="94">
        <f t="shared" si="25"/>
        <v>285478.24949952</v>
      </c>
      <c r="N244" s="92">
        <f>SUMIFS('Assumption-Best'!$G$3:$G$32,'Assumption-Best'!$A$3:$A$32,$B244,'Assumption-Best'!$B$3:$B$32,$C244)</f>
        <v>0.35</v>
      </c>
      <c r="O244" s="14">
        <f t="shared" si="26"/>
        <v>140071.1037264</v>
      </c>
      <c r="P244" s="94">
        <f t="shared" si="27"/>
        <v>145407.14577311999</v>
      </c>
    </row>
    <row r="245" spans="1:16" x14ac:dyDescent="0.35">
      <c r="A245" s="91" t="str">
        <f>LEFT('2025 actual v budget'!A245,4)&amp;"26"</f>
        <v>Sep-26</v>
      </c>
      <c r="B245" s="12" t="str">
        <f>'2025 actual v budget'!B245</f>
        <v>Brazil</v>
      </c>
      <c r="C245" s="12" t="str">
        <f>'2025 actual v budget'!C245</f>
        <v>Stablecoin Settlement</v>
      </c>
      <c r="D245" s="14">
        <f>'2025 actual v budget'!D245</f>
        <v>41152342.07</v>
      </c>
      <c r="E245" s="92">
        <f>SUMIFS('Assumption-Best'!$C$3:$C$32,'Assumption-Best'!$A$3:$A$32,$B245,'Assumption-Best'!$B$3:$B$32,$C245)</f>
        <v>0.8</v>
      </c>
      <c r="F245" s="14">
        <f t="shared" si="21"/>
        <v>74074215.725999996</v>
      </c>
      <c r="G245" s="93">
        <f>SUMIFS('Assumption-Best'!$D$3:$D$32,'Assumption-Best'!$A$3:$A$32,$B245,'Assumption-Best'!$B$3:$B$32,$C245)</f>
        <v>6.4999999999999997E-3</v>
      </c>
      <c r="H245" s="94">
        <f t="shared" si="22"/>
        <v>481482.40221899998</v>
      </c>
      <c r="I245" s="92">
        <f>SUMIFS('Assumption-Best'!$E$3:$E$32,'Assumption-Best'!$A$3:$A$32,$B245,'Assumption-Best'!$B$3:$B$32,$C245)</f>
        <v>0.32</v>
      </c>
      <c r="J245" s="14">
        <f t="shared" si="23"/>
        <v>154074.36871007999</v>
      </c>
      <c r="K245" s="95">
        <f>SUMIFS('Assumption-Best'!$F$3:$F$32,'Assumption-Best'!$A$3:$A$32,$B245,'Assumption-Best'!$B$3:$B$32,$C245)</f>
        <v>6.9999999999999994E-5</v>
      </c>
      <c r="L245" s="14">
        <f t="shared" si="24"/>
        <v>5185.1951008199994</v>
      </c>
      <c r="M245" s="94">
        <f t="shared" si="25"/>
        <v>322222.83840810001</v>
      </c>
      <c r="N245" s="92">
        <f>SUMIFS('Assumption-Best'!$G$3:$G$32,'Assumption-Best'!$A$3:$A$32,$B245,'Assumption-Best'!$B$3:$B$32,$C245)</f>
        <v>0.35</v>
      </c>
      <c r="O245" s="14">
        <f t="shared" si="26"/>
        <v>168518.84077664997</v>
      </c>
      <c r="P245" s="94">
        <f t="shared" si="27"/>
        <v>153703.99763145004</v>
      </c>
    </row>
    <row r="246" spans="1:16" x14ac:dyDescent="0.35">
      <c r="A246" s="91" t="str">
        <f>LEFT('2025 actual v budget'!A246,4)&amp;"26"</f>
        <v>Sep-26</v>
      </c>
      <c r="B246" s="12" t="str">
        <f>'2025 actual v budget'!B246</f>
        <v>Brazil</v>
      </c>
      <c r="C246" s="12" t="str">
        <f>'2025 actual v budget'!C246</f>
        <v>Treasury Yield</v>
      </c>
      <c r="D246" s="14">
        <f>'2025 actual v budget'!D246</f>
        <v>11154961.449999999</v>
      </c>
      <c r="E246" s="92">
        <f>SUMIFS('Assumption-Best'!$C$3:$C$32,'Assumption-Best'!$A$3:$A$32,$B246,'Assumption-Best'!$B$3:$B$32,$C246)</f>
        <v>0.4</v>
      </c>
      <c r="F246" s="14">
        <f t="shared" si="21"/>
        <v>15616946.029999997</v>
      </c>
      <c r="G246" s="93">
        <f>SUMIFS('Assumption-Best'!$D$3:$D$32,'Assumption-Best'!$A$3:$A$32,$B246,'Assumption-Best'!$B$3:$B$32,$C246)</f>
        <v>3.0000000000000001E-3</v>
      </c>
      <c r="H246" s="94">
        <f t="shared" si="22"/>
        <v>46850.83808999999</v>
      </c>
      <c r="I246" s="92">
        <f>SUMIFS('Assumption-Best'!$E$3:$E$32,'Assumption-Best'!$A$3:$A$32,$B246,'Assumption-Best'!$B$3:$B$32,$C246)</f>
        <v>0.18</v>
      </c>
      <c r="J246" s="14">
        <f t="shared" si="23"/>
        <v>8433.1508561999981</v>
      </c>
      <c r="K246" s="95">
        <f>SUMIFS('Assumption-Best'!$F$3:$F$32,'Assumption-Best'!$A$3:$A$32,$B246,'Assumption-Best'!$B$3:$B$32,$C246)</f>
        <v>6.9999999999999994E-5</v>
      </c>
      <c r="L246" s="14">
        <f t="shared" si="24"/>
        <v>1093.1862220999997</v>
      </c>
      <c r="M246" s="94">
        <f t="shared" si="25"/>
        <v>37324.501011699998</v>
      </c>
      <c r="N246" s="92">
        <f>SUMIFS('Assumption-Best'!$G$3:$G$32,'Assumption-Best'!$A$3:$A$32,$B246,'Assumption-Best'!$B$3:$B$32,$C246)</f>
        <v>0.35</v>
      </c>
      <c r="O246" s="14">
        <f t="shared" si="26"/>
        <v>16397.793331499997</v>
      </c>
      <c r="P246" s="94">
        <f t="shared" si="27"/>
        <v>20926.707680200001</v>
      </c>
    </row>
    <row r="247" spans="1:16" x14ac:dyDescent="0.35">
      <c r="A247" s="91" t="str">
        <f>LEFT('2025 actual v budget'!A247,4)&amp;"26"</f>
        <v>Sep-26</v>
      </c>
      <c r="B247" s="12" t="str">
        <f>'2025 actual v budget'!B247</f>
        <v>Brazil</v>
      </c>
      <c r="C247" s="12" t="str">
        <f>'2025 actual v budget'!C247</f>
        <v>Virtual Accounts</v>
      </c>
      <c r="D247" s="14">
        <f>'2025 actual v budget'!D247</f>
        <v>16432300.369999999</v>
      </c>
      <c r="E247" s="92">
        <f>SUMIFS('Assumption-Best'!$C$3:$C$32,'Assumption-Best'!$A$3:$A$32,$B247,'Assumption-Best'!$B$3:$B$32,$C247)</f>
        <v>0.4</v>
      </c>
      <c r="F247" s="14">
        <f t="shared" si="21"/>
        <v>23005220.517999999</v>
      </c>
      <c r="G247" s="93">
        <f>SUMIFS('Assumption-Best'!$D$3:$D$32,'Assumption-Best'!$A$3:$A$32,$B247,'Assumption-Best'!$B$3:$B$32,$C247)</f>
        <v>4.4999999999999997E-3</v>
      </c>
      <c r="H247" s="94">
        <f t="shared" si="22"/>
        <v>103523.49233099999</v>
      </c>
      <c r="I247" s="92">
        <f>SUMIFS('Assumption-Best'!$E$3:$E$32,'Assumption-Best'!$A$3:$A$32,$B247,'Assumption-Best'!$B$3:$B$32,$C247)</f>
        <v>0.22</v>
      </c>
      <c r="J247" s="14">
        <f t="shared" si="23"/>
        <v>22775.168312819998</v>
      </c>
      <c r="K247" s="95">
        <f>SUMIFS('Assumption-Best'!$F$3:$F$32,'Assumption-Best'!$A$3:$A$32,$B247,'Assumption-Best'!$B$3:$B$32,$C247)</f>
        <v>6.9999999999999994E-5</v>
      </c>
      <c r="L247" s="14">
        <f t="shared" si="24"/>
        <v>1610.3654362599998</v>
      </c>
      <c r="M247" s="94">
        <f t="shared" si="25"/>
        <v>79137.958581919986</v>
      </c>
      <c r="N247" s="92">
        <f>SUMIFS('Assumption-Best'!$G$3:$G$32,'Assumption-Best'!$A$3:$A$32,$B247,'Assumption-Best'!$B$3:$B$32,$C247)</f>
        <v>0.35</v>
      </c>
      <c r="O247" s="14">
        <f t="shared" si="26"/>
        <v>36233.222315849991</v>
      </c>
      <c r="P247" s="94">
        <f t="shared" si="27"/>
        <v>42904.736266069995</v>
      </c>
    </row>
    <row r="248" spans="1:16" x14ac:dyDescent="0.35">
      <c r="A248" s="91" t="str">
        <f>LEFT('2025 actual v budget'!A248,4)&amp;"26"</f>
        <v>Sep-26</v>
      </c>
      <c r="B248" s="12" t="str">
        <f>'2025 actual v budget'!B248</f>
        <v>Germany</v>
      </c>
      <c r="C248" s="12" t="str">
        <f>'2025 actual v budget'!C248</f>
        <v>Cross-border Payouts</v>
      </c>
      <c r="D248" s="14">
        <f>'2025 actual v budget'!D248</f>
        <v>8149892.5999999996</v>
      </c>
      <c r="E248" s="92">
        <f>SUMIFS('Assumption-Best'!$C$3:$C$32,'Assumption-Best'!$A$3:$A$32,$B248,'Assumption-Best'!$B$3:$B$32,$C248)</f>
        <v>0.12</v>
      </c>
      <c r="F248" s="14">
        <f t="shared" si="21"/>
        <v>9127879.7120000012</v>
      </c>
      <c r="G248" s="93">
        <f>SUMIFS('Assumption-Best'!$D$3:$D$32,'Assumption-Best'!$A$3:$A$32,$B248,'Assumption-Best'!$B$3:$B$32,$C248)</f>
        <v>7.4999999999999997E-3</v>
      </c>
      <c r="H248" s="94">
        <f t="shared" si="22"/>
        <v>68459.097840000002</v>
      </c>
      <c r="I248" s="92">
        <f>SUMIFS('Assumption-Best'!$E$3:$E$32,'Assumption-Best'!$A$3:$A$32,$B248,'Assumption-Best'!$B$3:$B$32,$C248)</f>
        <v>0.35</v>
      </c>
      <c r="J248" s="14">
        <f t="shared" si="23"/>
        <v>23960.684244</v>
      </c>
      <c r="K248" s="95">
        <f>SUMIFS('Assumption-Best'!$F$3:$F$32,'Assumption-Best'!$A$3:$A$32,$B248,'Assumption-Best'!$B$3:$B$32,$C248)</f>
        <v>1.4999999999999999E-4</v>
      </c>
      <c r="L248" s="14">
        <f t="shared" si="24"/>
        <v>1369.1819568000001</v>
      </c>
      <c r="M248" s="94">
        <f t="shared" si="25"/>
        <v>43129.231639199999</v>
      </c>
      <c r="N248" s="92">
        <f>SUMIFS('Assumption-Best'!$G$3:$G$32,'Assumption-Best'!$A$3:$A$32,$B248,'Assumption-Best'!$B$3:$B$32,$C248)</f>
        <v>0.35</v>
      </c>
      <c r="O248" s="14">
        <f t="shared" si="26"/>
        <v>23960.684244</v>
      </c>
      <c r="P248" s="94">
        <f t="shared" si="27"/>
        <v>19168.547395199999</v>
      </c>
    </row>
    <row r="249" spans="1:16" x14ac:dyDescent="0.35">
      <c r="A249" s="91" t="str">
        <f>LEFT('2025 actual v budget'!A249,4)&amp;"26"</f>
        <v>Sep-26</v>
      </c>
      <c r="B249" s="12" t="str">
        <f>'2025 actual v budget'!B249</f>
        <v>Germany</v>
      </c>
      <c r="C249" s="12" t="str">
        <f>'2025 actual v budget'!C249</f>
        <v>FX Conversion</v>
      </c>
      <c r="D249" s="14">
        <f>'2025 actual v budget'!D249</f>
        <v>12690201.57</v>
      </c>
      <c r="E249" s="92">
        <f>SUMIFS('Assumption-Best'!$C$3:$C$32,'Assumption-Best'!$A$3:$A$32,$B249,'Assumption-Best'!$B$3:$B$32,$C249)</f>
        <v>0.12</v>
      </c>
      <c r="F249" s="14">
        <f t="shared" si="21"/>
        <v>14213025.758400002</v>
      </c>
      <c r="G249" s="93">
        <f>SUMIFS('Assumption-Best'!$D$3:$D$32,'Assumption-Best'!$A$3:$A$32,$B249,'Assumption-Best'!$B$3:$B$32,$C249)</f>
        <v>1.0500000000000001E-2</v>
      </c>
      <c r="H249" s="94">
        <f t="shared" si="22"/>
        <v>149236.77046320002</v>
      </c>
      <c r="I249" s="92">
        <f>SUMIFS('Assumption-Best'!$E$3:$E$32,'Assumption-Best'!$A$3:$A$32,$B249,'Assumption-Best'!$B$3:$B$32,$C249)</f>
        <v>0.28000000000000003</v>
      </c>
      <c r="J249" s="14">
        <f t="shared" si="23"/>
        <v>41786.295729696008</v>
      </c>
      <c r="K249" s="95">
        <f>SUMIFS('Assumption-Best'!$F$3:$F$32,'Assumption-Best'!$A$3:$A$32,$B249,'Assumption-Best'!$B$3:$B$32,$C249)</f>
        <v>1.4999999999999999E-4</v>
      </c>
      <c r="L249" s="14">
        <f t="shared" si="24"/>
        <v>2131.9538637600003</v>
      </c>
      <c r="M249" s="94">
        <f t="shared" si="25"/>
        <v>105318.52086974401</v>
      </c>
      <c r="N249" s="92">
        <f>SUMIFS('Assumption-Best'!$G$3:$G$32,'Assumption-Best'!$A$3:$A$32,$B249,'Assumption-Best'!$B$3:$B$32,$C249)</f>
        <v>0.35</v>
      </c>
      <c r="O249" s="14">
        <f t="shared" si="26"/>
        <v>52232.869662120007</v>
      </c>
      <c r="P249" s="94">
        <f t="shared" si="27"/>
        <v>53085.651207624003</v>
      </c>
    </row>
    <row r="250" spans="1:16" x14ac:dyDescent="0.35">
      <c r="A250" s="91" t="str">
        <f>LEFT('2025 actual v budget'!A250,4)&amp;"26"</f>
        <v>Sep-26</v>
      </c>
      <c r="B250" s="12" t="str">
        <f>'2025 actual v budget'!B250</f>
        <v>Germany</v>
      </c>
      <c r="C250" s="12" t="str">
        <f>'2025 actual v budget'!C250</f>
        <v>Stablecoin Settlement</v>
      </c>
      <c r="D250" s="14">
        <f>'2025 actual v budget'!D250</f>
        <v>19196125.25</v>
      </c>
      <c r="E250" s="92">
        <f>SUMIFS('Assumption-Best'!$C$3:$C$32,'Assumption-Best'!$A$3:$A$32,$B250,'Assumption-Best'!$B$3:$B$32,$C250)</f>
        <v>0.24</v>
      </c>
      <c r="F250" s="14">
        <f t="shared" si="21"/>
        <v>23803195.309999999</v>
      </c>
      <c r="G250" s="93">
        <f>SUMIFS('Assumption-Best'!$D$3:$D$32,'Assumption-Best'!$A$3:$A$32,$B250,'Assumption-Best'!$B$3:$B$32,$C250)</f>
        <v>6.4999999999999997E-3</v>
      </c>
      <c r="H250" s="94">
        <f t="shared" si="22"/>
        <v>154720.76951499999</v>
      </c>
      <c r="I250" s="92">
        <f>SUMIFS('Assumption-Best'!$E$3:$E$32,'Assumption-Best'!$A$3:$A$32,$B250,'Assumption-Best'!$B$3:$B$32,$C250)</f>
        <v>0.32</v>
      </c>
      <c r="J250" s="14">
        <f t="shared" si="23"/>
        <v>49510.646244800002</v>
      </c>
      <c r="K250" s="95">
        <f>SUMIFS('Assumption-Best'!$F$3:$F$32,'Assumption-Best'!$A$3:$A$32,$B250,'Assumption-Best'!$B$3:$B$32,$C250)</f>
        <v>1.4999999999999999E-4</v>
      </c>
      <c r="L250" s="14">
        <f t="shared" si="24"/>
        <v>3570.4792964999997</v>
      </c>
      <c r="M250" s="94">
        <f t="shared" si="25"/>
        <v>101639.64397369999</v>
      </c>
      <c r="N250" s="92">
        <f>SUMIFS('Assumption-Best'!$G$3:$G$32,'Assumption-Best'!$A$3:$A$32,$B250,'Assumption-Best'!$B$3:$B$32,$C250)</f>
        <v>0.35</v>
      </c>
      <c r="O250" s="14">
        <f t="shared" si="26"/>
        <v>54152.269330249997</v>
      </c>
      <c r="P250" s="94">
        <f t="shared" si="27"/>
        <v>47487.374643449992</v>
      </c>
    </row>
    <row r="251" spans="1:16" x14ac:dyDescent="0.35">
      <c r="A251" s="91" t="str">
        <f>LEFT('2025 actual v budget'!A251,4)&amp;"26"</f>
        <v>Sep-26</v>
      </c>
      <c r="B251" s="12" t="str">
        <f>'2025 actual v budget'!B251</f>
        <v>Germany</v>
      </c>
      <c r="C251" s="12" t="str">
        <f>'2025 actual v budget'!C251</f>
        <v>Treasury Yield</v>
      </c>
      <c r="D251" s="14">
        <f>'2025 actual v budget'!D251</f>
        <v>5199641.76</v>
      </c>
      <c r="E251" s="92">
        <f>SUMIFS('Assumption-Best'!$C$3:$C$32,'Assumption-Best'!$A$3:$A$32,$B251,'Assumption-Best'!$B$3:$B$32,$C251)</f>
        <v>0.12</v>
      </c>
      <c r="F251" s="14">
        <f t="shared" si="21"/>
        <v>5823598.7712000003</v>
      </c>
      <c r="G251" s="93">
        <f>SUMIFS('Assumption-Best'!$D$3:$D$32,'Assumption-Best'!$A$3:$A$32,$B251,'Assumption-Best'!$B$3:$B$32,$C251)</f>
        <v>3.0000000000000001E-3</v>
      </c>
      <c r="H251" s="94">
        <f t="shared" si="22"/>
        <v>17470.7963136</v>
      </c>
      <c r="I251" s="92">
        <f>SUMIFS('Assumption-Best'!$E$3:$E$32,'Assumption-Best'!$A$3:$A$32,$B251,'Assumption-Best'!$B$3:$B$32,$C251)</f>
        <v>0.18</v>
      </c>
      <c r="J251" s="14">
        <f t="shared" si="23"/>
        <v>3144.7433364479998</v>
      </c>
      <c r="K251" s="95">
        <f>SUMIFS('Assumption-Best'!$F$3:$F$32,'Assumption-Best'!$A$3:$A$32,$B251,'Assumption-Best'!$B$3:$B$32,$C251)</f>
        <v>1.4999999999999999E-4</v>
      </c>
      <c r="L251" s="14">
        <f t="shared" si="24"/>
        <v>873.53981567999995</v>
      </c>
      <c r="M251" s="94">
        <f t="shared" si="25"/>
        <v>13452.513161471999</v>
      </c>
      <c r="N251" s="92">
        <f>SUMIFS('Assumption-Best'!$G$3:$G$32,'Assumption-Best'!$A$3:$A$32,$B251,'Assumption-Best'!$B$3:$B$32,$C251)</f>
        <v>0.35</v>
      </c>
      <c r="O251" s="14">
        <f t="shared" si="26"/>
        <v>6114.7787097599994</v>
      </c>
      <c r="P251" s="94">
        <f t="shared" si="27"/>
        <v>7337.734451712</v>
      </c>
    </row>
    <row r="252" spans="1:16" x14ac:dyDescent="0.35">
      <c r="A252" s="91" t="str">
        <f>LEFT('2025 actual v budget'!A252,4)&amp;"26"</f>
        <v>Sep-26</v>
      </c>
      <c r="B252" s="12" t="str">
        <f>'2025 actual v budget'!B252</f>
        <v>Germany</v>
      </c>
      <c r="C252" s="12" t="str">
        <f>'2025 actual v budget'!C252</f>
        <v>Virtual Accounts</v>
      </c>
      <c r="D252" s="14">
        <f>'2025 actual v budget'!D252</f>
        <v>7659558.0800000001</v>
      </c>
      <c r="E252" s="92">
        <f>SUMIFS('Assumption-Best'!$C$3:$C$32,'Assumption-Best'!$A$3:$A$32,$B252,'Assumption-Best'!$B$3:$B$32,$C252)</f>
        <v>0.12</v>
      </c>
      <c r="F252" s="14">
        <f t="shared" si="21"/>
        <v>8578705.0496000014</v>
      </c>
      <c r="G252" s="93">
        <f>SUMIFS('Assumption-Best'!$D$3:$D$32,'Assumption-Best'!$A$3:$A$32,$B252,'Assumption-Best'!$B$3:$B$32,$C252)</f>
        <v>4.4999999999999997E-3</v>
      </c>
      <c r="H252" s="94">
        <f t="shared" si="22"/>
        <v>38604.172723200005</v>
      </c>
      <c r="I252" s="92">
        <f>SUMIFS('Assumption-Best'!$E$3:$E$32,'Assumption-Best'!$A$3:$A$32,$B252,'Assumption-Best'!$B$3:$B$32,$C252)</f>
        <v>0.22</v>
      </c>
      <c r="J252" s="14">
        <f t="shared" si="23"/>
        <v>8492.9179991040019</v>
      </c>
      <c r="K252" s="95">
        <f>SUMIFS('Assumption-Best'!$F$3:$F$32,'Assumption-Best'!$A$3:$A$32,$B252,'Assumption-Best'!$B$3:$B$32,$C252)</f>
        <v>1.4999999999999999E-4</v>
      </c>
      <c r="L252" s="14">
        <f t="shared" si="24"/>
        <v>1286.8057574400002</v>
      </c>
      <c r="M252" s="94">
        <f t="shared" si="25"/>
        <v>28824.448966656004</v>
      </c>
      <c r="N252" s="92">
        <f>SUMIFS('Assumption-Best'!$G$3:$G$32,'Assumption-Best'!$A$3:$A$32,$B252,'Assumption-Best'!$B$3:$B$32,$C252)</f>
        <v>0.35</v>
      </c>
      <c r="O252" s="14">
        <f t="shared" si="26"/>
        <v>13511.46045312</v>
      </c>
      <c r="P252" s="94">
        <f t="shared" si="27"/>
        <v>15312.988513536004</v>
      </c>
    </row>
    <row r="253" spans="1:16" x14ac:dyDescent="0.35">
      <c r="A253" s="91" t="str">
        <f>LEFT('2025 actual v budget'!A253,4)&amp;"26"</f>
        <v>Sep-26</v>
      </c>
      <c r="B253" s="12" t="str">
        <f>'2025 actual v budget'!B253</f>
        <v>India</v>
      </c>
      <c r="C253" s="12" t="str">
        <f>'2025 actual v budget'!C253</f>
        <v>Cross-border Payouts</v>
      </c>
      <c r="D253" s="14">
        <f>'2025 actual v budget'!D253</f>
        <v>12103701.18</v>
      </c>
      <c r="E253" s="92">
        <f>SUMIFS('Assumption-Best'!$C$3:$C$32,'Assumption-Best'!$A$3:$A$32,$B253,'Assumption-Best'!$B$3:$B$32,$C253)</f>
        <v>0.24</v>
      </c>
      <c r="F253" s="14">
        <f t="shared" si="21"/>
        <v>15008589.463199999</v>
      </c>
      <c r="G253" s="93">
        <f>SUMIFS('Assumption-Best'!$D$3:$D$32,'Assumption-Best'!$A$3:$A$32,$B253,'Assumption-Best'!$B$3:$B$32,$C253)</f>
        <v>7.4999999999999997E-3</v>
      </c>
      <c r="H253" s="94">
        <f t="shared" si="22"/>
        <v>112564.42097399999</v>
      </c>
      <c r="I253" s="92">
        <f>SUMIFS('Assumption-Best'!$E$3:$E$32,'Assumption-Best'!$A$3:$A$32,$B253,'Assumption-Best'!$B$3:$B$32,$C253)</f>
        <v>0.35</v>
      </c>
      <c r="J253" s="14">
        <f t="shared" si="23"/>
        <v>39397.547340899997</v>
      </c>
      <c r="K253" s="95">
        <f>SUMIFS('Assumption-Best'!$F$3:$F$32,'Assumption-Best'!$A$3:$A$32,$B253,'Assumption-Best'!$B$3:$B$32,$C253)</f>
        <v>1.8000000000000001E-4</v>
      </c>
      <c r="L253" s="14">
        <f t="shared" si="24"/>
        <v>2701.5461033760002</v>
      </c>
      <c r="M253" s="94">
        <f t="shared" si="25"/>
        <v>70465.327529723989</v>
      </c>
      <c r="N253" s="92">
        <f>SUMIFS('Assumption-Best'!$G$3:$G$32,'Assumption-Best'!$A$3:$A$32,$B253,'Assumption-Best'!$B$3:$B$32,$C253)</f>
        <v>0.35</v>
      </c>
      <c r="O253" s="14">
        <f t="shared" si="26"/>
        <v>39397.547340899997</v>
      </c>
      <c r="P253" s="94">
        <f t="shared" si="27"/>
        <v>31067.780188823992</v>
      </c>
    </row>
    <row r="254" spans="1:16" x14ac:dyDescent="0.35">
      <c r="A254" s="91" t="str">
        <f>LEFT('2025 actual v budget'!A254,4)&amp;"26"</f>
        <v>Sep-26</v>
      </c>
      <c r="B254" s="12" t="str">
        <f>'2025 actual v budget'!B254</f>
        <v>India</v>
      </c>
      <c r="C254" s="12" t="str">
        <f>'2025 actual v budget'!C254</f>
        <v>FX Conversion</v>
      </c>
      <c r="D254" s="14">
        <f>'2025 actual v budget'!D254</f>
        <v>18866917.260000002</v>
      </c>
      <c r="E254" s="92">
        <f>SUMIFS('Assumption-Best'!$C$3:$C$32,'Assumption-Best'!$A$3:$A$32,$B254,'Assumption-Best'!$B$3:$B$32,$C254)</f>
        <v>0.24</v>
      </c>
      <c r="F254" s="14">
        <f t="shared" si="21"/>
        <v>23394977.402400002</v>
      </c>
      <c r="G254" s="93">
        <f>SUMIFS('Assumption-Best'!$D$3:$D$32,'Assumption-Best'!$A$3:$A$32,$B254,'Assumption-Best'!$B$3:$B$32,$C254)</f>
        <v>1.0500000000000001E-2</v>
      </c>
      <c r="H254" s="94">
        <f t="shared" si="22"/>
        <v>245647.26272520004</v>
      </c>
      <c r="I254" s="92">
        <f>SUMIFS('Assumption-Best'!$E$3:$E$32,'Assumption-Best'!$A$3:$A$32,$B254,'Assumption-Best'!$B$3:$B$32,$C254)</f>
        <v>0.28000000000000003</v>
      </c>
      <c r="J254" s="14">
        <f t="shared" si="23"/>
        <v>68781.233563056012</v>
      </c>
      <c r="K254" s="95">
        <f>SUMIFS('Assumption-Best'!$F$3:$F$32,'Assumption-Best'!$A$3:$A$32,$B254,'Assumption-Best'!$B$3:$B$32,$C254)</f>
        <v>1.8000000000000001E-4</v>
      </c>
      <c r="L254" s="14">
        <f t="shared" si="24"/>
        <v>4211.0959324320002</v>
      </c>
      <c r="M254" s="94">
        <f t="shared" si="25"/>
        <v>172654.93322971201</v>
      </c>
      <c r="N254" s="92">
        <f>SUMIFS('Assumption-Best'!$G$3:$G$32,'Assumption-Best'!$A$3:$A$32,$B254,'Assumption-Best'!$B$3:$B$32,$C254)</f>
        <v>0.35</v>
      </c>
      <c r="O254" s="14">
        <f t="shared" si="26"/>
        <v>85976.541953820008</v>
      </c>
      <c r="P254" s="94">
        <f t="shared" si="27"/>
        <v>86678.391275892005</v>
      </c>
    </row>
    <row r="255" spans="1:16" x14ac:dyDescent="0.35">
      <c r="A255" s="91" t="str">
        <f>LEFT('2025 actual v budget'!A255,4)&amp;"26"</f>
        <v>Sep-26</v>
      </c>
      <c r="B255" s="12" t="str">
        <f>'2025 actual v budget'!B255</f>
        <v>India</v>
      </c>
      <c r="C255" s="12" t="str">
        <f>'2025 actual v budget'!C255</f>
        <v>Stablecoin Settlement</v>
      </c>
      <c r="D255" s="14">
        <f>'2025 actual v budget'!D255</f>
        <v>28508862.050000001</v>
      </c>
      <c r="E255" s="92">
        <f>SUMIFS('Assumption-Best'!$C$3:$C$32,'Assumption-Best'!$A$3:$A$32,$B255,'Assumption-Best'!$B$3:$B$32,$C255)</f>
        <v>0.48</v>
      </c>
      <c r="F255" s="14">
        <f t="shared" si="21"/>
        <v>42193115.833999999</v>
      </c>
      <c r="G255" s="93">
        <f>SUMIFS('Assumption-Best'!$D$3:$D$32,'Assumption-Best'!$A$3:$A$32,$B255,'Assumption-Best'!$B$3:$B$32,$C255)</f>
        <v>6.4999999999999997E-3</v>
      </c>
      <c r="H255" s="94">
        <f t="shared" si="22"/>
        <v>274255.25292100001</v>
      </c>
      <c r="I255" s="92">
        <f>SUMIFS('Assumption-Best'!$E$3:$E$32,'Assumption-Best'!$A$3:$A$32,$B255,'Assumption-Best'!$B$3:$B$32,$C255)</f>
        <v>0.32</v>
      </c>
      <c r="J255" s="14">
        <f t="shared" si="23"/>
        <v>87761.680934720003</v>
      </c>
      <c r="K255" s="95">
        <f>SUMIFS('Assumption-Best'!$F$3:$F$32,'Assumption-Best'!$A$3:$A$32,$B255,'Assumption-Best'!$B$3:$B$32,$C255)</f>
        <v>1.8000000000000001E-4</v>
      </c>
      <c r="L255" s="14">
        <f t="shared" si="24"/>
        <v>7594.7608501200002</v>
      </c>
      <c r="M255" s="94">
        <f t="shared" si="25"/>
        <v>178898.81113616002</v>
      </c>
      <c r="N255" s="92">
        <f>SUMIFS('Assumption-Best'!$G$3:$G$32,'Assumption-Best'!$A$3:$A$32,$B255,'Assumption-Best'!$B$3:$B$32,$C255)</f>
        <v>0.35</v>
      </c>
      <c r="O255" s="14">
        <f t="shared" si="26"/>
        <v>95989.338522349994</v>
      </c>
      <c r="P255" s="94">
        <f t="shared" si="27"/>
        <v>82909.472613810023</v>
      </c>
    </row>
    <row r="256" spans="1:16" x14ac:dyDescent="0.35">
      <c r="A256" s="91" t="str">
        <f>LEFT('2025 actual v budget'!A256,4)&amp;"26"</f>
        <v>Sep-26</v>
      </c>
      <c r="B256" s="12" t="str">
        <f>'2025 actual v budget'!B256</f>
        <v>India</v>
      </c>
      <c r="C256" s="12" t="str">
        <f>'2025 actual v budget'!C256</f>
        <v>Treasury Yield</v>
      </c>
      <c r="D256" s="14">
        <f>'2025 actual v budget'!D256</f>
        <v>7730469.0700000003</v>
      </c>
      <c r="E256" s="92">
        <f>SUMIFS('Assumption-Best'!$C$3:$C$32,'Assumption-Best'!$A$3:$A$32,$B256,'Assumption-Best'!$B$3:$B$32,$C256)</f>
        <v>0.24</v>
      </c>
      <c r="F256" s="14">
        <f t="shared" si="21"/>
        <v>9585781.6468000002</v>
      </c>
      <c r="G256" s="93">
        <f>SUMIFS('Assumption-Best'!$D$3:$D$32,'Assumption-Best'!$A$3:$A$32,$B256,'Assumption-Best'!$B$3:$B$32,$C256)</f>
        <v>3.0000000000000001E-3</v>
      </c>
      <c r="H256" s="94">
        <f t="shared" si="22"/>
        <v>28757.344940400002</v>
      </c>
      <c r="I256" s="92">
        <f>SUMIFS('Assumption-Best'!$E$3:$E$32,'Assumption-Best'!$A$3:$A$32,$B256,'Assumption-Best'!$B$3:$B$32,$C256)</f>
        <v>0.18</v>
      </c>
      <c r="J256" s="14">
        <f t="shared" si="23"/>
        <v>5176.3220892720001</v>
      </c>
      <c r="K256" s="95">
        <f>SUMIFS('Assumption-Best'!$F$3:$F$32,'Assumption-Best'!$A$3:$A$32,$B256,'Assumption-Best'!$B$3:$B$32,$C256)</f>
        <v>1.8000000000000001E-4</v>
      </c>
      <c r="L256" s="14">
        <f t="shared" si="24"/>
        <v>1725.4406964240002</v>
      </c>
      <c r="M256" s="94">
        <f t="shared" si="25"/>
        <v>21855.582154704</v>
      </c>
      <c r="N256" s="92">
        <f>SUMIFS('Assumption-Best'!$G$3:$G$32,'Assumption-Best'!$A$3:$A$32,$B256,'Assumption-Best'!$B$3:$B$32,$C256)</f>
        <v>0.35</v>
      </c>
      <c r="O256" s="14">
        <f t="shared" si="26"/>
        <v>10065.070729139999</v>
      </c>
      <c r="P256" s="94">
        <f t="shared" si="27"/>
        <v>11790.511425564</v>
      </c>
    </row>
    <row r="257" spans="1:16" x14ac:dyDescent="0.35">
      <c r="A257" s="91" t="str">
        <f>LEFT('2025 actual v budget'!A257,4)&amp;"26"</f>
        <v>Sep-26</v>
      </c>
      <c r="B257" s="12" t="str">
        <f>'2025 actual v budget'!B257</f>
        <v>India</v>
      </c>
      <c r="C257" s="12" t="str">
        <f>'2025 actual v budget'!C257</f>
        <v>Virtual Accounts</v>
      </c>
      <c r="D257" s="14">
        <f>'2025 actual v budget'!D257</f>
        <v>11387703.16</v>
      </c>
      <c r="E257" s="92">
        <f>SUMIFS('Assumption-Best'!$C$3:$C$32,'Assumption-Best'!$A$3:$A$32,$B257,'Assumption-Best'!$B$3:$B$32,$C257)</f>
        <v>0.24</v>
      </c>
      <c r="F257" s="14">
        <f t="shared" si="21"/>
        <v>14120751.918400001</v>
      </c>
      <c r="G257" s="93">
        <f>SUMIFS('Assumption-Best'!$D$3:$D$32,'Assumption-Best'!$A$3:$A$32,$B257,'Assumption-Best'!$B$3:$B$32,$C257)</f>
        <v>4.4999999999999997E-3</v>
      </c>
      <c r="H257" s="94">
        <f t="shared" si="22"/>
        <v>63543.383632799996</v>
      </c>
      <c r="I257" s="92">
        <f>SUMIFS('Assumption-Best'!$E$3:$E$32,'Assumption-Best'!$A$3:$A$32,$B257,'Assumption-Best'!$B$3:$B$32,$C257)</f>
        <v>0.22</v>
      </c>
      <c r="J257" s="14">
        <f t="shared" si="23"/>
        <v>13979.544399216</v>
      </c>
      <c r="K257" s="95">
        <f>SUMIFS('Assumption-Best'!$F$3:$F$32,'Assumption-Best'!$A$3:$A$32,$B257,'Assumption-Best'!$B$3:$B$32,$C257)</f>
        <v>1.8000000000000001E-4</v>
      </c>
      <c r="L257" s="14">
        <f t="shared" si="24"/>
        <v>2541.7353453120004</v>
      </c>
      <c r="M257" s="94">
        <f t="shared" si="25"/>
        <v>47022.103888271995</v>
      </c>
      <c r="N257" s="92">
        <f>SUMIFS('Assumption-Best'!$G$3:$G$32,'Assumption-Best'!$A$3:$A$32,$B257,'Assumption-Best'!$B$3:$B$32,$C257)</f>
        <v>0.35</v>
      </c>
      <c r="O257" s="14">
        <f t="shared" si="26"/>
        <v>22240.184271479997</v>
      </c>
      <c r="P257" s="94">
        <f t="shared" si="27"/>
        <v>24781.919616791998</v>
      </c>
    </row>
    <row r="258" spans="1:16" x14ac:dyDescent="0.35">
      <c r="A258" s="91" t="str">
        <f>LEFT('2025 actual v budget'!A258,4)&amp;"26"</f>
        <v>Sep-26</v>
      </c>
      <c r="B258" s="12" t="str">
        <f>'2025 actual v budget'!B258</f>
        <v>Mexico</v>
      </c>
      <c r="C258" s="12" t="str">
        <f>'2025 actual v budget'!C258</f>
        <v>Cross-border Payouts</v>
      </c>
      <c r="D258" s="14">
        <f>'2025 actual v budget'!D258</f>
        <v>14251837.970000001</v>
      </c>
      <c r="E258" s="92">
        <f>SUMIFS('Assumption-Best'!$C$3:$C$32,'Assumption-Best'!$A$3:$A$32,$B258,'Assumption-Best'!$B$3:$B$32,$C258)</f>
        <v>0.3</v>
      </c>
      <c r="F258" s="14">
        <f t="shared" si="21"/>
        <v>18527389.361000001</v>
      </c>
      <c r="G258" s="93">
        <f>SUMIFS('Assumption-Best'!$D$3:$D$32,'Assumption-Best'!$A$3:$A$32,$B258,'Assumption-Best'!$B$3:$B$32,$C258)</f>
        <v>7.4999999999999997E-3</v>
      </c>
      <c r="H258" s="94">
        <f t="shared" si="22"/>
        <v>138955.42020749999</v>
      </c>
      <c r="I258" s="92">
        <f>SUMIFS('Assumption-Best'!$E$3:$E$32,'Assumption-Best'!$A$3:$A$32,$B258,'Assumption-Best'!$B$3:$B$32,$C258)</f>
        <v>0.35</v>
      </c>
      <c r="J258" s="14">
        <f t="shared" si="23"/>
        <v>48634.397072624997</v>
      </c>
      <c r="K258" s="95">
        <f>SUMIFS('Assumption-Best'!$F$3:$F$32,'Assumption-Best'!$A$3:$A$32,$B258,'Assumption-Best'!$B$3:$B$32,$C258)</f>
        <v>8.0000000000000007E-5</v>
      </c>
      <c r="L258" s="14">
        <f t="shared" si="24"/>
        <v>1482.1911488800001</v>
      </c>
      <c r="M258" s="94">
        <f t="shared" si="25"/>
        <v>88838.831985994999</v>
      </c>
      <c r="N258" s="92">
        <f>SUMIFS('Assumption-Best'!$G$3:$G$32,'Assumption-Best'!$A$3:$A$32,$B258,'Assumption-Best'!$B$3:$B$32,$C258)</f>
        <v>0.35</v>
      </c>
      <c r="O258" s="14">
        <f t="shared" si="26"/>
        <v>48634.397072624997</v>
      </c>
      <c r="P258" s="94">
        <f t="shared" si="27"/>
        <v>40204.434913370002</v>
      </c>
    </row>
    <row r="259" spans="1:16" x14ac:dyDescent="0.35">
      <c r="A259" s="91" t="str">
        <f>LEFT('2025 actual v budget'!A259,4)&amp;"26"</f>
        <v>Sep-26</v>
      </c>
      <c r="B259" s="12" t="str">
        <f>'2025 actual v budget'!B259</f>
        <v>Mexico</v>
      </c>
      <c r="C259" s="12" t="str">
        <f>'2025 actual v budget'!C259</f>
        <v>FX Conversion</v>
      </c>
      <c r="D259" s="14">
        <f>'2025 actual v budget'!D259</f>
        <v>22211493.489999998</v>
      </c>
      <c r="E259" s="92">
        <f>SUMIFS('Assumption-Best'!$C$3:$C$32,'Assumption-Best'!$A$3:$A$32,$B259,'Assumption-Best'!$B$3:$B$32,$C259)</f>
        <v>0.3</v>
      </c>
      <c r="F259" s="14">
        <f t="shared" ref="F259:F322" si="28">D259*(1+E259)</f>
        <v>28874941.537</v>
      </c>
      <c r="G259" s="93">
        <f>SUMIFS('Assumption-Best'!$D$3:$D$32,'Assumption-Best'!$A$3:$A$32,$B259,'Assumption-Best'!$B$3:$B$32,$C259)</f>
        <v>1.0500000000000001E-2</v>
      </c>
      <c r="H259" s="94">
        <f t="shared" ref="H259:H322" si="29">F259*G259</f>
        <v>303186.88613850001</v>
      </c>
      <c r="I259" s="92">
        <f>SUMIFS('Assumption-Best'!$E$3:$E$32,'Assumption-Best'!$A$3:$A$32,$B259,'Assumption-Best'!$B$3:$B$32,$C259)</f>
        <v>0.28000000000000003</v>
      </c>
      <c r="J259" s="14">
        <f t="shared" ref="J259:J322" si="30">H259*I259</f>
        <v>84892.328118780017</v>
      </c>
      <c r="K259" s="95">
        <f>SUMIFS('Assumption-Best'!$F$3:$F$32,'Assumption-Best'!$A$3:$A$32,$B259,'Assumption-Best'!$B$3:$B$32,$C259)</f>
        <v>8.0000000000000007E-5</v>
      </c>
      <c r="L259" s="14">
        <f t="shared" ref="L259:L322" si="31">F259*K259</f>
        <v>2309.9953229600001</v>
      </c>
      <c r="M259" s="94">
        <f t="shared" ref="M259:M322" si="32">H259-J259-L259</f>
        <v>215984.56269676</v>
      </c>
      <c r="N259" s="92">
        <f>SUMIFS('Assumption-Best'!$G$3:$G$32,'Assumption-Best'!$A$3:$A$32,$B259,'Assumption-Best'!$B$3:$B$32,$C259)</f>
        <v>0.35</v>
      </c>
      <c r="O259" s="14">
        <f t="shared" ref="O259:O322" si="33">H259*N259</f>
        <v>106115.410148475</v>
      </c>
      <c r="P259" s="94">
        <f t="shared" ref="P259:P322" si="34">M259-O259</f>
        <v>109869.152548285</v>
      </c>
    </row>
    <row r="260" spans="1:16" x14ac:dyDescent="0.35">
      <c r="A260" s="91" t="str">
        <f>LEFT('2025 actual v budget'!A260,4)&amp;"26"</f>
        <v>Sep-26</v>
      </c>
      <c r="B260" s="12" t="str">
        <f>'2025 actual v budget'!B260</f>
        <v>Mexico</v>
      </c>
      <c r="C260" s="12" t="str">
        <f>'2025 actual v budget'!C260</f>
        <v>Stablecoin Settlement</v>
      </c>
      <c r="D260" s="14">
        <f>'2025 actual v budget'!D260</f>
        <v>33568548.719999999</v>
      </c>
      <c r="E260" s="92">
        <f>SUMIFS('Assumption-Best'!$C$3:$C$32,'Assumption-Best'!$A$3:$A$32,$B260,'Assumption-Best'!$B$3:$B$32,$C260)</f>
        <v>0.6</v>
      </c>
      <c r="F260" s="14">
        <f t="shared" si="28"/>
        <v>53709677.952</v>
      </c>
      <c r="G260" s="93">
        <f>SUMIFS('Assumption-Best'!$D$3:$D$32,'Assumption-Best'!$A$3:$A$32,$B260,'Assumption-Best'!$B$3:$B$32,$C260)</f>
        <v>6.4999999999999997E-3</v>
      </c>
      <c r="H260" s="94">
        <f t="shared" si="29"/>
        <v>349112.90668799996</v>
      </c>
      <c r="I260" s="92">
        <f>SUMIFS('Assumption-Best'!$E$3:$E$32,'Assumption-Best'!$A$3:$A$32,$B260,'Assumption-Best'!$B$3:$B$32,$C260)</f>
        <v>0.32</v>
      </c>
      <c r="J260" s="14">
        <f t="shared" si="30"/>
        <v>111716.13014015999</v>
      </c>
      <c r="K260" s="95">
        <f>SUMIFS('Assumption-Best'!$F$3:$F$32,'Assumption-Best'!$A$3:$A$32,$B260,'Assumption-Best'!$B$3:$B$32,$C260)</f>
        <v>8.0000000000000007E-5</v>
      </c>
      <c r="L260" s="14">
        <f t="shared" si="31"/>
        <v>4296.7742361600003</v>
      </c>
      <c r="M260" s="94">
        <f t="shared" si="32"/>
        <v>233100.00231167997</v>
      </c>
      <c r="N260" s="92">
        <f>SUMIFS('Assumption-Best'!$G$3:$G$32,'Assumption-Best'!$A$3:$A$32,$B260,'Assumption-Best'!$B$3:$B$32,$C260)</f>
        <v>0.35</v>
      </c>
      <c r="O260" s="14">
        <f t="shared" si="33"/>
        <v>122189.51734079998</v>
      </c>
      <c r="P260" s="94">
        <f t="shared" si="34"/>
        <v>110910.48497087999</v>
      </c>
    </row>
    <row r="261" spans="1:16" x14ac:dyDescent="0.35">
      <c r="A261" s="91" t="str">
        <f>LEFT('2025 actual v budget'!A261,4)&amp;"26"</f>
        <v>Sep-26</v>
      </c>
      <c r="B261" s="12" t="str">
        <f>'2025 actual v budget'!B261</f>
        <v>Mexico</v>
      </c>
      <c r="C261" s="12" t="str">
        <f>'2025 actual v budget'!C261</f>
        <v>Treasury Yield</v>
      </c>
      <c r="D261" s="14">
        <f>'2025 actual v budget'!D261</f>
        <v>9100864.8200000003</v>
      </c>
      <c r="E261" s="92">
        <f>SUMIFS('Assumption-Best'!$C$3:$C$32,'Assumption-Best'!$A$3:$A$32,$B261,'Assumption-Best'!$B$3:$B$32,$C261)</f>
        <v>0.3</v>
      </c>
      <c r="F261" s="14">
        <f t="shared" si="28"/>
        <v>11831124.266000001</v>
      </c>
      <c r="G261" s="93">
        <f>SUMIFS('Assumption-Best'!$D$3:$D$32,'Assumption-Best'!$A$3:$A$32,$B261,'Assumption-Best'!$B$3:$B$32,$C261)</f>
        <v>3.0000000000000001E-3</v>
      </c>
      <c r="H261" s="94">
        <f t="shared" si="29"/>
        <v>35493.372798000004</v>
      </c>
      <c r="I261" s="92">
        <f>SUMIFS('Assumption-Best'!$E$3:$E$32,'Assumption-Best'!$A$3:$A$32,$B261,'Assumption-Best'!$B$3:$B$32,$C261)</f>
        <v>0.18</v>
      </c>
      <c r="J261" s="14">
        <f t="shared" si="30"/>
        <v>6388.8071036400006</v>
      </c>
      <c r="K261" s="95">
        <f>SUMIFS('Assumption-Best'!$F$3:$F$32,'Assumption-Best'!$A$3:$A$32,$B261,'Assumption-Best'!$B$3:$B$32,$C261)</f>
        <v>8.0000000000000007E-5</v>
      </c>
      <c r="L261" s="14">
        <f t="shared" si="31"/>
        <v>946.48994128000015</v>
      </c>
      <c r="M261" s="94">
        <f t="shared" si="32"/>
        <v>28158.075753080004</v>
      </c>
      <c r="N261" s="92">
        <f>SUMIFS('Assumption-Best'!$G$3:$G$32,'Assumption-Best'!$A$3:$A$32,$B261,'Assumption-Best'!$B$3:$B$32,$C261)</f>
        <v>0.35</v>
      </c>
      <c r="O261" s="14">
        <f t="shared" si="33"/>
        <v>12422.680479300001</v>
      </c>
      <c r="P261" s="94">
        <f t="shared" si="34"/>
        <v>15735.395273780003</v>
      </c>
    </row>
    <row r="262" spans="1:16" x14ac:dyDescent="0.35">
      <c r="A262" s="91" t="str">
        <f>LEFT('2025 actual v budget'!A262,4)&amp;"26"</f>
        <v>Sep-26</v>
      </c>
      <c r="B262" s="12" t="str">
        <f>'2025 actual v budget'!B262</f>
        <v>Mexico</v>
      </c>
      <c r="C262" s="12" t="str">
        <f>'2025 actual v budget'!C262</f>
        <v>Virtual Accounts</v>
      </c>
      <c r="D262" s="14">
        <f>'2025 actual v budget'!D262</f>
        <v>13406424.119999999</v>
      </c>
      <c r="E262" s="92">
        <f>SUMIFS('Assumption-Best'!$C$3:$C$32,'Assumption-Best'!$A$3:$A$32,$B262,'Assumption-Best'!$B$3:$B$32,$C262)</f>
        <v>0.3</v>
      </c>
      <c r="F262" s="14">
        <f t="shared" si="28"/>
        <v>17428351.355999999</v>
      </c>
      <c r="G262" s="93">
        <f>SUMIFS('Assumption-Best'!$D$3:$D$32,'Assumption-Best'!$A$3:$A$32,$B262,'Assumption-Best'!$B$3:$B$32,$C262)</f>
        <v>4.4999999999999997E-3</v>
      </c>
      <c r="H262" s="94">
        <f t="shared" si="29"/>
        <v>78427.581101999982</v>
      </c>
      <c r="I262" s="92">
        <f>SUMIFS('Assumption-Best'!$E$3:$E$32,'Assumption-Best'!$A$3:$A$32,$B262,'Assumption-Best'!$B$3:$B$32,$C262)</f>
        <v>0.22</v>
      </c>
      <c r="J262" s="14">
        <f t="shared" si="30"/>
        <v>17254.067842439996</v>
      </c>
      <c r="K262" s="95">
        <f>SUMIFS('Assumption-Best'!$F$3:$F$32,'Assumption-Best'!$A$3:$A$32,$B262,'Assumption-Best'!$B$3:$B$32,$C262)</f>
        <v>8.0000000000000007E-5</v>
      </c>
      <c r="L262" s="14">
        <f t="shared" si="31"/>
        <v>1394.2681084799999</v>
      </c>
      <c r="M262" s="94">
        <f t="shared" si="32"/>
        <v>59779.245151079987</v>
      </c>
      <c r="N262" s="92">
        <f>SUMIFS('Assumption-Best'!$G$3:$G$32,'Assumption-Best'!$A$3:$A$32,$B262,'Assumption-Best'!$B$3:$B$32,$C262)</f>
        <v>0.35</v>
      </c>
      <c r="O262" s="14">
        <f t="shared" si="33"/>
        <v>27449.653385699992</v>
      </c>
      <c r="P262" s="94">
        <f t="shared" si="34"/>
        <v>32329.591765379995</v>
      </c>
    </row>
    <row r="263" spans="1:16" x14ac:dyDescent="0.35">
      <c r="A263" s="91" t="str">
        <f>LEFT('2025 actual v budget'!A263,4)&amp;"26"</f>
        <v>Sep-26</v>
      </c>
      <c r="B263" s="12" t="str">
        <f>'2025 actual v budget'!B263</f>
        <v>Singapore</v>
      </c>
      <c r="C263" s="12" t="str">
        <f>'2025 actual v budget'!C263</f>
        <v>Cross-border Payouts</v>
      </c>
      <c r="D263" s="14">
        <f>'2025 actual v budget'!D263</f>
        <v>11109611.689999999</v>
      </c>
      <c r="E263" s="92">
        <f>SUMIFS('Assumption-Best'!$C$3:$C$32,'Assumption-Best'!$A$3:$A$32,$B263,'Assumption-Best'!$B$3:$B$32,$C263)</f>
        <v>0.1</v>
      </c>
      <c r="F263" s="14">
        <f t="shared" si="28"/>
        <v>12220572.859000001</v>
      </c>
      <c r="G263" s="93">
        <f>SUMIFS('Assumption-Best'!$D$3:$D$32,'Assumption-Best'!$A$3:$A$32,$B263,'Assumption-Best'!$B$3:$B$32,$C263)</f>
        <v>7.4999999999999997E-3</v>
      </c>
      <c r="H263" s="94">
        <f t="shared" si="29"/>
        <v>91654.29644250001</v>
      </c>
      <c r="I263" s="92">
        <f>SUMIFS('Assumption-Best'!$E$3:$E$32,'Assumption-Best'!$A$3:$A$32,$B263,'Assumption-Best'!$B$3:$B$32,$C263)</f>
        <v>0.35</v>
      </c>
      <c r="J263" s="14">
        <f t="shared" si="30"/>
        <v>32079.003754875001</v>
      </c>
      <c r="K263" s="95">
        <f>SUMIFS('Assumption-Best'!$F$3:$F$32,'Assumption-Best'!$A$3:$A$32,$B263,'Assumption-Best'!$B$3:$B$32,$C263)</f>
        <v>9.0000000000000006E-5</v>
      </c>
      <c r="L263" s="14">
        <f t="shared" si="31"/>
        <v>1099.8515573100001</v>
      </c>
      <c r="M263" s="94">
        <f t="shared" si="32"/>
        <v>58475.441130315012</v>
      </c>
      <c r="N263" s="92">
        <f>SUMIFS('Assumption-Best'!$G$3:$G$32,'Assumption-Best'!$A$3:$A$32,$B263,'Assumption-Best'!$B$3:$B$32,$C263)</f>
        <v>0.35</v>
      </c>
      <c r="O263" s="14">
        <f t="shared" si="33"/>
        <v>32079.003754875001</v>
      </c>
      <c r="P263" s="94">
        <f t="shared" si="34"/>
        <v>26396.437375440011</v>
      </c>
    </row>
    <row r="264" spans="1:16" x14ac:dyDescent="0.35">
      <c r="A264" s="91" t="str">
        <f>LEFT('2025 actual v budget'!A264,4)&amp;"26"</f>
        <v>Sep-26</v>
      </c>
      <c r="B264" s="12" t="str">
        <f>'2025 actual v budget'!B264</f>
        <v>Singapore</v>
      </c>
      <c r="C264" s="12" t="str">
        <f>'2025 actual v budget'!C264</f>
        <v>FX Conversion</v>
      </c>
      <c r="D264" s="14">
        <f>'2025 actual v budget'!D264</f>
        <v>17305089.09</v>
      </c>
      <c r="E264" s="92">
        <f>SUMIFS('Assumption-Best'!$C$3:$C$32,'Assumption-Best'!$A$3:$A$32,$B264,'Assumption-Best'!$B$3:$B$32,$C264)</f>
        <v>0.1</v>
      </c>
      <c r="F264" s="14">
        <f t="shared" si="28"/>
        <v>19035597.999000002</v>
      </c>
      <c r="G264" s="93">
        <f>SUMIFS('Assumption-Best'!$D$3:$D$32,'Assumption-Best'!$A$3:$A$32,$B264,'Assumption-Best'!$B$3:$B$32,$C264)</f>
        <v>1.0500000000000001E-2</v>
      </c>
      <c r="H264" s="94">
        <f t="shared" si="29"/>
        <v>199873.77898950002</v>
      </c>
      <c r="I264" s="92">
        <f>SUMIFS('Assumption-Best'!$E$3:$E$32,'Assumption-Best'!$A$3:$A$32,$B264,'Assumption-Best'!$B$3:$B$32,$C264)</f>
        <v>0.28000000000000003</v>
      </c>
      <c r="J264" s="14">
        <f t="shared" si="30"/>
        <v>55964.658117060011</v>
      </c>
      <c r="K264" s="95">
        <f>SUMIFS('Assumption-Best'!$F$3:$F$32,'Assumption-Best'!$A$3:$A$32,$B264,'Assumption-Best'!$B$3:$B$32,$C264)</f>
        <v>9.0000000000000006E-5</v>
      </c>
      <c r="L264" s="14">
        <f t="shared" si="31"/>
        <v>1713.2038199100002</v>
      </c>
      <c r="M264" s="94">
        <f t="shared" si="32"/>
        <v>142195.91705252999</v>
      </c>
      <c r="N264" s="92">
        <f>SUMIFS('Assumption-Best'!$G$3:$G$32,'Assumption-Best'!$A$3:$A$32,$B264,'Assumption-Best'!$B$3:$B$32,$C264)</f>
        <v>0.35</v>
      </c>
      <c r="O264" s="14">
        <f t="shared" si="33"/>
        <v>69955.822646325003</v>
      </c>
      <c r="P264" s="94">
        <f t="shared" si="34"/>
        <v>72240.094406204982</v>
      </c>
    </row>
    <row r="265" spans="1:16" x14ac:dyDescent="0.35">
      <c r="A265" s="91" t="str">
        <f>LEFT('2025 actual v budget'!A265,4)&amp;"26"</f>
        <v>Sep-26</v>
      </c>
      <c r="B265" s="12" t="str">
        <f>'2025 actual v budget'!B265</f>
        <v>Singapore</v>
      </c>
      <c r="C265" s="12" t="str">
        <f>'2025 actual v budget'!C265</f>
        <v>Stablecoin Settlement</v>
      </c>
      <c r="D265" s="14">
        <f>'2025 actual v budget'!D265</f>
        <v>26167399.760000002</v>
      </c>
      <c r="E265" s="92">
        <f>SUMIFS('Assumption-Best'!$C$3:$C$32,'Assumption-Best'!$A$3:$A$32,$B265,'Assumption-Best'!$B$3:$B$32,$C265)</f>
        <v>0.2</v>
      </c>
      <c r="F265" s="14">
        <f t="shared" si="28"/>
        <v>31400879.712000001</v>
      </c>
      <c r="G265" s="93">
        <f>SUMIFS('Assumption-Best'!$D$3:$D$32,'Assumption-Best'!$A$3:$A$32,$B265,'Assumption-Best'!$B$3:$B$32,$C265)</f>
        <v>6.4999999999999997E-3</v>
      </c>
      <c r="H265" s="94">
        <f t="shared" si="29"/>
        <v>204105.71812800001</v>
      </c>
      <c r="I265" s="92">
        <f>SUMIFS('Assumption-Best'!$E$3:$E$32,'Assumption-Best'!$A$3:$A$32,$B265,'Assumption-Best'!$B$3:$B$32,$C265)</f>
        <v>0.32</v>
      </c>
      <c r="J265" s="14">
        <f t="shared" si="30"/>
        <v>65313.829800960004</v>
      </c>
      <c r="K265" s="95">
        <f>SUMIFS('Assumption-Best'!$F$3:$F$32,'Assumption-Best'!$A$3:$A$32,$B265,'Assumption-Best'!$B$3:$B$32,$C265)</f>
        <v>9.0000000000000006E-5</v>
      </c>
      <c r="L265" s="14">
        <f t="shared" si="31"/>
        <v>2826.0791740800005</v>
      </c>
      <c r="M265" s="94">
        <f t="shared" si="32"/>
        <v>135965.80915296002</v>
      </c>
      <c r="N265" s="92">
        <f>SUMIFS('Assumption-Best'!$G$3:$G$32,'Assumption-Best'!$A$3:$A$32,$B265,'Assumption-Best'!$B$3:$B$32,$C265)</f>
        <v>0.35</v>
      </c>
      <c r="O265" s="14">
        <f t="shared" si="33"/>
        <v>71437.001344799995</v>
      </c>
      <c r="P265" s="94">
        <f t="shared" si="34"/>
        <v>64528.807808160025</v>
      </c>
    </row>
    <row r="266" spans="1:16" x14ac:dyDescent="0.35">
      <c r="A266" s="91" t="str">
        <f>LEFT('2025 actual v budget'!A266,4)&amp;"26"</f>
        <v>Sep-26</v>
      </c>
      <c r="B266" s="12" t="str">
        <f>'2025 actual v budget'!B266</f>
        <v>Singapore</v>
      </c>
      <c r="C266" s="12" t="str">
        <f>'2025 actual v budget'!C266</f>
        <v>Treasury Yield</v>
      </c>
      <c r="D266" s="14">
        <f>'2025 actual v budget'!D266</f>
        <v>7090530.7000000002</v>
      </c>
      <c r="E266" s="92">
        <f>SUMIFS('Assumption-Best'!$C$3:$C$32,'Assumption-Best'!$A$3:$A$32,$B266,'Assumption-Best'!$B$3:$B$32,$C266)</f>
        <v>0.1</v>
      </c>
      <c r="F266" s="14">
        <f t="shared" si="28"/>
        <v>7799583.7700000005</v>
      </c>
      <c r="G266" s="93">
        <f>SUMIFS('Assumption-Best'!$D$3:$D$32,'Assumption-Best'!$A$3:$A$32,$B266,'Assumption-Best'!$B$3:$B$32,$C266)</f>
        <v>3.0000000000000001E-3</v>
      </c>
      <c r="H266" s="94">
        <f t="shared" si="29"/>
        <v>23398.751310000003</v>
      </c>
      <c r="I266" s="92">
        <f>SUMIFS('Assumption-Best'!$E$3:$E$32,'Assumption-Best'!$A$3:$A$32,$B266,'Assumption-Best'!$B$3:$B$32,$C266)</f>
        <v>0.18</v>
      </c>
      <c r="J266" s="14">
        <f t="shared" si="30"/>
        <v>4211.7752358000007</v>
      </c>
      <c r="K266" s="95">
        <f>SUMIFS('Assumption-Best'!$F$3:$F$32,'Assumption-Best'!$A$3:$A$32,$B266,'Assumption-Best'!$B$3:$B$32,$C266)</f>
        <v>9.0000000000000006E-5</v>
      </c>
      <c r="L266" s="14">
        <f t="shared" si="31"/>
        <v>701.96253930000012</v>
      </c>
      <c r="M266" s="94">
        <f t="shared" si="32"/>
        <v>18485.013534900005</v>
      </c>
      <c r="N266" s="92">
        <f>SUMIFS('Assumption-Best'!$G$3:$G$32,'Assumption-Best'!$A$3:$A$32,$B266,'Assumption-Best'!$B$3:$B$32,$C266)</f>
        <v>0.35</v>
      </c>
      <c r="O266" s="14">
        <f t="shared" si="33"/>
        <v>8189.5629585000006</v>
      </c>
      <c r="P266" s="94">
        <f t="shared" si="34"/>
        <v>10295.450576400004</v>
      </c>
    </row>
    <row r="267" spans="1:16" x14ac:dyDescent="0.35">
      <c r="A267" s="91" t="str">
        <f>LEFT('2025 actual v budget'!A267,4)&amp;"26"</f>
        <v>Sep-26</v>
      </c>
      <c r="B267" s="12" t="str">
        <f>'2025 actual v budget'!B267</f>
        <v>Singapore</v>
      </c>
      <c r="C267" s="12" t="str">
        <f>'2025 actual v budget'!C267</f>
        <v>Virtual Accounts</v>
      </c>
      <c r="D267" s="14">
        <f>'2025 actual v budget'!D267</f>
        <v>10445014.15</v>
      </c>
      <c r="E267" s="92">
        <f>SUMIFS('Assumption-Best'!$C$3:$C$32,'Assumption-Best'!$A$3:$A$32,$B267,'Assumption-Best'!$B$3:$B$32,$C267)</f>
        <v>0.1</v>
      </c>
      <c r="F267" s="14">
        <f t="shared" si="28"/>
        <v>11489515.565000001</v>
      </c>
      <c r="G267" s="93">
        <f>SUMIFS('Assumption-Best'!$D$3:$D$32,'Assumption-Best'!$A$3:$A$32,$B267,'Assumption-Best'!$B$3:$B$32,$C267)</f>
        <v>4.4999999999999997E-3</v>
      </c>
      <c r="H267" s="94">
        <f t="shared" si="29"/>
        <v>51702.820042500003</v>
      </c>
      <c r="I267" s="92">
        <f>SUMIFS('Assumption-Best'!$E$3:$E$32,'Assumption-Best'!$A$3:$A$32,$B267,'Assumption-Best'!$B$3:$B$32,$C267)</f>
        <v>0.22</v>
      </c>
      <c r="J267" s="14">
        <f t="shared" si="30"/>
        <v>11374.62040935</v>
      </c>
      <c r="K267" s="95">
        <f>SUMIFS('Assumption-Best'!$F$3:$F$32,'Assumption-Best'!$A$3:$A$32,$B267,'Assumption-Best'!$B$3:$B$32,$C267)</f>
        <v>9.0000000000000006E-5</v>
      </c>
      <c r="L267" s="14">
        <f t="shared" si="31"/>
        <v>1034.0564008500003</v>
      </c>
      <c r="M267" s="94">
        <f t="shared" si="32"/>
        <v>39294.143232300004</v>
      </c>
      <c r="N267" s="92">
        <f>SUMIFS('Assumption-Best'!$G$3:$G$32,'Assumption-Best'!$A$3:$A$32,$B267,'Assumption-Best'!$B$3:$B$32,$C267)</f>
        <v>0.35</v>
      </c>
      <c r="O267" s="14">
        <f t="shared" si="33"/>
        <v>18095.987014875001</v>
      </c>
      <c r="P267" s="94">
        <f t="shared" si="34"/>
        <v>21198.156217425003</v>
      </c>
    </row>
    <row r="268" spans="1:16" x14ac:dyDescent="0.35">
      <c r="A268" s="91" t="str">
        <f>LEFT('2025 actual v budget'!A268,4)&amp;"26"</f>
        <v>Sep-26</v>
      </c>
      <c r="B268" s="12" t="str">
        <f>'2025 actual v budget'!B268</f>
        <v>USA</v>
      </c>
      <c r="C268" s="12" t="str">
        <f>'2025 actual v budget'!C268</f>
        <v>Cross-border Payouts</v>
      </c>
      <c r="D268" s="14">
        <f>'2025 actual v budget'!D268</f>
        <v>26738288.43</v>
      </c>
      <c r="E268" s="92">
        <f>SUMIFS('Assumption-Best'!$C$3:$C$32,'Assumption-Best'!$A$3:$A$32,$B268,'Assumption-Best'!$B$3:$B$32,$C268)</f>
        <v>0.2</v>
      </c>
      <c r="F268" s="14">
        <f t="shared" si="28"/>
        <v>32085946.115999997</v>
      </c>
      <c r="G268" s="93">
        <f>SUMIFS('Assumption-Best'!$D$3:$D$32,'Assumption-Best'!$A$3:$A$32,$B268,'Assumption-Best'!$B$3:$B$32,$C268)</f>
        <v>7.4999999999999997E-3</v>
      </c>
      <c r="H268" s="94">
        <f t="shared" si="29"/>
        <v>240644.59586999996</v>
      </c>
      <c r="I268" s="92">
        <f>SUMIFS('Assumption-Best'!$E$3:$E$32,'Assumption-Best'!$A$3:$A$32,$B268,'Assumption-Best'!$B$3:$B$32,$C268)</f>
        <v>0.35</v>
      </c>
      <c r="J268" s="14">
        <f t="shared" si="30"/>
        <v>84225.608554499981</v>
      </c>
      <c r="K268" s="95">
        <f>SUMIFS('Assumption-Best'!$F$3:$F$32,'Assumption-Best'!$A$3:$A$32,$B268,'Assumption-Best'!$B$3:$B$32,$C268)</f>
        <v>2.0000000000000001E-4</v>
      </c>
      <c r="L268" s="14">
        <f t="shared" si="31"/>
        <v>6417.1892232</v>
      </c>
      <c r="M268" s="94">
        <f t="shared" si="32"/>
        <v>150001.79809229999</v>
      </c>
      <c r="N268" s="92">
        <f>SUMIFS('Assumption-Best'!$G$3:$G$32,'Assumption-Best'!$A$3:$A$32,$B268,'Assumption-Best'!$B$3:$B$32,$C268)</f>
        <v>0.35</v>
      </c>
      <c r="O268" s="14">
        <f t="shared" si="33"/>
        <v>84225.608554499981</v>
      </c>
      <c r="P268" s="94">
        <f t="shared" si="34"/>
        <v>65776.189537800004</v>
      </c>
    </row>
    <row r="269" spans="1:16" x14ac:dyDescent="0.35">
      <c r="A269" s="91" t="str">
        <f>LEFT('2025 actual v budget'!A269,4)&amp;"26"</f>
        <v>Sep-26</v>
      </c>
      <c r="B269" s="12" t="str">
        <f>'2025 actual v budget'!B269</f>
        <v>USA</v>
      </c>
      <c r="C269" s="12" t="str">
        <f>'2025 actual v budget'!C269</f>
        <v>FX Conversion</v>
      </c>
      <c r="D269" s="14">
        <f>'2025 actual v budget'!D269</f>
        <v>41641827.340000004</v>
      </c>
      <c r="E269" s="92">
        <f>SUMIFS('Assumption-Best'!$C$3:$C$32,'Assumption-Best'!$A$3:$A$32,$B269,'Assumption-Best'!$B$3:$B$32,$C269)</f>
        <v>0.2</v>
      </c>
      <c r="F269" s="14">
        <f t="shared" si="28"/>
        <v>49970192.808000006</v>
      </c>
      <c r="G269" s="93">
        <f>SUMIFS('Assumption-Best'!$D$3:$D$32,'Assumption-Best'!$A$3:$A$32,$B269,'Assumption-Best'!$B$3:$B$32,$C269)</f>
        <v>1.0500000000000001E-2</v>
      </c>
      <c r="H269" s="94">
        <f t="shared" si="29"/>
        <v>524687.02448400005</v>
      </c>
      <c r="I269" s="92">
        <f>SUMIFS('Assumption-Best'!$E$3:$E$32,'Assumption-Best'!$A$3:$A$32,$B269,'Assumption-Best'!$B$3:$B$32,$C269)</f>
        <v>0.28000000000000003</v>
      </c>
      <c r="J269" s="14">
        <f t="shared" si="30"/>
        <v>146912.36685552003</v>
      </c>
      <c r="K269" s="95">
        <f>SUMIFS('Assumption-Best'!$F$3:$F$32,'Assumption-Best'!$A$3:$A$32,$B269,'Assumption-Best'!$B$3:$B$32,$C269)</f>
        <v>2.0000000000000001E-4</v>
      </c>
      <c r="L269" s="14">
        <f t="shared" si="31"/>
        <v>9994.0385616000021</v>
      </c>
      <c r="M269" s="94">
        <f t="shared" si="32"/>
        <v>367780.61906687997</v>
      </c>
      <c r="N269" s="92">
        <f>SUMIFS('Assumption-Best'!$G$3:$G$32,'Assumption-Best'!$A$3:$A$32,$B269,'Assumption-Best'!$B$3:$B$32,$C269)</f>
        <v>0.35</v>
      </c>
      <c r="O269" s="14">
        <f t="shared" si="33"/>
        <v>183640.45856940001</v>
      </c>
      <c r="P269" s="94">
        <f t="shared" si="34"/>
        <v>184140.16049747996</v>
      </c>
    </row>
    <row r="270" spans="1:16" x14ac:dyDescent="0.35">
      <c r="A270" s="91" t="str">
        <f>LEFT('2025 actual v budget'!A270,4)&amp;"26"</f>
        <v>Sep-26</v>
      </c>
      <c r="B270" s="12" t="str">
        <f>'2025 actual v budget'!B270</f>
        <v>USA</v>
      </c>
      <c r="C270" s="12" t="str">
        <f>'2025 actual v budget'!C270</f>
        <v>Stablecoin Settlement</v>
      </c>
      <c r="D270" s="14">
        <f>'2025 actual v budget'!D270</f>
        <v>62978932.25</v>
      </c>
      <c r="E270" s="92">
        <f>SUMIFS('Assumption-Best'!$C$3:$C$32,'Assumption-Best'!$A$3:$A$32,$B270,'Assumption-Best'!$B$3:$B$32,$C270)</f>
        <v>0.4</v>
      </c>
      <c r="F270" s="14">
        <f t="shared" si="28"/>
        <v>88170505.149999991</v>
      </c>
      <c r="G270" s="93">
        <f>SUMIFS('Assumption-Best'!$D$3:$D$32,'Assumption-Best'!$A$3:$A$32,$B270,'Assumption-Best'!$B$3:$B$32,$C270)</f>
        <v>6.4999999999999997E-3</v>
      </c>
      <c r="H270" s="94">
        <f t="shared" si="29"/>
        <v>573108.28347499995</v>
      </c>
      <c r="I270" s="92">
        <f>SUMIFS('Assumption-Best'!$E$3:$E$32,'Assumption-Best'!$A$3:$A$32,$B270,'Assumption-Best'!$B$3:$B$32,$C270)</f>
        <v>0.32</v>
      </c>
      <c r="J270" s="14">
        <f t="shared" si="30"/>
        <v>183394.65071199997</v>
      </c>
      <c r="K270" s="95">
        <f>SUMIFS('Assumption-Best'!$F$3:$F$32,'Assumption-Best'!$A$3:$A$32,$B270,'Assumption-Best'!$B$3:$B$32,$C270)</f>
        <v>2.0000000000000001E-4</v>
      </c>
      <c r="L270" s="14">
        <f t="shared" si="31"/>
        <v>17634.101029999998</v>
      </c>
      <c r="M270" s="94">
        <f t="shared" si="32"/>
        <v>372079.53173299995</v>
      </c>
      <c r="N270" s="92">
        <f>SUMIFS('Assumption-Best'!$G$3:$G$32,'Assumption-Best'!$A$3:$A$32,$B270,'Assumption-Best'!$B$3:$B$32,$C270)</f>
        <v>0.35</v>
      </c>
      <c r="O270" s="14">
        <f t="shared" si="33"/>
        <v>200587.89921624996</v>
      </c>
      <c r="P270" s="94">
        <f t="shared" si="34"/>
        <v>171491.63251674999</v>
      </c>
    </row>
    <row r="271" spans="1:16" x14ac:dyDescent="0.35">
      <c r="A271" s="91" t="str">
        <f>LEFT('2025 actual v budget'!A271,4)&amp;"26"</f>
        <v>Sep-26</v>
      </c>
      <c r="B271" s="12" t="str">
        <f>'2025 actual v budget'!B271</f>
        <v>USA</v>
      </c>
      <c r="C271" s="12" t="str">
        <f>'2025 actual v budget'!C271</f>
        <v>Treasury Yield</v>
      </c>
      <c r="D271" s="14">
        <f>'2025 actual v budget'!D271</f>
        <v>17062186.370000001</v>
      </c>
      <c r="E271" s="92">
        <f>SUMIFS('Assumption-Best'!$C$3:$C$32,'Assumption-Best'!$A$3:$A$32,$B271,'Assumption-Best'!$B$3:$B$32,$C271)</f>
        <v>0.2</v>
      </c>
      <c r="F271" s="14">
        <f t="shared" si="28"/>
        <v>20474623.644000001</v>
      </c>
      <c r="G271" s="93">
        <f>SUMIFS('Assumption-Best'!$D$3:$D$32,'Assumption-Best'!$A$3:$A$32,$B271,'Assumption-Best'!$B$3:$B$32,$C271)</f>
        <v>3.0000000000000001E-3</v>
      </c>
      <c r="H271" s="94">
        <f t="shared" si="29"/>
        <v>61423.870932000005</v>
      </c>
      <c r="I271" s="92">
        <f>SUMIFS('Assumption-Best'!$E$3:$E$32,'Assumption-Best'!$A$3:$A$32,$B271,'Assumption-Best'!$B$3:$B$32,$C271)</f>
        <v>0.18</v>
      </c>
      <c r="J271" s="14">
        <f t="shared" si="30"/>
        <v>11056.296767760001</v>
      </c>
      <c r="K271" s="95">
        <f>SUMIFS('Assumption-Best'!$F$3:$F$32,'Assumption-Best'!$A$3:$A$32,$B271,'Assumption-Best'!$B$3:$B$32,$C271)</f>
        <v>2.0000000000000001E-4</v>
      </c>
      <c r="L271" s="14">
        <f t="shared" si="31"/>
        <v>4094.9247288000006</v>
      </c>
      <c r="M271" s="94">
        <f t="shared" si="32"/>
        <v>46272.649435440006</v>
      </c>
      <c r="N271" s="92">
        <f>SUMIFS('Assumption-Best'!$G$3:$G$32,'Assumption-Best'!$A$3:$A$32,$B271,'Assumption-Best'!$B$3:$B$32,$C271)</f>
        <v>0.35</v>
      </c>
      <c r="O271" s="14">
        <f t="shared" si="33"/>
        <v>21498.3548262</v>
      </c>
      <c r="P271" s="94">
        <f t="shared" si="34"/>
        <v>24774.294609240005</v>
      </c>
    </row>
    <row r="272" spans="1:16" x14ac:dyDescent="0.35">
      <c r="A272" s="91" t="str">
        <f>LEFT('2025 actual v budget'!A272,4)&amp;"26"</f>
        <v>Sep-26</v>
      </c>
      <c r="B272" s="12" t="str">
        <f>'2025 actual v budget'!B272</f>
        <v>USA</v>
      </c>
      <c r="C272" s="12" t="str">
        <f>'2025 actual v budget'!C272</f>
        <v>Virtual Accounts</v>
      </c>
      <c r="D272" s="14">
        <f>'2025 actual v budget'!D272</f>
        <v>25134194.559999999</v>
      </c>
      <c r="E272" s="92">
        <f>SUMIFS('Assumption-Best'!$C$3:$C$32,'Assumption-Best'!$A$3:$A$32,$B272,'Assumption-Best'!$B$3:$B$32,$C272)</f>
        <v>0.2</v>
      </c>
      <c r="F272" s="14">
        <f t="shared" si="28"/>
        <v>30161033.471999999</v>
      </c>
      <c r="G272" s="93">
        <f>SUMIFS('Assumption-Best'!$D$3:$D$32,'Assumption-Best'!$A$3:$A$32,$B272,'Assumption-Best'!$B$3:$B$32,$C272)</f>
        <v>4.4999999999999997E-3</v>
      </c>
      <c r="H272" s="94">
        <f t="shared" si="29"/>
        <v>135724.65062399997</v>
      </c>
      <c r="I272" s="92">
        <f>SUMIFS('Assumption-Best'!$E$3:$E$32,'Assumption-Best'!$A$3:$A$32,$B272,'Assumption-Best'!$B$3:$B$32,$C272)</f>
        <v>0.22</v>
      </c>
      <c r="J272" s="14">
        <f t="shared" si="30"/>
        <v>29859.423137279995</v>
      </c>
      <c r="K272" s="95">
        <f>SUMIFS('Assumption-Best'!$F$3:$F$32,'Assumption-Best'!$A$3:$A$32,$B272,'Assumption-Best'!$B$3:$B$32,$C272)</f>
        <v>2.0000000000000001E-4</v>
      </c>
      <c r="L272" s="14">
        <f t="shared" si="31"/>
        <v>6032.2066943999998</v>
      </c>
      <c r="M272" s="94">
        <f t="shared" si="32"/>
        <v>99833.020792319978</v>
      </c>
      <c r="N272" s="92">
        <f>SUMIFS('Assumption-Best'!$G$3:$G$32,'Assumption-Best'!$A$3:$A$32,$B272,'Assumption-Best'!$B$3:$B$32,$C272)</f>
        <v>0.35</v>
      </c>
      <c r="O272" s="14">
        <f t="shared" si="33"/>
        <v>47503.627718399985</v>
      </c>
      <c r="P272" s="94">
        <f t="shared" si="34"/>
        <v>52329.393073919993</v>
      </c>
    </row>
    <row r="273" spans="1:16" x14ac:dyDescent="0.35">
      <c r="A273" s="96" t="str">
        <f>LEFT('2025 actual v budget'!A273,4)&amp;"26"</f>
        <v>Oct-26</v>
      </c>
      <c r="B273" s="17" t="str">
        <f>'2025 actual v budget'!B273</f>
        <v>Brazil</v>
      </c>
      <c r="C273" s="17" t="str">
        <f>'2025 actual v budget'!C273</f>
        <v>Cross-border Payouts</v>
      </c>
      <c r="D273" s="19">
        <f>'2025 actual v budget'!D273</f>
        <v>18261351.789999999</v>
      </c>
      <c r="E273" s="97">
        <f>SUMIFS('Assumption-Best'!$C$3:$C$32,'Assumption-Best'!$A$3:$A$32,$B273,'Assumption-Best'!$B$3:$B$32,$C273)</f>
        <v>0.4</v>
      </c>
      <c r="F273" s="19">
        <f t="shared" si="28"/>
        <v>25565892.505999997</v>
      </c>
      <c r="G273" s="98">
        <f>SUMIFS('Assumption-Best'!$D$3:$D$32,'Assumption-Best'!$A$3:$A$32,$B273,'Assumption-Best'!$B$3:$B$32,$C273)</f>
        <v>7.4999999999999997E-3</v>
      </c>
      <c r="H273" s="99">
        <f t="shared" si="29"/>
        <v>191744.19379499997</v>
      </c>
      <c r="I273" s="97">
        <f>SUMIFS('Assumption-Best'!$E$3:$E$32,'Assumption-Best'!$A$3:$A$32,$B273,'Assumption-Best'!$B$3:$B$32,$C273)</f>
        <v>0.35</v>
      </c>
      <c r="J273" s="19">
        <f t="shared" si="30"/>
        <v>67110.467828249981</v>
      </c>
      <c r="K273" s="100">
        <f>SUMIFS('Assumption-Best'!$F$3:$F$32,'Assumption-Best'!$A$3:$A$32,$B273,'Assumption-Best'!$B$3:$B$32,$C273)</f>
        <v>6.9999999999999994E-5</v>
      </c>
      <c r="L273" s="19">
        <f t="shared" si="31"/>
        <v>1789.6124754199996</v>
      </c>
      <c r="M273" s="99">
        <f t="shared" si="32"/>
        <v>122844.11349132999</v>
      </c>
      <c r="N273" s="97">
        <f>SUMIFS('Assumption-Best'!$G$3:$G$32,'Assumption-Best'!$A$3:$A$32,$B273,'Assumption-Best'!$B$3:$B$32,$C273)</f>
        <v>0.35</v>
      </c>
      <c r="O273" s="19">
        <f t="shared" si="33"/>
        <v>67110.467828249981</v>
      </c>
      <c r="P273" s="99">
        <f t="shared" si="34"/>
        <v>55733.645663080009</v>
      </c>
    </row>
    <row r="274" spans="1:16" x14ac:dyDescent="0.35">
      <c r="A274" s="96" t="str">
        <f>LEFT('2025 actual v budget'!A274,4)&amp;"26"</f>
        <v>Oct-26</v>
      </c>
      <c r="B274" s="17" t="str">
        <f>'2025 actual v budget'!B274</f>
        <v>Brazil</v>
      </c>
      <c r="C274" s="17" t="str">
        <f>'2025 actual v budget'!C274</f>
        <v>FX Conversion</v>
      </c>
      <c r="D274" s="19">
        <f>'2025 actual v budget'!D274</f>
        <v>28378221.93</v>
      </c>
      <c r="E274" s="97">
        <f>SUMIFS('Assumption-Best'!$C$3:$C$32,'Assumption-Best'!$A$3:$A$32,$B274,'Assumption-Best'!$B$3:$B$32,$C274)</f>
        <v>0.4</v>
      </c>
      <c r="F274" s="19">
        <f t="shared" si="28"/>
        <v>39729510.702</v>
      </c>
      <c r="G274" s="98">
        <f>SUMIFS('Assumption-Best'!$D$3:$D$32,'Assumption-Best'!$A$3:$A$32,$B274,'Assumption-Best'!$B$3:$B$32,$C274)</f>
        <v>1.0500000000000001E-2</v>
      </c>
      <c r="H274" s="99">
        <f t="shared" si="29"/>
        <v>417159.862371</v>
      </c>
      <c r="I274" s="97">
        <f>SUMIFS('Assumption-Best'!$E$3:$E$32,'Assumption-Best'!$A$3:$A$32,$B274,'Assumption-Best'!$B$3:$B$32,$C274)</f>
        <v>0.28000000000000003</v>
      </c>
      <c r="J274" s="19">
        <f t="shared" si="30"/>
        <v>116804.76146388002</v>
      </c>
      <c r="K274" s="100">
        <f>SUMIFS('Assumption-Best'!$F$3:$F$32,'Assumption-Best'!$A$3:$A$32,$B274,'Assumption-Best'!$B$3:$B$32,$C274)</f>
        <v>6.9999999999999994E-5</v>
      </c>
      <c r="L274" s="19">
        <f t="shared" si="31"/>
        <v>2781.0657491399998</v>
      </c>
      <c r="M274" s="99">
        <f t="shared" si="32"/>
        <v>297574.03515797999</v>
      </c>
      <c r="N274" s="97">
        <f>SUMIFS('Assumption-Best'!$G$3:$G$32,'Assumption-Best'!$A$3:$A$32,$B274,'Assumption-Best'!$B$3:$B$32,$C274)</f>
        <v>0.35</v>
      </c>
      <c r="O274" s="19">
        <f t="shared" si="33"/>
        <v>146005.95182984998</v>
      </c>
      <c r="P274" s="99">
        <f t="shared" si="34"/>
        <v>151568.08332813001</v>
      </c>
    </row>
    <row r="275" spans="1:16" x14ac:dyDescent="0.35">
      <c r="A275" s="96" t="str">
        <f>LEFT('2025 actual v budget'!A275,4)&amp;"26"</f>
        <v>Oct-26</v>
      </c>
      <c r="B275" s="17" t="str">
        <f>'2025 actual v budget'!B275</f>
        <v>Brazil</v>
      </c>
      <c r="C275" s="17" t="str">
        <f>'2025 actual v budget'!C275</f>
        <v>Stablecoin Settlement</v>
      </c>
      <c r="D275" s="19">
        <f>'2025 actual v budget'!D275</f>
        <v>43539070.280000001</v>
      </c>
      <c r="E275" s="97">
        <f>SUMIFS('Assumption-Best'!$C$3:$C$32,'Assumption-Best'!$A$3:$A$32,$B275,'Assumption-Best'!$B$3:$B$32,$C275)</f>
        <v>0.8</v>
      </c>
      <c r="F275" s="19">
        <f t="shared" si="28"/>
        <v>78370326.504000008</v>
      </c>
      <c r="G275" s="98">
        <f>SUMIFS('Assumption-Best'!$D$3:$D$32,'Assumption-Best'!$A$3:$A$32,$B275,'Assumption-Best'!$B$3:$B$32,$C275)</f>
        <v>6.4999999999999997E-3</v>
      </c>
      <c r="H275" s="99">
        <f t="shared" si="29"/>
        <v>509407.12227600004</v>
      </c>
      <c r="I275" s="97">
        <f>SUMIFS('Assumption-Best'!$E$3:$E$32,'Assumption-Best'!$A$3:$A$32,$B275,'Assumption-Best'!$B$3:$B$32,$C275)</f>
        <v>0.32</v>
      </c>
      <c r="J275" s="19">
        <f t="shared" si="30"/>
        <v>163010.27912832002</v>
      </c>
      <c r="K275" s="100">
        <f>SUMIFS('Assumption-Best'!$F$3:$F$32,'Assumption-Best'!$A$3:$A$32,$B275,'Assumption-Best'!$B$3:$B$32,$C275)</f>
        <v>6.9999999999999994E-5</v>
      </c>
      <c r="L275" s="19">
        <f t="shared" si="31"/>
        <v>5485.9228552800005</v>
      </c>
      <c r="M275" s="99">
        <f t="shared" si="32"/>
        <v>340910.92029240006</v>
      </c>
      <c r="N275" s="97">
        <f>SUMIFS('Assumption-Best'!$G$3:$G$32,'Assumption-Best'!$A$3:$A$32,$B275,'Assumption-Best'!$B$3:$B$32,$C275)</f>
        <v>0.35</v>
      </c>
      <c r="O275" s="19">
        <f t="shared" si="33"/>
        <v>178292.49279660001</v>
      </c>
      <c r="P275" s="99">
        <f t="shared" si="34"/>
        <v>162618.42749580005</v>
      </c>
    </row>
    <row r="276" spans="1:16" x14ac:dyDescent="0.35">
      <c r="A276" s="96" t="str">
        <f>LEFT('2025 actual v budget'!A276,4)&amp;"26"</f>
        <v>Oct-26</v>
      </c>
      <c r="B276" s="17" t="str">
        <f>'2025 actual v budget'!B276</f>
        <v>Brazil</v>
      </c>
      <c r="C276" s="17" t="str">
        <f>'2025 actual v budget'!C276</f>
        <v>Treasury Yield</v>
      </c>
      <c r="D276" s="19">
        <f>'2025 actual v budget'!D276</f>
        <v>11626198.689999999</v>
      </c>
      <c r="E276" s="97">
        <f>SUMIFS('Assumption-Best'!$C$3:$C$32,'Assumption-Best'!$A$3:$A$32,$B276,'Assumption-Best'!$B$3:$B$32,$C276)</f>
        <v>0.4</v>
      </c>
      <c r="F276" s="19">
        <f t="shared" si="28"/>
        <v>16276678.165999997</v>
      </c>
      <c r="G276" s="98">
        <f>SUMIFS('Assumption-Best'!$D$3:$D$32,'Assumption-Best'!$A$3:$A$32,$B276,'Assumption-Best'!$B$3:$B$32,$C276)</f>
        <v>3.0000000000000001E-3</v>
      </c>
      <c r="H276" s="99">
        <f t="shared" si="29"/>
        <v>48830.034497999994</v>
      </c>
      <c r="I276" s="97">
        <f>SUMIFS('Assumption-Best'!$E$3:$E$32,'Assumption-Best'!$A$3:$A$32,$B276,'Assumption-Best'!$B$3:$B$32,$C276)</f>
        <v>0.18</v>
      </c>
      <c r="J276" s="19">
        <f t="shared" si="30"/>
        <v>8789.4062096399994</v>
      </c>
      <c r="K276" s="100">
        <f>SUMIFS('Assumption-Best'!$F$3:$F$32,'Assumption-Best'!$A$3:$A$32,$B276,'Assumption-Best'!$B$3:$B$32,$C276)</f>
        <v>6.9999999999999994E-5</v>
      </c>
      <c r="L276" s="19">
        <f t="shared" si="31"/>
        <v>1139.3674716199996</v>
      </c>
      <c r="M276" s="99">
        <f t="shared" si="32"/>
        <v>38901.260816739996</v>
      </c>
      <c r="N276" s="97">
        <f>SUMIFS('Assumption-Best'!$G$3:$G$32,'Assumption-Best'!$A$3:$A$32,$B276,'Assumption-Best'!$B$3:$B$32,$C276)</f>
        <v>0.35</v>
      </c>
      <c r="O276" s="19">
        <f t="shared" si="33"/>
        <v>17090.512074299997</v>
      </c>
      <c r="P276" s="99">
        <f t="shared" si="34"/>
        <v>21810.748742439999</v>
      </c>
    </row>
    <row r="277" spans="1:16" x14ac:dyDescent="0.35">
      <c r="A277" s="96" t="str">
        <f>LEFT('2025 actual v budget'!A277,4)&amp;"26"</f>
        <v>Oct-26</v>
      </c>
      <c r="B277" s="17" t="str">
        <f>'2025 actual v budget'!B277</f>
        <v>Brazil</v>
      </c>
      <c r="C277" s="17" t="str">
        <f>'2025 actual v budget'!C277</f>
        <v>Virtual Accounts</v>
      </c>
      <c r="D277" s="19">
        <f>'2025 actual v budget'!D277</f>
        <v>17692571.920000002</v>
      </c>
      <c r="E277" s="97">
        <f>SUMIFS('Assumption-Best'!$C$3:$C$32,'Assumption-Best'!$A$3:$A$32,$B277,'Assumption-Best'!$B$3:$B$32,$C277)</f>
        <v>0.4</v>
      </c>
      <c r="F277" s="19">
        <f t="shared" si="28"/>
        <v>24769600.688000001</v>
      </c>
      <c r="G277" s="98">
        <f>SUMIFS('Assumption-Best'!$D$3:$D$32,'Assumption-Best'!$A$3:$A$32,$B277,'Assumption-Best'!$B$3:$B$32,$C277)</f>
        <v>4.4999999999999997E-3</v>
      </c>
      <c r="H277" s="99">
        <f t="shared" si="29"/>
        <v>111463.203096</v>
      </c>
      <c r="I277" s="97">
        <f>SUMIFS('Assumption-Best'!$E$3:$E$32,'Assumption-Best'!$A$3:$A$32,$B277,'Assumption-Best'!$B$3:$B$32,$C277)</f>
        <v>0.22</v>
      </c>
      <c r="J277" s="19">
        <f t="shared" si="30"/>
        <v>24521.904681119999</v>
      </c>
      <c r="K277" s="100">
        <f>SUMIFS('Assumption-Best'!$F$3:$F$32,'Assumption-Best'!$A$3:$A$32,$B277,'Assumption-Best'!$B$3:$B$32,$C277)</f>
        <v>6.9999999999999994E-5</v>
      </c>
      <c r="L277" s="19">
        <f t="shared" si="31"/>
        <v>1733.8720481599998</v>
      </c>
      <c r="M277" s="99">
        <f t="shared" si="32"/>
        <v>85207.426366719999</v>
      </c>
      <c r="N277" s="97">
        <f>SUMIFS('Assumption-Best'!$G$3:$G$32,'Assumption-Best'!$A$3:$A$32,$B277,'Assumption-Best'!$B$3:$B$32,$C277)</f>
        <v>0.35</v>
      </c>
      <c r="O277" s="19">
        <f t="shared" si="33"/>
        <v>39012.121083599995</v>
      </c>
      <c r="P277" s="99">
        <f t="shared" si="34"/>
        <v>46195.305283120004</v>
      </c>
    </row>
    <row r="278" spans="1:16" x14ac:dyDescent="0.35">
      <c r="A278" s="96" t="str">
        <f>LEFT('2025 actual v budget'!A278,4)&amp;"26"</f>
        <v>Oct-26</v>
      </c>
      <c r="B278" s="17" t="str">
        <f>'2025 actual v budget'!B278</f>
        <v>Germany</v>
      </c>
      <c r="C278" s="17" t="str">
        <f>'2025 actual v budget'!C278</f>
        <v>Cross-border Payouts</v>
      </c>
      <c r="D278" s="19">
        <f>'2025 actual v budget'!D278</f>
        <v>8358312.8700000001</v>
      </c>
      <c r="E278" s="97">
        <f>SUMIFS('Assumption-Best'!$C$3:$C$32,'Assumption-Best'!$A$3:$A$32,$B278,'Assumption-Best'!$B$3:$B$32,$C278)</f>
        <v>0.12</v>
      </c>
      <c r="F278" s="19">
        <f t="shared" si="28"/>
        <v>9361310.4144000001</v>
      </c>
      <c r="G278" s="98">
        <f>SUMIFS('Assumption-Best'!$D$3:$D$32,'Assumption-Best'!$A$3:$A$32,$B278,'Assumption-Best'!$B$3:$B$32,$C278)</f>
        <v>7.4999999999999997E-3</v>
      </c>
      <c r="H278" s="99">
        <f t="shared" si="29"/>
        <v>70209.828108000002</v>
      </c>
      <c r="I278" s="97">
        <f>SUMIFS('Assumption-Best'!$E$3:$E$32,'Assumption-Best'!$A$3:$A$32,$B278,'Assumption-Best'!$B$3:$B$32,$C278)</f>
        <v>0.35</v>
      </c>
      <c r="J278" s="19">
        <f t="shared" si="30"/>
        <v>24573.439837800001</v>
      </c>
      <c r="K278" s="100">
        <f>SUMIFS('Assumption-Best'!$F$3:$F$32,'Assumption-Best'!$A$3:$A$32,$B278,'Assumption-Best'!$B$3:$B$32,$C278)</f>
        <v>1.4999999999999999E-4</v>
      </c>
      <c r="L278" s="19">
        <f t="shared" si="31"/>
        <v>1404.19656216</v>
      </c>
      <c r="M278" s="99">
        <f t="shared" si="32"/>
        <v>44232.191708039994</v>
      </c>
      <c r="N278" s="97">
        <f>SUMIFS('Assumption-Best'!$G$3:$G$32,'Assumption-Best'!$A$3:$A$32,$B278,'Assumption-Best'!$B$3:$B$32,$C278)</f>
        <v>0.35</v>
      </c>
      <c r="O278" s="19">
        <f t="shared" si="33"/>
        <v>24573.439837800001</v>
      </c>
      <c r="P278" s="99">
        <f t="shared" si="34"/>
        <v>19658.751870239994</v>
      </c>
    </row>
    <row r="279" spans="1:16" x14ac:dyDescent="0.35">
      <c r="A279" s="96" t="str">
        <f>LEFT('2025 actual v budget'!A279,4)&amp;"26"</f>
        <v>Oct-26</v>
      </c>
      <c r="B279" s="17" t="str">
        <f>'2025 actual v budget'!B279</f>
        <v>Germany</v>
      </c>
      <c r="C279" s="17" t="str">
        <f>'2025 actual v budget'!C279</f>
        <v>FX Conversion</v>
      </c>
      <c r="D279" s="19">
        <f>'2025 actual v budget'!D279</f>
        <v>12978305.82</v>
      </c>
      <c r="E279" s="97">
        <f>SUMIFS('Assumption-Best'!$C$3:$C$32,'Assumption-Best'!$A$3:$A$32,$B279,'Assumption-Best'!$B$3:$B$32,$C279)</f>
        <v>0.12</v>
      </c>
      <c r="F279" s="19">
        <f t="shared" si="28"/>
        <v>14535702.518400002</v>
      </c>
      <c r="G279" s="98">
        <f>SUMIFS('Assumption-Best'!$D$3:$D$32,'Assumption-Best'!$A$3:$A$32,$B279,'Assumption-Best'!$B$3:$B$32,$C279)</f>
        <v>1.0500000000000001E-2</v>
      </c>
      <c r="H279" s="99">
        <f t="shared" si="29"/>
        <v>152624.87644320005</v>
      </c>
      <c r="I279" s="97">
        <f>SUMIFS('Assumption-Best'!$E$3:$E$32,'Assumption-Best'!$A$3:$A$32,$B279,'Assumption-Best'!$B$3:$B$32,$C279)</f>
        <v>0.28000000000000003</v>
      </c>
      <c r="J279" s="19">
        <f t="shared" si="30"/>
        <v>42734.965404096016</v>
      </c>
      <c r="K279" s="100">
        <f>SUMIFS('Assumption-Best'!$F$3:$F$32,'Assumption-Best'!$A$3:$A$32,$B279,'Assumption-Best'!$B$3:$B$32,$C279)</f>
        <v>1.4999999999999999E-4</v>
      </c>
      <c r="L279" s="19">
        <f t="shared" si="31"/>
        <v>2180.35537776</v>
      </c>
      <c r="M279" s="99">
        <f t="shared" si="32"/>
        <v>107709.55566134403</v>
      </c>
      <c r="N279" s="97">
        <f>SUMIFS('Assumption-Best'!$G$3:$G$32,'Assumption-Best'!$A$3:$A$32,$B279,'Assumption-Best'!$B$3:$B$32,$C279)</f>
        <v>0.35</v>
      </c>
      <c r="O279" s="19">
        <f t="shared" si="33"/>
        <v>53418.706755120016</v>
      </c>
      <c r="P279" s="99">
        <f t="shared" si="34"/>
        <v>54290.848906224011</v>
      </c>
    </row>
    <row r="280" spans="1:16" x14ac:dyDescent="0.35">
      <c r="A280" s="96" t="str">
        <f>LEFT('2025 actual v budget'!A280,4)&amp;"26"</f>
        <v>Oct-26</v>
      </c>
      <c r="B280" s="17" t="str">
        <f>'2025 actual v budget'!B280</f>
        <v>Germany</v>
      </c>
      <c r="C280" s="17" t="str">
        <f>'2025 actual v budget'!C280</f>
        <v>Stablecoin Settlement</v>
      </c>
      <c r="D280" s="19">
        <f>'2025 actual v budget'!D280</f>
        <v>19928052.18</v>
      </c>
      <c r="E280" s="97">
        <f>SUMIFS('Assumption-Best'!$C$3:$C$32,'Assumption-Best'!$A$3:$A$32,$B280,'Assumption-Best'!$B$3:$B$32,$C280)</f>
        <v>0.24</v>
      </c>
      <c r="F280" s="19">
        <f t="shared" si="28"/>
        <v>24710784.703200001</v>
      </c>
      <c r="G280" s="98">
        <f>SUMIFS('Assumption-Best'!$D$3:$D$32,'Assumption-Best'!$A$3:$A$32,$B280,'Assumption-Best'!$B$3:$B$32,$C280)</f>
        <v>6.4999999999999997E-3</v>
      </c>
      <c r="H280" s="99">
        <f t="shared" si="29"/>
        <v>160620.10057079999</v>
      </c>
      <c r="I280" s="97">
        <f>SUMIFS('Assumption-Best'!$E$3:$E$32,'Assumption-Best'!$A$3:$A$32,$B280,'Assumption-Best'!$B$3:$B$32,$C280)</f>
        <v>0.32</v>
      </c>
      <c r="J280" s="19">
        <f t="shared" si="30"/>
        <v>51398.432182655997</v>
      </c>
      <c r="K280" s="100">
        <f>SUMIFS('Assumption-Best'!$F$3:$F$32,'Assumption-Best'!$A$3:$A$32,$B280,'Assumption-Best'!$B$3:$B$32,$C280)</f>
        <v>1.4999999999999999E-4</v>
      </c>
      <c r="L280" s="19">
        <f t="shared" si="31"/>
        <v>3706.61770548</v>
      </c>
      <c r="M280" s="99">
        <f t="shared" si="32"/>
        <v>105515.05068266399</v>
      </c>
      <c r="N280" s="97">
        <f>SUMIFS('Assumption-Best'!$G$3:$G$32,'Assumption-Best'!$A$3:$A$32,$B280,'Assumption-Best'!$B$3:$B$32,$C280)</f>
        <v>0.35</v>
      </c>
      <c r="O280" s="19">
        <f t="shared" si="33"/>
        <v>56217.035199779995</v>
      </c>
      <c r="P280" s="99">
        <f t="shared" si="34"/>
        <v>49298.015482883995</v>
      </c>
    </row>
    <row r="281" spans="1:16" x14ac:dyDescent="0.35">
      <c r="A281" s="96" t="str">
        <f>LEFT('2025 actual v budget'!A281,4)&amp;"26"</f>
        <v>Oct-26</v>
      </c>
      <c r="B281" s="17" t="str">
        <f>'2025 actual v budget'!B281</f>
        <v>Germany</v>
      </c>
      <c r="C281" s="17" t="str">
        <f>'2025 actual v budget'!C281</f>
        <v>Treasury Yield</v>
      </c>
      <c r="D281" s="19">
        <f>'2025 actual v budget'!D281</f>
        <v>5317047.79</v>
      </c>
      <c r="E281" s="97">
        <f>SUMIFS('Assumption-Best'!$C$3:$C$32,'Assumption-Best'!$A$3:$A$32,$B281,'Assumption-Best'!$B$3:$B$32,$C281)</f>
        <v>0.12</v>
      </c>
      <c r="F281" s="19">
        <f t="shared" si="28"/>
        <v>5955093.5248000007</v>
      </c>
      <c r="G281" s="98">
        <f>SUMIFS('Assumption-Best'!$D$3:$D$32,'Assumption-Best'!$A$3:$A$32,$B281,'Assumption-Best'!$B$3:$B$32,$C281)</f>
        <v>3.0000000000000001E-3</v>
      </c>
      <c r="H281" s="99">
        <f t="shared" si="29"/>
        <v>17865.280574400003</v>
      </c>
      <c r="I281" s="97">
        <f>SUMIFS('Assumption-Best'!$E$3:$E$32,'Assumption-Best'!$A$3:$A$32,$B281,'Assumption-Best'!$B$3:$B$32,$C281)</f>
        <v>0.18</v>
      </c>
      <c r="J281" s="19">
        <f t="shared" si="30"/>
        <v>3215.7505033920006</v>
      </c>
      <c r="K281" s="100">
        <f>SUMIFS('Assumption-Best'!$F$3:$F$32,'Assumption-Best'!$A$3:$A$32,$B281,'Assumption-Best'!$B$3:$B$32,$C281)</f>
        <v>1.4999999999999999E-4</v>
      </c>
      <c r="L281" s="19">
        <f t="shared" si="31"/>
        <v>893.26402872000006</v>
      </c>
      <c r="M281" s="99">
        <f t="shared" si="32"/>
        <v>13756.266042288004</v>
      </c>
      <c r="N281" s="97">
        <f>SUMIFS('Assumption-Best'!$G$3:$G$32,'Assumption-Best'!$A$3:$A$32,$B281,'Assumption-Best'!$B$3:$B$32,$C281)</f>
        <v>0.35</v>
      </c>
      <c r="O281" s="19">
        <f t="shared" si="33"/>
        <v>6252.8482010400012</v>
      </c>
      <c r="P281" s="99">
        <f t="shared" si="34"/>
        <v>7503.4178412480023</v>
      </c>
    </row>
    <row r="282" spans="1:16" x14ac:dyDescent="0.35">
      <c r="A282" s="96" t="str">
        <f>LEFT('2025 actual v budget'!A282,4)&amp;"26"</f>
        <v>Oct-26</v>
      </c>
      <c r="B282" s="17" t="str">
        <f>'2025 actual v budget'!B282</f>
        <v>Germany</v>
      </c>
      <c r="C282" s="17" t="str">
        <f>'2025 actual v budget'!C282</f>
        <v>Virtual Accounts</v>
      </c>
      <c r="D282" s="19">
        <f>'2025 actual v budget'!D282</f>
        <v>8091402.2599999998</v>
      </c>
      <c r="E282" s="97">
        <f>SUMIFS('Assumption-Best'!$C$3:$C$32,'Assumption-Best'!$A$3:$A$32,$B282,'Assumption-Best'!$B$3:$B$32,$C282)</f>
        <v>0.12</v>
      </c>
      <c r="F282" s="19">
        <f t="shared" si="28"/>
        <v>9062370.531200001</v>
      </c>
      <c r="G282" s="98">
        <f>SUMIFS('Assumption-Best'!$D$3:$D$32,'Assumption-Best'!$A$3:$A$32,$B282,'Assumption-Best'!$B$3:$B$32,$C282)</f>
        <v>4.4999999999999997E-3</v>
      </c>
      <c r="H282" s="99">
        <f t="shared" si="29"/>
        <v>40780.667390399998</v>
      </c>
      <c r="I282" s="97">
        <f>SUMIFS('Assumption-Best'!$E$3:$E$32,'Assumption-Best'!$A$3:$A$32,$B282,'Assumption-Best'!$B$3:$B$32,$C282)</f>
        <v>0.22</v>
      </c>
      <c r="J282" s="19">
        <f t="shared" si="30"/>
        <v>8971.7468258879999</v>
      </c>
      <c r="K282" s="100">
        <f>SUMIFS('Assumption-Best'!$F$3:$F$32,'Assumption-Best'!$A$3:$A$32,$B282,'Assumption-Best'!$B$3:$B$32,$C282)</f>
        <v>1.4999999999999999E-4</v>
      </c>
      <c r="L282" s="19">
        <f t="shared" si="31"/>
        <v>1359.3555796800001</v>
      </c>
      <c r="M282" s="99">
        <f t="shared" si="32"/>
        <v>30449.564984831999</v>
      </c>
      <c r="N282" s="97">
        <f>SUMIFS('Assumption-Best'!$G$3:$G$32,'Assumption-Best'!$A$3:$A$32,$B282,'Assumption-Best'!$B$3:$B$32,$C282)</f>
        <v>0.35</v>
      </c>
      <c r="O282" s="19">
        <f t="shared" si="33"/>
        <v>14273.233586639999</v>
      </c>
      <c r="P282" s="99">
        <f t="shared" si="34"/>
        <v>16176.331398192</v>
      </c>
    </row>
    <row r="283" spans="1:16" x14ac:dyDescent="0.35">
      <c r="A283" s="96" t="str">
        <f>LEFT('2025 actual v budget'!A283,4)&amp;"26"</f>
        <v>Oct-26</v>
      </c>
      <c r="B283" s="17" t="str">
        <f>'2025 actual v budget'!B283</f>
        <v>India</v>
      </c>
      <c r="C283" s="17" t="str">
        <f>'2025 actual v budget'!C283</f>
        <v>Cross-border Payouts</v>
      </c>
      <c r="D283" s="19">
        <f>'2025 actual v budget'!D283</f>
        <v>12769594.460000001</v>
      </c>
      <c r="E283" s="97">
        <f>SUMIFS('Assumption-Best'!$C$3:$C$32,'Assumption-Best'!$A$3:$A$32,$B283,'Assumption-Best'!$B$3:$B$32,$C283)</f>
        <v>0.24</v>
      </c>
      <c r="F283" s="19">
        <f t="shared" si="28"/>
        <v>15834297.1304</v>
      </c>
      <c r="G283" s="98">
        <f>SUMIFS('Assumption-Best'!$D$3:$D$32,'Assumption-Best'!$A$3:$A$32,$B283,'Assumption-Best'!$B$3:$B$32,$C283)</f>
        <v>7.4999999999999997E-3</v>
      </c>
      <c r="H283" s="99">
        <f t="shared" si="29"/>
        <v>118757.22847799999</v>
      </c>
      <c r="I283" s="97">
        <f>SUMIFS('Assumption-Best'!$E$3:$E$32,'Assumption-Best'!$A$3:$A$32,$B283,'Assumption-Best'!$B$3:$B$32,$C283)</f>
        <v>0.35</v>
      </c>
      <c r="J283" s="19">
        <f t="shared" si="30"/>
        <v>41565.029967299997</v>
      </c>
      <c r="K283" s="100">
        <f>SUMIFS('Assumption-Best'!$F$3:$F$32,'Assumption-Best'!$A$3:$A$32,$B283,'Assumption-Best'!$B$3:$B$32,$C283)</f>
        <v>1.8000000000000001E-4</v>
      </c>
      <c r="L283" s="19">
        <f t="shared" si="31"/>
        <v>2850.173483472</v>
      </c>
      <c r="M283" s="99">
        <f t="shared" si="32"/>
        <v>74342.025027227995</v>
      </c>
      <c r="N283" s="97">
        <f>SUMIFS('Assumption-Best'!$G$3:$G$32,'Assumption-Best'!$A$3:$A$32,$B283,'Assumption-Best'!$B$3:$B$32,$C283)</f>
        <v>0.35</v>
      </c>
      <c r="O283" s="19">
        <f t="shared" si="33"/>
        <v>41565.029967299997</v>
      </c>
      <c r="P283" s="99">
        <f t="shared" si="34"/>
        <v>32776.995059927998</v>
      </c>
    </row>
    <row r="284" spans="1:16" x14ac:dyDescent="0.35">
      <c r="A284" s="96" t="str">
        <f>LEFT('2025 actual v budget'!A284,4)&amp;"26"</f>
        <v>Oct-26</v>
      </c>
      <c r="B284" s="17" t="str">
        <f>'2025 actual v budget'!B284</f>
        <v>India</v>
      </c>
      <c r="C284" s="17" t="str">
        <f>'2025 actual v budget'!C284</f>
        <v>FX Conversion</v>
      </c>
      <c r="D284" s="19">
        <f>'2025 actual v budget'!D284</f>
        <v>19851844.579999998</v>
      </c>
      <c r="E284" s="97">
        <f>SUMIFS('Assumption-Best'!$C$3:$C$32,'Assumption-Best'!$A$3:$A$32,$B284,'Assumption-Best'!$B$3:$B$32,$C284)</f>
        <v>0.24</v>
      </c>
      <c r="F284" s="19">
        <f t="shared" si="28"/>
        <v>24616287.279199999</v>
      </c>
      <c r="G284" s="98">
        <f>SUMIFS('Assumption-Best'!$D$3:$D$32,'Assumption-Best'!$A$3:$A$32,$B284,'Assumption-Best'!$B$3:$B$32,$C284)</f>
        <v>1.0500000000000001E-2</v>
      </c>
      <c r="H284" s="99">
        <f t="shared" si="29"/>
        <v>258471.0164316</v>
      </c>
      <c r="I284" s="97">
        <f>SUMIFS('Assumption-Best'!$E$3:$E$32,'Assumption-Best'!$A$3:$A$32,$B284,'Assumption-Best'!$B$3:$B$32,$C284)</f>
        <v>0.28000000000000003</v>
      </c>
      <c r="J284" s="19">
        <f t="shared" si="30"/>
        <v>72371.884600848003</v>
      </c>
      <c r="K284" s="100">
        <f>SUMIFS('Assumption-Best'!$F$3:$F$32,'Assumption-Best'!$A$3:$A$32,$B284,'Assumption-Best'!$B$3:$B$32,$C284)</f>
        <v>1.8000000000000001E-4</v>
      </c>
      <c r="L284" s="19">
        <f t="shared" si="31"/>
        <v>4430.9317102559999</v>
      </c>
      <c r="M284" s="99">
        <f t="shared" si="32"/>
        <v>181668.20012049601</v>
      </c>
      <c r="N284" s="97">
        <f>SUMIFS('Assumption-Best'!$G$3:$G$32,'Assumption-Best'!$A$3:$A$32,$B284,'Assumption-Best'!$B$3:$B$32,$C284)</f>
        <v>0.35</v>
      </c>
      <c r="O284" s="19">
        <f t="shared" si="33"/>
        <v>90464.855751059993</v>
      </c>
      <c r="P284" s="99">
        <f t="shared" si="34"/>
        <v>91203.344369436018</v>
      </c>
    </row>
    <row r="285" spans="1:16" x14ac:dyDescent="0.35">
      <c r="A285" s="96" t="str">
        <f>LEFT('2025 actual v budget'!A285,4)&amp;"26"</f>
        <v>Oct-26</v>
      </c>
      <c r="B285" s="17" t="str">
        <f>'2025 actual v budget'!B285</f>
        <v>India</v>
      </c>
      <c r="C285" s="17" t="str">
        <f>'2025 actual v budget'!C285</f>
        <v>Stablecoin Settlement</v>
      </c>
      <c r="D285" s="19">
        <f>'2025 actual v budget'!D285</f>
        <v>30445515.59</v>
      </c>
      <c r="E285" s="97">
        <f>SUMIFS('Assumption-Best'!$C$3:$C$32,'Assumption-Best'!$A$3:$A$32,$B285,'Assumption-Best'!$B$3:$B$32,$C285)</f>
        <v>0.48</v>
      </c>
      <c r="F285" s="19">
        <f t="shared" si="28"/>
        <v>45059363.073200002</v>
      </c>
      <c r="G285" s="98">
        <f>SUMIFS('Assumption-Best'!$D$3:$D$32,'Assumption-Best'!$A$3:$A$32,$B285,'Assumption-Best'!$B$3:$B$32,$C285)</f>
        <v>6.4999999999999997E-3</v>
      </c>
      <c r="H285" s="99">
        <f t="shared" si="29"/>
        <v>292885.85997579998</v>
      </c>
      <c r="I285" s="97">
        <f>SUMIFS('Assumption-Best'!$E$3:$E$32,'Assumption-Best'!$A$3:$A$32,$B285,'Assumption-Best'!$B$3:$B$32,$C285)</f>
        <v>0.32</v>
      </c>
      <c r="J285" s="19">
        <f t="shared" si="30"/>
        <v>93723.475192255995</v>
      </c>
      <c r="K285" s="100">
        <f>SUMIFS('Assumption-Best'!$F$3:$F$32,'Assumption-Best'!$A$3:$A$32,$B285,'Assumption-Best'!$B$3:$B$32,$C285)</f>
        <v>1.8000000000000001E-4</v>
      </c>
      <c r="L285" s="19">
        <f t="shared" si="31"/>
        <v>8110.6853531760007</v>
      </c>
      <c r="M285" s="99">
        <f t="shared" si="32"/>
        <v>191051.699430368</v>
      </c>
      <c r="N285" s="97">
        <f>SUMIFS('Assumption-Best'!$G$3:$G$32,'Assumption-Best'!$A$3:$A$32,$B285,'Assumption-Best'!$B$3:$B$32,$C285)</f>
        <v>0.35</v>
      </c>
      <c r="O285" s="19">
        <f t="shared" si="33"/>
        <v>102510.05099152999</v>
      </c>
      <c r="P285" s="99">
        <f t="shared" si="34"/>
        <v>88541.648438838005</v>
      </c>
    </row>
    <row r="286" spans="1:16" x14ac:dyDescent="0.35">
      <c r="A286" s="96" t="str">
        <f>LEFT('2025 actual v budget'!A286,4)&amp;"26"</f>
        <v>Oct-26</v>
      </c>
      <c r="B286" s="17" t="str">
        <f>'2025 actual v budget'!B286</f>
        <v>India</v>
      </c>
      <c r="C286" s="17" t="str">
        <f>'2025 actual v budget'!C286</f>
        <v>Treasury Yield</v>
      </c>
      <c r="D286" s="19">
        <f>'2025 actual v budget'!D286</f>
        <v>8133049.7000000002</v>
      </c>
      <c r="E286" s="97">
        <f>SUMIFS('Assumption-Best'!$C$3:$C$32,'Assumption-Best'!$A$3:$A$32,$B286,'Assumption-Best'!$B$3:$B$32,$C286)</f>
        <v>0.24</v>
      </c>
      <c r="F286" s="19">
        <f t="shared" si="28"/>
        <v>10084981.628</v>
      </c>
      <c r="G286" s="98">
        <f>SUMIFS('Assumption-Best'!$D$3:$D$32,'Assumption-Best'!$A$3:$A$32,$B286,'Assumption-Best'!$B$3:$B$32,$C286)</f>
        <v>3.0000000000000001E-3</v>
      </c>
      <c r="H286" s="99">
        <f t="shared" si="29"/>
        <v>30254.944884</v>
      </c>
      <c r="I286" s="97">
        <f>SUMIFS('Assumption-Best'!$E$3:$E$32,'Assumption-Best'!$A$3:$A$32,$B286,'Assumption-Best'!$B$3:$B$32,$C286)</f>
        <v>0.18</v>
      </c>
      <c r="J286" s="19">
        <f t="shared" si="30"/>
        <v>5445.8900791199994</v>
      </c>
      <c r="K286" s="100">
        <f>SUMIFS('Assumption-Best'!$F$3:$F$32,'Assumption-Best'!$A$3:$A$32,$B286,'Assumption-Best'!$B$3:$B$32,$C286)</f>
        <v>1.8000000000000001E-4</v>
      </c>
      <c r="L286" s="19">
        <f t="shared" si="31"/>
        <v>1815.2966930400003</v>
      </c>
      <c r="M286" s="99">
        <f t="shared" si="32"/>
        <v>22993.758111840001</v>
      </c>
      <c r="N286" s="97">
        <f>SUMIFS('Assumption-Best'!$G$3:$G$32,'Assumption-Best'!$A$3:$A$32,$B286,'Assumption-Best'!$B$3:$B$32,$C286)</f>
        <v>0.35</v>
      </c>
      <c r="O286" s="19">
        <f t="shared" si="33"/>
        <v>10589.230709399999</v>
      </c>
      <c r="P286" s="99">
        <f t="shared" si="34"/>
        <v>12404.527402440002</v>
      </c>
    </row>
    <row r="287" spans="1:16" x14ac:dyDescent="0.35">
      <c r="A287" s="96" t="str">
        <f>LEFT('2025 actual v budget'!A287,4)&amp;"26"</f>
        <v>Oct-26</v>
      </c>
      <c r="B287" s="17" t="str">
        <f>'2025 actual v budget'!B287</f>
        <v>India</v>
      </c>
      <c r="C287" s="17" t="str">
        <f>'2025 actual v budget'!C287</f>
        <v>Virtual Accounts</v>
      </c>
      <c r="D287" s="19">
        <f>'2025 actual v budget'!D287</f>
        <v>12376751.039999999</v>
      </c>
      <c r="E287" s="97">
        <f>SUMIFS('Assumption-Best'!$C$3:$C$32,'Assumption-Best'!$A$3:$A$32,$B287,'Assumption-Best'!$B$3:$B$32,$C287)</f>
        <v>0.24</v>
      </c>
      <c r="F287" s="19">
        <f t="shared" si="28"/>
        <v>15347171.289599998</v>
      </c>
      <c r="G287" s="98">
        <f>SUMIFS('Assumption-Best'!$D$3:$D$32,'Assumption-Best'!$A$3:$A$32,$B287,'Assumption-Best'!$B$3:$B$32,$C287)</f>
        <v>4.4999999999999997E-3</v>
      </c>
      <c r="H287" s="99">
        <f t="shared" si="29"/>
        <v>69062.270803199979</v>
      </c>
      <c r="I287" s="97">
        <f>SUMIFS('Assumption-Best'!$E$3:$E$32,'Assumption-Best'!$A$3:$A$32,$B287,'Assumption-Best'!$B$3:$B$32,$C287)</f>
        <v>0.22</v>
      </c>
      <c r="J287" s="19">
        <f t="shared" si="30"/>
        <v>15193.699576703995</v>
      </c>
      <c r="K287" s="100">
        <f>SUMIFS('Assumption-Best'!$F$3:$F$32,'Assumption-Best'!$A$3:$A$32,$B287,'Assumption-Best'!$B$3:$B$32,$C287)</f>
        <v>1.8000000000000001E-4</v>
      </c>
      <c r="L287" s="19">
        <f t="shared" si="31"/>
        <v>2762.490832128</v>
      </c>
      <c r="M287" s="99">
        <f t="shared" si="32"/>
        <v>51106.080394367986</v>
      </c>
      <c r="N287" s="97">
        <f>SUMIFS('Assumption-Best'!$G$3:$G$32,'Assumption-Best'!$A$3:$A$32,$B287,'Assumption-Best'!$B$3:$B$32,$C287)</f>
        <v>0.35</v>
      </c>
      <c r="O287" s="19">
        <f t="shared" si="33"/>
        <v>24171.794781119992</v>
      </c>
      <c r="P287" s="99">
        <f t="shared" si="34"/>
        <v>26934.285613247994</v>
      </c>
    </row>
    <row r="288" spans="1:16" x14ac:dyDescent="0.35">
      <c r="A288" s="96" t="str">
        <f>LEFT('2025 actual v budget'!A288,4)&amp;"26"</f>
        <v>Oct-26</v>
      </c>
      <c r="B288" s="17" t="str">
        <f>'2025 actual v budget'!B288</f>
        <v>Mexico</v>
      </c>
      <c r="C288" s="17" t="str">
        <f>'2025 actual v budget'!C288</f>
        <v>Cross-border Payouts</v>
      </c>
      <c r="D288" s="19">
        <f>'2025 actual v budget'!D288</f>
        <v>14965977.970000001</v>
      </c>
      <c r="E288" s="97">
        <f>SUMIFS('Assumption-Best'!$C$3:$C$32,'Assumption-Best'!$A$3:$A$32,$B288,'Assumption-Best'!$B$3:$B$32,$C288)</f>
        <v>0.3</v>
      </c>
      <c r="F288" s="19">
        <f t="shared" si="28"/>
        <v>19455771.361000001</v>
      </c>
      <c r="G288" s="98">
        <f>SUMIFS('Assumption-Best'!$D$3:$D$32,'Assumption-Best'!$A$3:$A$32,$B288,'Assumption-Best'!$B$3:$B$32,$C288)</f>
        <v>7.4999999999999997E-3</v>
      </c>
      <c r="H288" s="99">
        <f t="shared" si="29"/>
        <v>145918.28520750001</v>
      </c>
      <c r="I288" s="97">
        <f>SUMIFS('Assumption-Best'!$E$3:$E$32,'Assumption-Best'!$A$3:$A$32,$B288,'Assumption-Best'!$B$3:$B$32,$C288)</f>
        <v>0.35</v>
      </c>
      <c r="J288" s="19">
        <f t="shared" si="30"/>
        <v>51071.399822625004</v>
      </c>
      <c r="K288" s="100">
        <f>SUMIFS('Assumption-Best'!$F$3:$F$32,'Assumption-Best'!$A$3:$A$32,$B288,'Assumption-Best'!$B$3:$B$32,$C288)</f>
        <v>8.0000000000000007E-5</v>
      </c>
      <c r="L288" s="19">
        <f t="shared" si="31"/>
        <v>1556.4617088800003</v>
      </c>
      <c r="M288" s="99">
        <f t="shared" si="32"/>
        <v>93290.423675995</v>
      </c>
      <c r="N288" s="97">
        <f>SUMIFS('Assumption-Best'!$G$3:$G$32,'Assumption-Best'!$A$3:$A$32,$B288,'Assumption-Best'!$B$3:$B$32,$C288)</f>
        <v>0.35</v>
      </c>
      <c r="O288" s="19">
        <f t="shared" si="33"/>
        <v>51071.399822625004</v>
      </c>
      <c r="P288" s="99">
        <f t="shared" si="34"/>
        <v>42219.023853369996</v>
      </c>
    </row>
    <row r="289" spans="1:16" x14ac:dyDescent="0.35">
      <c r="A289" s="96" t="str">
        <f>LEFT('2025 actual v budget'!A289,4)&amp;"26"</f>
        <v>Oct-26</v>
      </c>
      <c r="B289" s="17" t="str">
        <f>'2025 actual v budget'!B289</f>
        <v>Mexico</v>
      </c>
      <c r="C289" s="17" t="str">
        <f>'2025 actual v budget'!C289</f>
        <v>FX Conversion</v>
      </c>
      <c r="D289" s="19">
        <f>'2025 actual v budget'!D289</f>
        <v>23261810.469999999</v>
      </c>
      <c r="E289" s="97">
        <f>SUMIFS('Assumption-Best'!$C$3:$C$32,'Assumption-Best'!$A$3:$A$32,$B289,'Assumption-Best'!$B$3:$B$32,$C289)</f>
        <v>0.3</v>
      </c>
      <c r="F289" s="19">
        <f t="shared" si="28"/>
        <v>30240353.610999998</v>
      </c>
      <c r="G289" s="98">
        <f>SUMIFS('Assumption-Best'!$D$3:$D$32,'Assumption-Best'!$A$3:$A$32,$B289,'Assumption-Best'!$B$3:$B$32,$C289)</f>
        <v>1.0500000000000001E-2</v>
      </c>
      <c r="H289" s="99">
        <f t="shared" si="29"/>
        <v>317523.71291549999</v>
      </c>
      <c r="I289" s="97">
        <f>SUMIFS('Assumption-Best'!$E$3:$E$32,'Assumption-Best'!$A$3:$A$32,$B289,'Assumption-Best'!$B$3:$B$32,$C289)</f>
        <v>0.28000000000000003</v>
      </c>
      <c r="J289" s="19">
        <f t="shared" si="30"/>
        <v>88906.639616340006</v>
      </c>
      <c r="K289" s="100">
        <f>SUMIFS('Assumption-Best'!$F$3:$F$32,'Assumption-Best'!$A$3:$A$32,$B289,'Assumption-Best'!$B$3:$B$32,$C289)</f>
        <v>8.0000000000000007E-5</v>
      </c>
      <c r="L289" s="19">
        <f t="shared" si="31"/>
        <v>2419.22828888</v>
      </c>
      <c r="M289" s="99">
        <f t="shared" si="32"/>
        <v>226197.84501028</v>
      </c>
      <c r="N289" s="97">
        <f>SUMIFS('Assumption-Best'!$G$3:$G$32,'Assumption-Best'!$A$3:$A$32,$B289,'Assumption-Best'!$B$3:$B$32,$C289)</f>
        <v>0.35</v>
      </c>
      <c r="O289" s="19">
        <f t="shared" si="33"/>
        <v>111133.29952042499</v>
      </c>
      <c r="P289" s="99">
        <f t="shared" si="34"/>
        <v>115064.54548985501</v>
      </c>
    </row>
    <row r="290" spans="1:16" x14ac:dyDescent="0.35">
      <c r="A290" s="96" t="str">
        <f>LEFT('2025 actual v budget'!A290,4)&amp;"26"</f>
        <v>Oct-26</v>
      </c>
      <c r="B290" s="17" t="str">
        <f>'2025 actual v budget'!B290</f>
        <v>Mexico</v>
      </c>
      <c r="C290" s="17" t="str">
        <f>'2025 actual v budget'!C290</f>
        <v>Stablecoin Settlement</v>
      </c>
      <c r="D290" s="19">
        <f>'2025 actual v budget'!D290</f>
        <v>35682175.890000001</v>
      </c>
      <c r="E290" s="97">
        <f>SUMIFS('Assumption-Best'!$C$3:$C$32,'Assumption-Best'!$A$3:$A$32,$B290,'Assumption-Best'!$B$3:$B$32,$C290)</f>
        <v>0.6</v>
      </c>
      <c r="F290" s="19">
        <f t="shared" si="28"/>
        <v>57091481.424000002</v>
      </c>
      <c r="G290" s="98">
        <f>SUMIFS('Assumption-Best'!$D$3:$D$32,'Assumption-Best'!$A$3:$A$32,$B290,'Assumption-Best'!$B$3:$B$32,$C290)</f>
        <v>6.4999999999999997E-3</v>
      </c>
      <c r="H290" s="99">
        <f t="shared" si="29"/>
        <v>371094.62925599999</v>
      </c>
      <c r="I290" s="97">
        <f>SUMIFS('Assumption-Best'!$E$3:$E$32,'Assumption-Best'!$A$3:$A$32,$B290,'Assumption-Best'!$B$3:$B$32,$C290)</f>
        <v>0.32</v>
      </c>
      <c r="J290" s="19">
        <f t="shared" si="30"/>
        <v>118750.28136192</v>
      </c>
      <c r="K290" s="100">
        <f>SUMIFS('Assumption-Best'!$F$3:$F$32,'Assumption-Best'!$A$3:$A$32,$B290,'Assumption-Best'!$B$3:$B$32,$C290)</f>
        <v>8.0000000000000007E-5</v>
      </c>
      <c r="L290" s="19">
        <f t="shared" si="31"/>
        <v>4567.3185139200004</v>
      </c>
      <c r="M290" s="99">
        <f t="shared" si="32"/>
        <v>247777.02938015998</v>
      </c>
      <c r="N290" s="97">
        <f>SUMIFS('Assumption-Best'!$G$3:$G$32,'Assumption-Best'!$A$3:$A$32,$B290,'Assumption-Best'!$B$3:$B$32,$C290)</f>
        <v>0.35</v>
      </c>
      <c r="O290" s="19">
        <f t="shared" si="33"/>
        <v>129883.12023959999</v>
      </c>
      <c r="P290" s="99">
        <f t="shared" si="34"/>
        <v>117893.90914055999</v>
      </c>
    </row>
    <row r="291" spans="1:16" x14ac:dyDescent="0.35">
      <c r="A291" s="96" t="str">
        <f>LEFT('2025 actual v budget'!A291,4)&amp;"26"</f>
        <v>Oct-26</v>
      </c>
      <c r="B291" s="17" t="str">
        <f>'2025 actual v budget'!B291</f>
        <v>Mexico</v>
      </c>
      <c r="C291" s="17" t="str">
        <f>'2025 actual v budget'!C291</f>
        <v>Treasury Yield</v>
      </c>
      <c r="D291" s="19">
        <f>'2025 actual v budget'!D291</f>
        <v>9530069.6099999994</v>
      </c>
      <c r="E291" s="97">
        <f>SUMIFS('Assumption-Best'!$C$3:$C$32,'Assumption-Best'!$A$3:$A$32,$B291,'Assumption-Best'!$B$3:$B$32,$C291)</f>
        <v>0.3</v>
      </c>
      <c r="F291" s="19">
        <f t="shared" si="28"/>
        <v>12389090.492999999</v>
      </c>
      <c r="G291" s="98">
        <f>SUMIFS('Assumption-Best'!$D$3:$D$32,'Assumption-Best'!$A$3:$A$32,$B291,'Assumption-Best'!$B$3:$B$32,$C291)</f>
        <v>3.0000000000000001E-3</v>
      </c>
      <c r="H291" s="99">
        <f t="shared" si="29"/>
        <v>37167.271478999995</v>
      </c>
      <c r="I291" s="97">
        <f>SUMIFS('Assumption-Best'!$E$3:$E$32,'Assumption-Best'!$A$3:$A$32,$B291,'Assumption-Best'!$B$3:$B$32,$C291)</f>
        <v>0.18</v>
      </c>
      <c r="J291" s="19">
        <f t="shared" si="30"/>
        <v>6690.1088662199991</v>
      </c>
      <c r="K291" s="100">
        <f>SUMIFS('Assumption-Best'!$F$3:$F$32,'Assumption-Best'!$A$3:$A$32,$B291,'Assumption-Best'!$B$3:$B$32,$C291)</f>
        <v>8.0000000000000007E-5</v>
      </c>
      <c r="L291" s="19">
        <f t="shared" si="31"/>
        <v>991.12723944000004</v>
      </c>
      <c r="M291" s="99">
        <f t="shared" si="32"/>
        <v>29486.035373339997</v>
      </c>
      <c r="N291" s="97">
        <f>SUMIFS('Assumption-Best'!$G$3:$G$32,'Assumption-Best'!$A$3:$A$32,$B291,'Assumption-Best'!$B$3:$B$32,$C291)</f>
        <v>0.35</v>
      </c>
      <c r="O291" s="19">
        <f t="shared" si="33"/>
        <v>13008.545017649998</v>
      </c>
      <c r="P291" s="99">
        <f t="shared" si="34"/>
        <v>16477.490355689999</v>
      </c>
    </row>
    <row r="292" spans="1:16" x14ac:dyDescent="0.35">
      <c r="A292" s="96" t="str">
        <f>LEFT('2025 actual v budget'!A292,4)&amp;"26"</f>
        <v>Oct-26</v>
      </c>
      <c r="B292" s="17" t="str">
        <f>'2025 actual v budget'!B292</f>
        <v>Mexico</v>
      </c>
      <c r="C292" s="17" t="str">
        <f>'2025 actual v budget'!C292</f>
        <v>Virtual Accounts</v>
      </c>
      <c r="D292" s="19">
        <f>'2025 actual v budget'!D292</f>
        <v>14502714.640000001</v>
      </c>
      <c r="E292" s="97">
        <f>SUMIFS('Assumption-Best'!$C$3:$C$32,'Assumption-Best'!$A$3:$A$32,$B292,'Assumption-Best'!$B$3:$B$32,$C292)</f>
        <v>0.3</v>
      </c>
      <c r="F292" s="19">
        <f t="shared" si="28"/>
        <v>18853529.032000002</v>
      </c>
      <c r="G292" s="98">
        <f>SUMIFS('Assumption-Best'!$D$3:$D$32,'Assumption-Best'!$A$3:$A$32,$B292,'Assumption-Best'!$B$3:$B$32,$C292)</f>
        <v>4.4999999999999997E-3</v>
      </c>
      <c r="H292" s="99">
        <f t="shared" si="29"/>
        <v>84840.880644000004</v>
      </c>
      <c r="I292" s="97">
        <f>SUMIFS('Assumption-Best'!$E$3:$E$32,'Assumption-Best'!$A$3:$A$32,$B292,'Assumption-Best'!$B$3:$B$32,$C292)</f>
        <v>0.22</v>
      </c>
      <c r="J292" s="19">
        <f t="shared" si="30"/>
        <v>18664.993741680002</v>
      </c>
      <c r="K292" s="100">
        <f>SUMIFS('Assumption-Best'!$F$3:$F$32,'Assumption-Best'!$A$3:$A$32,$B292,'Assumption-Best'!$B$3:$B$32,$C292)</f>
        <v>8.0000000000000007E-5</v>
      </c>
      <c r="L292" s="19">
        <f t="shared" si="31"/>
        <v>1508.2823225600002</v>
      </c>
      <c r="M292" s="99">
        <f t="shared" si="32"/>
        <v>64667.604579759995</v>
      </c>
      <c r="N292" s="97">
        <f>SUMIFS('Assumption-Best'!$G$3:$G$32,'Assumption-Best'!$A$3:$A$32,$B292,'Assumption-Best'!$B$3:$B$32,$C292)</f>
        <v>0.35</v>
      </c>
      <c r="O292" s="19">
        <f t="shared" si="33"/>
        <v>29694.3082254</v>
      </c>
      <c r="P292" s="99">
        <f t="shared" si="34"/>
        <v>34973.296354359991</v>
      </c>
    </row>
    <row r="293" spans="1:16" x14ac:dyDescent="0.35">
      <c r="A293" s="96" t="str">
        <f>LEFT('2025 actual v budget'!A293,4)&amp;"26"</f>
        <v>Oct-26</v>
      </c>
      <c r="B293" s="17" t="str">
        <f>'2025 actual v budget'!B293</f>
        <v>Singapore</v>
      </c>
      <c r="C293" s="17" t="str">
        <f>'2025 actual v budget'!C293</f>
        <v>Cross-border Payouts</v>
      </c>
      <c r="D293" s="19">
        <f>'2025 actual v budget'!D293</f>
        <v>11502752.810000001</v>
      </c>
      <c r="E293" s="97">
        <f>SUMIFS('Assumption-Best'!$C$3:$C$32,'Assumption-Best'!$A$3:$A$32,$B293,'Assumption-Best'!$B$3:$B$32,$C293)</f>
        <v>0.1</v>
      </c>
      <c r="F293" s="19">
        <f t="shared" si="28"/>
        <v>12653028.091000002</v>
      </c>
      <c r="G293" s="98">
        <f>SUMIFS('Assumption-Best'!$D$3:$D$32,'Assumption-Best'!$A$3:$A$32,$B293,'Assumption-Best'!$B$3:$B$32,$C293)</f>
        <v>7.4999999999999997E-3</v>
      </c>
      <c r="H293" s="99">
        <f t="shared" si="29"/>
        <v>94897.710682500008</v>
      </c>
      <c r="I293" s="97">
        <f>SUMIFS('Assumption-Best'!$E$3:$E$32,'Assumption-Best'!$A$3:$A$32,$B293,'Assumption-Best'!$B$3:$B$32,$C293)</f>
        <v>0.35</v>
      </c>
      <c r="J293" s="19">
        <f t="shared" si="30"/>
        <v>33214.198738874999</v>
      </c>
      <c r="K293" s="100">
        <f>SUMIFS('Assumption-Best'!$F$3:$F$32,'Assumption-Best'!$A$3:$A$32,$B293,'Assumption-Best'!$B$3:$B$32,$C293)</f>
        <v>9.0000000000000006E-5</v>
      </c>
      <c r="L293" s="19">
        <f t="shared" si="31"/>
        <v>1138.7725281900002</v>
      </c>
      <c r="M293" s="99">
        <f t="shared" si="32"/>
        <v>60544.739415435011</v>
      </c>
      <c r="N293" s="97">
        <f>SUMIFS('Assumption-Best'!$G$3:$G$32,'Assumption-Best'!$A$3:$A$32,$B293,'Assumption-Best'!$B$3:$B$32,$C293)</f>
        <v>0.35</v>
      </c>
      <c r="O293" s="19">
        <f t="shared" si="33"/>
        <v>33214.198738874999</v>
      </c>
      <c r="P293" s="99">
        <f t="shared" si="34"/>
        <v>27330.540676560013</v>
      </c>
    </row>
    <row r="294" spans="1:16" x14ac:dyDescent="0.35">
      <c r="A294" s="96" t="str">
        <f>LEFT('2025 actual v budget'!A294,4)&amp;"26"</f>
        <v>Oct-26</v>
      </c>
      <c r="B294" s="17" t="str">
        <f>'2025 actual v budget'!B294</f>
        <v>Singapore</v>
      </c>
      <c r="C294" s="17" t="str">
        <f>'2025 actual v budget'!C294</f>
        <v>FX Conversion</v>
      </c>
      <c r="D294" s="19">
        <f>'2025 actual v budget'!D294</f>
        <v>17868137.359999999</v>
      </c>
      <c r="E294" s="97">
        <f>SUMIFS('Assumption-Best'!$C$3:$C$32,'Assumption-Best'!$A$3:$A$32,$B294,'Assumption-Best'!$B$3:$B$32,$C294)</f>
        <v>0.1</v>
      </c>
      <c r="F294" s="19">
        <f t="shared" si="28"/>
        <v>19654951.096000001</v>
      </c>
      <c r="G294" s="98">
        <f>SUMIFS('Assumption-Best'!$D$3:$D$32,'Assumption-Best'!$A$3:$A$32,$B294,'Assumption-Best'!$B$3:$B$32,$C294)</f>
        <v>1.0500000000000001E-2</v>
      </c>
      <c r="H294" s="99">
        <f t="shared" si="29"/>
        <v>206376.98650800003</v>
      </c>
      <c r="I294" s="97">
        <f>SUMIFS('Assumption-Best'!$E$3:$E$32,'Assumption-Best'!$A$3:$A$32,$B294,'Assumption-Best'!$B$3:$B$32,$C294)</f>
        <v>0.28000000000000003</v>
      </c>
      <c r="J294" s="19">
        <f t="shared" si="30"/>
        <v>57785.556222240011</v>
      </c>
      <c r="K294" s="100">
        <f>SUMIFS('Assumption-Best'!$F$3:$F$32,'Assumption-Best'!$A$3:$A$32,$B294,'Assumption-Best'!$B$3:$B$32,$C294)</f>
        <v>9.0000000000000006E-5</v>
      </c>
      <c r="L294" s="19">
        <f t="shared" si="31"/>
        <v>1768.9455986400003</v>
      </c>
      <c r="M294" s="99">
        <f t="shared" si="32"/>
        <v>146822.48468712001</v>
      </c>
      <c r="N294" s="97">
        <f>SUMIFS('Assumption-Best'!$G$3:$G$32,'Assumption-Best'!$A$3:$A$32,$B294,'Assumption-Best'!$B$3:$B$32,$C294)</f>
        <v>0.35</v>
      </c>
      <c r="O294" s="19">
        <f t="shared" si="33"/>
        <v>72231.945277800012</v>
      </c>
      <c r="P294" s="99">
        <f t="shared" si="34"/>
        <v>74590.539409320001</v>
      </c>
    </row>
    <row r="295" spans="1:16" x14ac:dyDescent="0.35">
      <c r="A295" s="96" t="str">
        <f>LEFT('2025 actual v budget'!A295,4)&amp;"26"</f>
        <v>Oct-26</v>
      </c>
      <c r="B295" s="17" t="str">
        <f>'2025 actual v budget'!B295</f>
        <v>Singapore</v>
      </c>
      <c r="C295" s="17" t="str">
        <f>'2025 actual v budget'!C295</f>
        <v>Stablecoin Settlement</v>
      </c>
      <c r="D295" s="19">
        <f>'2025 actual v budget'!D295</f>
        <v>27425087.07</v>
      </c>
      <c r="E295" s="97">
        <f>SUMIFS('Assumption-Best'!$C$3:$C$32,'Assumption-Best'!$A$3:$A$32,$B295,'Assumption-Best'!$B$3:$B$32,$C295)</f>
        <v>0.2</v>
      </c>
      <c r="F295" s="19">
        <f t="shared" si="28"/>
        <v>32910104.483999997</v>
      </c>
      <c r="G295" s="98">
        <f>SUMIFS('Assumption-Best'!$D$3:$D$32,'Assumption-Best'!$A$3:$A$32,$B295,'Assumption-Best'!$B$3:$B$32,$C295)</f>
        <v>6.4999999999999997E-3</v>
      </c>
      <c r="H295" s="99">
        <f t="shared" si="29"/>
        <v>213915.67914599998</v>
      </c>
      <c r="I295" s="97">
        <f>SUMIFS('Assumption-Best'!$E$3:$E$32,'Assumption-Best'!$A$3:$A$32,$B295,'Assumption-Best'!$B$3:$B$32,$C295)</f>
        <v>0.32</v>
      </c>
      <c r="J295" s="19">
        <f t="shared" si="30"/>
        <v>68453.017326720001</v>
      </c>
      <c r="K295" s="100">
        <f>SUMIFS('Assumption-Best'!$F$3:$F$32,'Assumption-Best'!$A$3:$A$32,$B295,'Assumption-Best'!$B$3:$B$32,$C295)</f>
        <v>9.0000000000000006E-5</v>
      </c>
      <c r="L295" s="19">
        <f t="shared" si="31"/>
        <v>2961.9094035600001</v>
      </c>
      <c r="M295" s="99">
        <f t="shared" si="32"/>
        <v>142500.75241571997</v>
      </c>
      <c r="N295" s="97">
        <f>SUMIFS('Assumption-Best'!$G$3:$G$32,'Assumption-Best'!$A$3:$A$32,$B295,'Assumption-Best'!$B$3:$B$32,$C295)</f>
        <v>0.35</v>
      </c>
      <c r="O295" s="19">
        <f t="shared" si="33"/>
        <v>74870.487701099992</v>
      </c>
      <c r="P295" s="99">
        <f t="shared" si="34"/>
        <v>67630.264714619974</v>
      </c>
    </row>
    <row r="296" spans="1:16" x14ac:dyDescent="0.35">
      <c r="A296" s="96" t="str">
        <f>LEFT('2025 actual v budget'!A296,4)&amp;"26"</f>
        <v>Oct-26</v>
      </c>
      <c r="B296" s="17" t="str">
        <f>'2025 actual v budget'!B296</f>
        <v>Singapore</v>
      </c>
      <c r="C296" s="17" t="str">
        <f>'2025 actual v budget'!C296</f>
        <v>Treasury Yield</v>
      </c>
      <c r="D296" s="19">
        <f>'2025 actual v budget'!D296</f>
        <v>7320349.9400000004</v>
      </c>
      <c r="E296" s="97">
        <f>SUMIFS('Assumption-Best'!$C$3:$C$32,'Assumption-Best'!$A$3:$A$32,$B296,'Assumption-Best'!$B$3:$B$32,$C296)</f>
        <v>0.1</v>
      </c>
      <c r="F296" s="19">
        <f t="shared" si="28"/>
        <v>8052384.9340000013</v>
      </c>
      <c r="G296" s="98">
        <f>SUMIFS('Assumption-Best'!$D$3:$D$32,'Assumption-Best'!$A$3:$A$32,$B296,'Assumption-Best'!$B$3:$B$32,$C296)</f>
        <v>3.0000000000000001E-3</v>
      </c>
      <c r="H296" s="99">
        <f t="shared" si="29"/>
        <v>24157.154802000005</v>
      </c>
      <c r="I296" s="97">
        <f>SUMIFS('Assumption-Best'!$E$3:$E$32,'Assumption-Best'!$A$3:$A$32,$B296,'Assumption-Best'!$B$3:$B$32,$C296)</f>
        <v>0.18</v>
      </c>
      <c r="J296" s="19">
        <f t="shared" si="30"/>
        <v>4348.2878643600006</v>
      </c>
      <c r="K296" s="100">
        <f>SUMIFS('Assumption-Best'!$F$3:$F$32,'Assumption-Best'!$A$3:$A$32,$B296,'Assumption-Best'!$B$3:$B$32,$C296)</f>
        <v>9.0000000000000006E-5</v>
      </c>
      <c r="L296" s="19">
        <f t="shared" si="31"/>
        <v>724.71464406000018</v>
      </c>
      <c r="M296" s="99">
        <f t="shared" si="32"/>
        <v>19084.152293580002</v>
      </c>
      <c r="N296" s="97">
        <f>SUMIFS('Assumption-Best'!$G$3:$G$32,'Assumption-Best'!$A$3:$A$32,$B296,'Assumption-Best'!$B$3:$B$32,$C296)</f>
        <v>0.35</v>
      </c>
      <c r="O296" s="19">
        <f t="shared" si="33"/>
        <v>8455.0041807000016</v>
      </c>
      <c r="P296" s="99">
        <f t="shared" si="34"/>
        <v>10629.148112880001</v>
      </c>
    </row>
    <row r="297" spans="1:16" x14ac:dyDescent="0.35">
      <c r="A297" s="96" t="str">
        <f>LEFT('2025 actual v budget'!A297,4)&amp;"26"</f>
        <v>Oct-26</v>
      </c>
      <c r="B297" s="17" t="str">
        <f>'2025 actual v budget'!B297</f>
        <v>Singapore</v>
      </c>
      <c r="C297" s="17" t="str">
        <f>'2025 actual v budget'!C297</f>
        <v>Virtual Accounts</v>
      </c>
      <c r="D297" s="19">
        <f>'2025 actual v budget'!D297</f>
        <v>11139996.93</v>
      </c>
      <c r="E297" s="97">
        <f>SUMIFS('Assumption-Best'!$C$3:$C$32,'Assumption-Best'!$A$3:$A$32,$B297,'Assumption-Best'!$B$3:$B$32,$C297)</f>
        <v>0.1</v>
      </c>
      <c r="F297" s="19">
        <f t="shared" si="28"/>
        <v>12253996.623000002</v>
      </c>
      <c r="G297" s="98">
        <f>SUMIFS('Assumption-Best'!$D$3:$D$32,'Assumption-Best'!$A$3:$A$32,$B297,'Assumption-Best'!$B$3:$B$32,$C297)</f>
        <v>4.4999999999999997E-3</v>
      </c>
      <c r="H297" s="99">
        <f t="shared" si="29"/>
        <v>55142.984803500003</v>
      </c>
      <c r="I297" s="97">
        <f>SUMIFS('Assumption-Best'!$E$3:$E$32,'Assumption-Best'!$A$3:$A$32,$B297,'Assumption-Best'!$B$3:$B$32,$C297)</f>
        <v>0.22</v>
      </c>
      <c r="J297" s="19">
        <f t="shared" si="30"/>
        <v>12131.45665677</v>
      </c>
      <c r="K297" s="100">
        <f>SUMIFS('Assumption-Best'!$F$3:$F$32,'Assumption-Best'!$A$3:$A$32,$B297,'Assumption-Best'!$B$3:$B$32,$C297)</f>
        <v>9.0000000000000006E-5</v>
      </c>
      <c r="L297" s="19">
        <f t="shared" si="31"/>
        <v>1102.8596960700002</v>
      </c>
      <c r="M297" s="99">
        <f t="shared" si="32"/>
        <v>41908.66845066</v>
      </c>
      <c r="N297" s="97">
        <f>SUMIFS('Assumption-Best'!$G$3:$G$32,'Assumption-Best'!$A$3:$A$32,$B297,'Assumption-Best'!$B$3:$B$32,$C297)</f>
        <v>0.35</v>
      </c>
      <c r="O297" s="19">
        <f t="shared" si="33"/>
        <v>19300.044681225001</v>
      </c>
      <c r="P297" s="99">
        <f t="shared" si="34"/>
        <v>22608.623769434998</v>
      </c>
    </row>
    <row r="298" spans="1:16" x14ac:dyDescent="0.35">
      <c r="A298" s="96" t="str">
        <f>LEFT('2025 actual v budget'!A298,4)&amp;"26"</f>
        <v>Oct-26</v>
      </c>
      <c r="B298" s="17" t="str">
        <f>'2025 actual v budget'!B298</f>
        <v>USA</v>
      </c>
      <c r="C298" s="17" t="str">
        <f>'2025 actual v budget'!C298</f>
        <v>Cross-border Payouts</v>
      </c>
      <c r="D298" s="19">
        <f>'2025 actual v budget'!D298</f>
        <v>27553282.859999999</v>
      </c>
      <c r="E298" s="97">
        <f>SUMIFS('Assumption-Best'!$C$3:$C$32,'Assumption-Best'!$A$3:$A$32,$B298,'Assumption-Best'!$B$3:$B$32,$C298)</f>
        <v>0.2</v>
      </c>
      <c r="F298" s="19">
        <f t="shared" si="28"/>
        <v>33063939.431999996</v>
      </c>
      <c r="G298" s="98">
        <f>SUMIFS('Assumption-Best'!$D$3:$D$32,'Assumption-Best'!$A$3:$A$32,$B298,'Assumption-Best'!$B$3:$B$32,$C298)</f>
        <v>7.4999999999999997E-3</v>
      </c>
      <c r="H298" s="99">
        <f t="shared" si="29"/>
        <v>247979.54573999997</v>
      </c>
      <c r="I298" s="97">
        <f>SUMIFS('Assumption-Best'!$E$3:$E$32,'Assumption-Best'!$A$3:$A$32,$B298,'Assumption-Best'!$B$3:$B$32,$C298)</f>
        <v>0.35</v>
      </c>
      <c r="J298" s="19">
        <f t="shared" si="30"/>
        <v>86792.841008999982</v>
      </c>
      <c r="K298" s="100">
        <f>SUMIFS('Assumption-Best'!$F$3:$F$32,'Assumption-Best'!$A$3:$A$32,$B298,'Assumption-Best'!$B$3:$B$32,$C298)</f>
        <v>2.0000000000000001E-4</v>
      </c>
      <c r="L298" s="19">
        <f t="shared" si="31"/>
        <v>6612.7878863999995</v>
      </c>
      <c r="M298" s="99">
        <f t="shared" si="32"/>
        <v>154573.9168446</v>
      </c>
      <c r="N298" s="97">
        <f>SUMIFS('Assumption-Best'!$G$3:$G$32,'Assumption-Best'!$A$3:$A$32,$B298,'Assumption-Best'!$B$3:$B$32,$C298)</f>
        <v>0.35</v>
      </c>
      <c r="O298" s="19">
        <f t="shared" si="33"/>
        <v>86792.841008999982</v>
      </c>
      <c r="P298" s="99">
        <f t="shared" si="34"/>
        <v>67781.075835600015</v>
      </c>
    </row>
    <row r="299" spans="1:16" x14ac:dyDescent="0.35">
      <c r="A299" s="96" t="str">
        <f>LEFT('2025 actual v budget'!A299,4)&amp;"26"</f>
        <v>Oct-26</v>
      </c>
      <c r="B299" s="17" t="str">
        <f>'2025 actual v budget'!B299</f>
        <v>USA</v>
      </c>
      <c r="C299" s="17" t="str">
        <f>'2025 actual v budget'!C299</f>
        <v>FX Conversion</v>
      </c>
      <c r="D299" s="19">
        <f>'2025 actual v budget'!D299</f>
        <v>42791963.399999999</v>
      </c>
      <c r="E299" s="97">
        <f>SUMIFS('Assumption-Best'!$C$3:$C$32,'Assumption-Best'!$A$3:$A$32,$B299,'Assumption-Best'!$B$3:$B$32,$C299)</f>
        <v>0.2</v>
      </c>
      <c r="F299" s="19">
        <f t="shared" si="28"/>
        <v>51350356.079999998</v>
      </c>
      <c r="G299" s="98">
        <f>SUMIFS('Assumption-Best'!$D$3:$D$32,'Assumption-Best'!$A$3:$A$32,$B299,'Assumption-Best'!$B$3:$B$32,$C299)</f>
        <v>1.0500000000000001E-2</v>
      </c>
      <c r="H299" s="99">
        <f t="shared" si="29"/>
        <v>539178.73884000001</v>
      </c>
      <c r="I299" s="97">
        <f>SUMIFS('Assumption-Best'!$E$3:$E$32,'Assumption-Best'!$A$3:$A$32,$B299,'Assumption-Best'!$B$3:$B$32,$C299)</f>
        <v>0.28000000000000003</v>
      </c>
      <c r="J299" s="19">
        <f t="shared" si="30"/>
        <v>150970.0468752</v>
      </c>
      <c r="K299" s="100">
        <f>SUMIFS('Assumption-Best'!$F$3:$F$32,'Assumption-Best'!$A$3:$A$32,$B299,'Assumption-Best'!$B$3:$B$32,$C299)</f>
        <v>2.0000000000000001E-4</v>
      </c>
      <c r="L299" s="19">
        <f t="shared" si="31"/>
        <v>10270.071216</v>
      </c>
      <c r="M299" s="99">
        <f t="shared" si="32"/>
        <v>377938.62074879999</v>
      </c>
      <c r="N299" s="97">
        <f>SUMIFS('Assumption-Best'!$G$3:$G$32,'Assumption-Best'!$A$3:$A$32,$B299,'Assumption-Best'!$B$3:$B$32,$C299)</f>
        <v>0.35</v>
      </c>
      <c r="O299" s="19">
        <f t="shared" si="33"/>
        <v>188712.558594</v>
      </c>
      <c r="P299" s="99">
        <f t="shared" si="34"/>
        <v>189226.06215479999</v>
      </c>
    </row>
    <row r="300" spans="1:16" x14ac:dyDescent="0.35">
      <c r="A300" s="96" t="str">
        <f>LEFT('2025 actual v budget'!A300,4)&amp;"26"</f>
        <v>Oct-26</v>
      </c>
      <c r="B300" s="17" t="str">
        <f>'2025 actual v budget'!B300</f>
        <v>USA</v>
      </c>
      <c r="C300" s="17" t="str">
        <f>'2025 actual v budget'!C300</f>
        <v>Stablecoin Settlement</v>
      </c>
      <c r="D300" s="19">
        <f>'2025 actual v budget'!D300</f>
        <v>65693073.140000001</v>
      </c>
      <c r="E300" s="97">
        <f>SUMIFS('Assumption-Best'!$C$3:$C$32,'Assumption-Best'!$A$3:$A$32,$B300,'Assumption-Best'!$B$3:$B$32,$C300)</f>
        <v>0.4</v>
      </c>
      <c r="F300" s="19">
        <f t="shared" si="28"/>
        <v>91970302.395999998</v>
      </c>
      <c r="G300" s="98">
        <f>SUMIFS('Assumption-Best'!$D$3:$D$32,'Assumption-Best'!$A$3:$A$32,$B300,'Assumption-Best'!$B$3:$B$32,$C300)</f>
        <v>6.4999999999999997E-3</v>
      </c>
      <c r="H300" s="99">
        <f t="shared" si="29"/>
        <v>597806.96557399991</v>
      </c>
      <c r="I300" s="97">
        <f>SUMIFS('Assumption-Best'!$E$3:$E$32,'Assumption-Best'!$A$3:$A$32,$B300,'Assumption-Best'!$B$3:$B$32,$C300)</f>
        <v>0.32</v>
      </c>
      <c r="J300" s="19">
        <f t="shared" si="30"/>
        <v>191298.22898367999</v>
      </c>
      <c r="K300" s="100">
        <f>SUMIFS('Assumption-Best'!$F$3:$F$32,'Assumption-Best'!$A$3:$A$32,$B300,'Assumption-Best'!$B$3:$B$32,$C300)</f>
        <v>2.0000000000000001E-4</v>
      </c>
      <c r="L300" s="19">
        <f t="shared" si="31"/>
        <v>18394.060479200001</v>
      </c>
      <c r="M300" s="99">
        <f t="shared" si="32"/>
        <v>388114.67611111992</v>
      </c>
      <c r="N300" s="97">
        <f>SUMIFS('Assumption-Best'!$G$3:$G$32,'Assumption-Best'!$A$3:$A$32,$B300,'Assumption-Best'!$B$3:$B$32,$C300)</f>
        <v>0.35</v>
      </c>
      <c r="O300" s="19">
        <f t="shared" si="33"/>
        <v>209232.43795089997</v>
      </c>
      <c r="P300" s="99">
        <f t="shared" si="34"/>
        <v>178882.23816021995</v>
      </c>
    </row>
    <row r="301" spans="1:16" x14ac:dyDescent="0.35">
      <c r="A301" s="96" t="str">
        <f>LEFT('2025 actual v budget'!A301,4)&amp;"26"</f>
        <v>Oct-26</v>
      </c>
      <c r="B301" s="17" t="str">
        <f>'2025 actual v budget'!B301</f>
        <v>USA</v>
      </c>
      <c r="C301" s="17" t="str">
        <f>'2025 actual v budget'!C301</f>
        <v>Treasury Yield</v>
      </c>
      <c r="D301" s="19">
        <f>'2025 actual v budget'!D301</f>
        <v>17531326.32</v>
      </c>
      <c r="E301" s="97">
        <f>SUMIFS('Assumption-Best'!$C$3:$C$32,'Assumption-Best'!$A$3:$A$32,$B301,'Assumption-Best'!$B$3:$B$32,$C301)</f>
        <v>0.2</v>
      </c>
      <c r="F301" s="19">
        <f t="shared" si="28"/>
        <v>21037591.583999999</v>
      </c>
      <c r="G301" s="98">
        <f>SUMIFS('Assumption-Best'!$D$3:$D$32,'Assumption-Best'!$A$3:$A$32,$B301,'Assumption-Best'!$B$3:$B$32,$C301)</f>
        <v>3.0000000000000001E-3</v>
      </c>
      <c r="H301" s="99">
        <f t="shared" si="29"/>
        <v>63112.774751999998</v>
      </c>
      <c r="I301" s="97">
        <f>SUMIFS('Assumption-Best'!$E$3:$E$32,'Assumption-Best'!$A$3:$A$32,$B301,'Assumption-Best'!$B$3:$B$32,$C301)</f>
        <v>0.18</v>
      </c>
      <c r="J301" s="19">
        <f t="shared" si="30"/>
        <v>11360.299455359998</v>
      </c>
      <c r="K301" s="100">
        <f>SUMIFS('Assumption-Best'!$F$3:$F$32,'Assumption-Best'!$A$3:$A$32,$B301,'Assumption-Best'!$B$3:$B$32,$C301)</f>
        <v>2.0000000000000001E-4</v>
      </c>
      <c r="L301" s="19">
        <f t="shared" si="31"/>
        <v>4207.5183168000003</v>
      </c>
      <c r="M301" s="99">
        <f t="shared" si="32"/>
        <v>47544.956979839997</v>
      </c>
      <c r="N301" s="97">
        <f>SUMIFS('Assumption-Best'!$G$3:$G$32,'Assumption-Best'!$A$3:$A$32,$B301,'Assumption-Best'!$B$3:$B$32,$C301)</f>
        <v>0.35</v>
      </c>
      <c r="O301" s="19">
        <f t="shared" si="33"/>
        <v>22089.471163199996</v>
      </c>
      <c r="P301" s="99">
        <f t="shared" si="34"/>
        <v>25455.485816640001</v>
      </c>
    </row>
    <row r="302" spans="1:16" x14ac:dyDescent="0.35">
      <c r="A302" s="96" t="str">
        <f>LEFT('2025 actual v budget'!A302,4)&amp;"26"</f>
        <v>Oct-26</v>
      </c>
      <c r="B302" s="17" t="str">
        <f>'2025 actual v budget'!B302</f>
        <v>USA</v>
      </c>
      <c r="C302" s="17" t="str">
        <f>'2025 actual v budget'!C302</f>
        <v>Virtual Accounts</v>
      </c>
      <c r="D302" s="19">
        <f>'2025 actual v budget'!D302</f>
        <v>26678905.100000001</v>
      </c>
      <c r="E302" s="97">
        <f>SUMIFS('Assumption-Best'!$C$3:$C$32,'Assumption-Best'!$A$3:$A$32,$B302,'Assumption-Best'!$B$3:$B$32,$C302)</f>
        <v>0.2</v>
      </c>
      <c r="F302" s="19">
        <f t="shared" si="28"/>
        <v>32014686.120000001</v>
      </c>
      <c r="G302" s="98">
        <f>SUMIFS('Assumption-Best'!$D$3:$D$32,'Assumption-Best'!$A$3:$A$32,$B302,'Assumption-Best'!$B$3:$B$32,$C302)</f>
        <v>4.4999999999999997E-3</v>
      </c>
      <c r="H302" s="99">
        <f t="shared" si="29"/>
        <v>144066.08754000001</v>
      </c>
      <c r="I302" s="97">
        <f>SUMIFS('Assumption-Best'!$E$3:$E$32,'Assumption-Best'!$A$3:$A$32,$B302,'Assumption-Best'!$B$3:$B$32,$C302)</f>
        <v>0.22</v>
      </c>
      <c r="J302" s="19">
        <f t="shared" si="30"/>
        <v>31694.539258800003</v>
      </c>
      <c r="K302" s="100">
        <f>SUMIFS('Assumption-Best'!$F$3:$F$32,'Assumption-Best'!$A$3:$A$32,$B302,'Assumption-Best'!$B$3:$B$32,$C302)</f>
        <v>2.0000000000000001E-4</v>
      </c>
      <c r="L302" s="19">
        <f t="shared" si="31"/>
        <v>6402.9372240000002</v>
      </c>
      <c r="M302" s="99">
        <f t="shared" si="32"/>
        <v>105968.6110572</v>
      </c>
      <c r="N302" s="97">
        <f>SUMIFS('Assumption-Best'!$G$3:$G$32,'Assumption-Best'!$A$3:$A$32,$B302,'Assumption-Best'!$B$3:$B$32,$C302)</f>
        <v>0.35</v>
      </c>
      <c r="O302" s="19">
        <f t="shared" si="33"/>
        <v>50423.130639000003</v>
      </c>
      <c r="P302" s="99">
        <f t="shared" si="34"/>
        <v>55545.480418200001</v>
      </c>
    </row>
    <row r="303" spans="1:16" x14ac:dyDescent="0.35">
      <c r="A303" s="91" t="str">
        <f>LEFT('2025 actual v budget'!A303,4)&amp;"26"</f>
        <v>Nov-26</v>
      </c>
      <c r="B303" s="12" t="str">
        <f>'2025 actual v budget'!B303</f>
        <v>Brazil</v>
      </c>
      <c r="C303" s="12" t="str">
        <f>'2025 actual v budget'!C303</f>
        <v>Cross-border Payouts</v>
      </c>
      <c r="D303" s="14">
        <f>'2025 actual v budget'!D303</f>
        <v>19320462.440000001</v>
      </c>
      <c r="E303" s="92">
        <f>SUMIFS('Assumption-Best'!$C$3:$C$32,'Assumption-Best'!$A$3:$A$32,$B303,'Assumption-Best'!$B$3:$B$32,$C303)</f>
        <v>0.4</v>
      </c>
      <c r="F303" s="14">
        <f t="shared" si="28"/>
        <v>27048647.416000001</v>
      </c>
      <c r="G303" s="93">
        <f>SUMIFS('Assumption-Best'!$D$3:$D$32,'Assumption-Best'!$A$3:$A$32,$B303,'Assumption-Best'!$B$3:$B$32,$C303)</f>
        <v>7.4999999999999997E-3</v>
      </c>
      <c r="H303" s="94">
        <f t="shared" si="29"/>
        <v>202864.85561999999</v>
      </c>
      <c r="I303" s="92">
        <f>SUMIFS('Assumption-Best'!$E$3:$E$32,'Assumption-Best'!$A$3:$A$32,$B303,'Assumption-Best'!$B$3:$B$32,$C303)</f>
        <v>0.35</v>
      </c>
      <c r="J303" s="14">
        <f t="shared" si="30"/>
        <v>71002.699466999984</v>
      </c>
      <c r="K303" s="95">
        <f>SUMIFS('Assumption-Best'!$F$3:$F$32,'Assumption-Best'!$A$3:$A$32,$B303,'Assumption-Best'!$B$3:$B$32,$C303)</f>
        <v>6.9999999999999994E-5</v>
      </c>
      <c r="L303" s="14">
        <f t="shared" si="31"/>
        <v>1893.4053191199998</v>
      </c>
      <c r="M303" s="94">
        <f t="shared" si="32"/>
        <v>129968.75083388003</v>
      </c>
      <c r="N303" s="92">
        <f>SUMIFS('Assumption-Best'!$G$3:$G$32,'Assumption-Best'!$A$3:$A$32,$B303,'Assumption-Best'!$B$3:$B$32,$C303)</f>
        <v>0.35</v>
      </c>
      <c r="O303" s="14">
        <f t="shared" si="33"/>
        <v>71002.699466999984</v>
      </c>
      <c r="P303" s="94">
        <f t="shared" si="34"/>
        <v>58966.051366880041</v>
      </c>
    </row>
    <row r="304" spans="1:16" x14ac:dyDescent="0.35">
      <c r="A304" s="91" t="str">
        <f>LEFT('2025 actual v budget'!A304,4)&amp;"26"</f>
        <v>Nov-26</v>
      </c>
      <c r="B304" s="12" t="str">
        <f>'2025 actual v budget'!B304</f>
        <v>Brazil</v>
      </c>
      <c r="C304" s="12" t="str">
        <f>'2025 actual v budget'!C304</f>
        <v>FX Conversion</v>
      </c>
      <c r="D304" s="14">
        <f>'2025 actual v budget'!D304</f>
        <v>29577049.48</v>
      </c>
      <c r="E304" s="92">
        <f>SUMIFS('Assumption-Best'!$C$3:$C$32,'Assumption-Best'!$A$3:$A$32,$B304,'Assumption-Best'!$B$3:$B$32,$C304)</f>
        <v>0.4</v>
      </c>
      <c r="F304" s="14">
        <f t="shared" si="28"/>
        <v>41407869.272</v>
      </c>
      <c r="G304" s="93">
        <f>SUMIFS('Assumption-Best'!$D$3:$D$32,'Assumption-Best'!$A$3:$A$32,$B304,'Assumption-Best'!$B$3:$B$32,$C304)</f>
        <v>1.0500000000000001E-2</v>
      </c>
      <c r="H304" s="94">
        <f t="shared" si="29"/>
        <v>434782.62735600001</v>
      </c>
      <c r="I304" s="92">
        <f>SUMIFS('Assumption-Best'!$E$3:$E$32,'Assumption-Best'!$A$3:$A$32,$B304,'Assumption-Best'!$B$3:$B$32,$C304)</f>
        <v>0.28000000000000003</v>
      </c>
      <c r="J304" s="14">
        <f t="shared" si="30"/>
        <v>121739.13565968002</v>
      </c>
      <c r="K304" s="95">
        <f>SUMIFS('Assumption-Best'!$F$3:$F$32,'Assumption-Best'!$A$3:$A$32,$B304,'Assumption-Best'!$B$3:$B$32,$C304)</f>
        <v>6.9999999999999994E-5</v>
      </c>
      <c r="L304" s="14">
        <f t="shared" si="31"/>
        <v>2898.5508490399998</v>
      </c>
      <c r="M304" s="94">
        <f t="shared" si="32"/>
        <v>310144.94084728003</v>
      </c>
      <c r="N304" s="92">
        <f>SUMIFS('Assumption-Best'!$G$3:$G$32,'Assumption-Best'!$A$3:$A$32,$B304,'Assumption-Best'!$B$3:$B$32,$C304)</f>
        <v>0.35</v>
      </c>
      <c r="O304" s="14">
        <f t="shared" si="33"/>
        <v>152173.9195746</v>
      </c>
      <c r="P304" s="94">
        <f t="shared" si="34"/>
        <v>157971.02127268002</v>
      </c>
    </row>
    <row r="305" spans="1:16" x14ac:dyDescent="0.35">
      <c r="A305" s="91" t="str">
        <f>LEFT('2025 actual v budget'!A305,4)&amp;"26"</f>
        <v>Nov-26</v>
      </c>
      <c r="B305" s="12" t="str">
        <f>'2025 actual v budget'!B305</f>
        <v>Brazil</v>
      </c>
      <c r="C305" s="12" t="str">
        <f>'2025 actual v budget'!C305</f>
        <v>Stablecoin Settlement</v>
      </c>
      <c r="D305" s="14">
        <f>'2025 actual v budget'!D305</f>
        <v>46921613.289999999</v>
      </c>
      <c r="E305" s="92">
        <f>SUMIFS('Assumption-Best'!$C$3:$C$32,'Assumption-Best'!$A$3:$A$32,$B305,'Assumption-Best'!$B$3:$B$32,$C305)</f>
        <v>0.8</v>
      </c>
      <c r="F305" s="14">
        <f t="shared" si="28"/>
        <v>84458903.922000006</v>
      </c>
      <c r="G305" s="93">
        <f>SUMIFS('Assumption-Best'!$D$3:$D$32,'Assumption-Best'!$A$3:$A$32,$B305,'Assumption-Best'!$B$3:$B$32,$C305)</f>
        <v>6.4999999999999997E-3</v>
      </c>
      <c r="H305" s="94">
        <f t="shared" si="29"/>
        <v>548982.87549300003</v>
      </c>
      <c r="I305" s="92">
        <f>SUMIFS('Assumption-Best'!$E$3:$E$32,'Assumption-Best'!$A$3:$A$32,$B305,'Assumption-Best'!$B$3:$B$32,$C305)</f>
        <v>0.32</v>
      </c>
      <c r="J305" s="14">
        <f t="shared" si="30"/>
        <v>175674.52015776001</v>
      </c>
      <c r="K305" s="95">
        <f>SUMIFS('Assumption-Best'!$F$3:$F$32,'Assumption-Best'!$A$3:$A$32,$B305,'Assumption-Best'!$B$3:$B$32,$C305)</f>
        <v>6.9999999999999994E-5</v>
      </c>
      <c r="L305" s="14">
        <f t="shared" si="31"/>
        <v>5912.1232745400002</v>
      </c>
      <c r="M305" s="94">
        <f t="shared" si="32"/>
        <v>367396.23206070001</v>
      </c>
      <c r="N305" s="92">
        <f>SUMIFS('Assumption-Best'!$G$3:$G$32,'Assumption-Best'!$A$3:$A$32,$B305,'Assumption-Best'!$B$3:$B$32,$C305)</f>
        <v>0.35</v>
      </c>
      <c r="O305" s="14">
        <f t="shared" si="33"/>
        <v>192144.00642255001</v>
      </c>
      <c r="P305" s="94">
        <f t="shared" si="34"/>
        <v>175252.22563815</v>
      </c>
    </row>
    <row r="306" spans="1:16" x14ac:dyDescent="0.35">
      <c r="A306" s="91" t="str">
        <f>LEFT('2025 actual v budget'!A306,4)&amp;"26"</f>
        <v>Nov-26</v>
      </c>
      <c r="B306" s="12" t="str">
        <f>'2025 actual v budget'!B306</f>
        <v>Brazil</v>
      </c>
      <c r="C306" s="12" t="str">
        <f>'2025 actual v budget'!C306</f>
        <v>Treasury Yield</v>
      </c>
      <c r="D306" s="14">
        <f>'2025 actual v budget'!D306</f>
        <v>12308888.470000001</v>
      </c>
      <c r="E306" s="92">
        <f>SUMIFS('Assumption-Best'!$C$3:$C$32,'Assumption-Best'!$A$3:$A$32,$B306,'Assumption-Best'!$B$3:$B$32,$C306)</f>
        <v>0.4</v>
      </c>
      <c r="F306" s="14">
        <f t="shared" si="28"/>
        <v>17232443.857999999</v>
      </c>
      <c r="G306" s="93">
        <f>SUMIFS('Assumption-Best'!$D$3:$D$32,'Assumption-Best'!$A$3:$A$32,$B306,'Assumption-Best'!$B$3:$B$32,$C306)</f>
        <v>3.0000000000000001E-3</v>
      </c>
      <c r="H306" s="94">
        <f t="shared" si="29"/>
        <v>51697.331573999996</v>
      </c>
      <c r="I306" s="92">
        <f>SUMIFS('Assumption-Best'!$E$3:$E$32,'Assumption-Best'!$A$3:$A$32,$B306,'Assumption-Best'!$B$3:$B$32,$C306)</f>
        <v>0.18</v>
      </c>
      <c r="J306" s="14">
        <f t="shared" si="30"/>
        <v>9305.5196833199989</v>
      </c>
      <c r="K306" s="95">
        <f>SUMIFS('Assumption-Best'!$F$3:$F$32,'Assumption-Best'!$A$3:$A$32,$B306,'Assumption-Best'!$B$3:$B$32,$C306)</f>
        <v>6.9999999999999994E-5</v>
      </c>
      <c r="L306" s="14">
        <f t="shared" si="31"/>
        <v>1206.2710700599998</v>
      </c>
      <c r="M306" s="94">
        <f t="shared" si="32"/>
        <v>41185.540820619994</v>
      </c>
      <c r="N306" s="92">
        <f>SUMIFS('Assumption-Best'!$G$3:$G$32,'Assumption-Best'!$A$3:$A$32,$B306,'Assumption-Best'!$B$3:$B$32,$C306)</f>
        <v>0.35</v>
      </c>
      <c r="O306" s="14">
        <f t="shared" si="33"/>
        <v>18094.066050899997</v>
      </c>
      <c r="P306" s="94">
        <f t="shared" si="34"/>
        <v>23091.474769719996</v>
      </c>
    </row>
    <row r="307" spans="1:16" x14ac:dyDescent="0.35">
      <c r="A307" s="91" t="str">
        <f>LEFT('2025 actual v budget'!A307,4)&amp;"26"</f>
        <v>Nov-26</v>
      </c>
      <c r="B307" s="12" t="str">
        <f>'2025 actual v budget'!B307</f>
        <v>Brazil</v>
      </c>
      <c r="C307" s="12" t="str">
        <f>'2025 actual v budget'!C307</f>
        <v>Virtual Accounts</v>
      </c>
      <c r="D307" s="14">
        <f>'2025 actual v budget'!D307</f>
        <v>19090682.280000001</v>
      </c>
      <c r="E307" s="92">
        <f>SUMIFS('Assumption-Best'!$C$3:$C$32,'Assumption-Best'!$A$3:$A$32,$B307,'Assumption-Best'!$B$3:$B$32,$C307)</f>
        <v>0.4</v>
      </c>
      <c r="F307" s="14">
        <f t="shared" si="28"/>
        <v>26726955.192000002</v>
      </c>
      <c r="G307" s="93">
        <f>SUMIFS('Assumption-Best'!$D$3:$D$32,'Assumption-Best'!$A$3:$A$32,$B307,'Assumption-Best'!$B$3:$B$32,$C307)</f>
        <v>4.4999999999999997E-3</v>
      </c>
      <c r="H307" s="94">
        <f t="shared" si="29"/>
        <v>120271.298364</v>
      </c>
      <c r="I307" s="92">
        <f>SUMIFS('Assumption-Best'!$E$3:$E$32,'Assumption-Best'!$A$3:$A$32,$B307,'Assumption-Best'!$B$3:$B$32,$C307)</f>
        <v>0.22</v>
      </c>
      <c r="J307" s="14">
        <f t="shared" si="30"/>
        <v>26459.685640079999</v>
      </c>
      <c r="K307" s="95">
        <f>SUMIFS('Assumption-Best'!$F$3:$F$32,'Assumption-Best'!$A$3:$A$32,$B307,'Assumption-Best'!$B$3:$B$32,$C307)</f>
        <v>6.9999999999999994E-5</v>
      </c>
      <c r="L307" s="14">
        <f t="shared" si="31"/>
        <v>1870.8868634399998</v>
      </c>
      <c r="M307" s="94">
        <f t="shared" si="32"/>
        <v>91940.725860480001</v>
      </c>
      <c r="N307" s="92">
        <f>SUMIFS('Assumption-Best'!$G$3:$G$32,'Assumption-Best'!$A$3:$A$32,$B307,'Assumption-Best'!$B$3:$B$32,$C307)</f>
        <v>0.35</v>
      </c>
      <c r="O307" s="14">
        <f t="shared" si="33"/>
        <v>42094.9544274</v>
      </c>
      <c r="P307" s="94">
        <f t="shared" si="34"/>
        <v>49845.771433080001</v>
      </c>
    </row>
    <row r="308" spans="1:16" x14ac:dyDescent="0.35">
      <c r="A308" s="91" t="str">
        <f>LEFT('2025 actual v budget'!A308,4)&amp;"26"</f>
        <v>Nov-26</v>
      </c>
      <c r="B308" s="12" t="str">
        <f>'2025 actual v budget'!B308</f>
        <v>Germany</v>
      </c>
      <c r="C308" s="12" t="str">
        <f>'2025 actual v budget'!C308</f>
        <v>Cross-border Payouts</v>
      </c>
      <c r="D308" s="14">
        <f>'2025 actual v budget'!D308</f>
        <v>8677006.0500000007</v>
      </c>
      <c r="E308" s="92">
        <f>SUMIFS('Assumption-Best'!$C$3:$C$32,'Assumption-Best'!$A$3:$A$32,$B308,'Assumption-Best'!$B$3:$B$32,$C308)</f>
        <v>0.12</v>
      </c>
      <c r="F308" s="14">
        <f t="shared" si="28"/>
        <v>9718246.7760000024</v>
      </c>
      <c r="G308" s="93">
        <f>SUMIFS('Assumption-Best'!$D$3:$D$32,'Assumption-Best'!$A$3:$A$32,$B308,'Assumption-Best'!$B$3:$B$32,$C308)</f>
        <v>7.4999999999999997E-3</v>
      </c>
      <c r="H308" s="94">
        <f t="shared" si="29"/>
        <v>72886.850820000021</v>
      </c>
      <c r="I308" s="92">
        <f>SUMIFS('Assumption-Best'!$E$3:$E$32,'Assumption-Best'!$A$3:$A$32,$B308,'Assumption-Best'!$B$3:$B$32,$C308)</f>
        <v>0.35</v>
      </c>
      <c r="J308" s="14">
        <f t="shared" si="30"/>
        <v>25510.397787000005</v>
      </c>
      <c r="K308" s="95">
        <f>SUMIFS('Assumption-Best'!$F$3:$F$32,'Assumption-Best'!$A$3:$A$32,$B308,'Assumption-Best'!$B$3:$B$32,$C308)</f>
        <v>1.4999999999999999E-4</v>
      </c>
      <c r="L308" s="14">
        <f t="shared" si="31"/>
        <v>1457.7370164000001</v>
      </c>
      <c r="M308" s="94">
        <f t="shared" si="32"/>
        <v>45918.71601660001</v>
      </c>
      <c r="N308" s="92">
        <f>SUMIFS('Assumption-Best'!$G$3:$G$32,'Assumption-Best'!$A$3:$A$32,$B308,'Assumption-Best'!$B$3:$B$32,$C308)</f>
        <v>0.35</v>
      </c>
      <c r="O308" s="14">
        <f t="shared" si="33"/>
        <v>25510.397787000005</v>
      </c>
      <c r="P308" s="94">
        <f t="shared" si="34"/>
        <v>20408.318229600005</v>
      </c>
    </row>
    <row r="309" spans="1:16" x14ac:dyDescent="0.35">
      <c r="A309" s="91" t="str">
        <f>LEFT('2025 actual v budget'!A309,4)&amp;"26"</f>
        <v>Nov-26</v>
      </c>
      <c r="B309" s="12" t="str">
        <f>'2025 actual v budget'!B309</f>
        <v>Germany</v>
      </c>
      <c r="C309" s="12" t="str">
        <f>'2025 actual v budget'!C309</f>
        <v>FX Conversion</v>
      </c>
      <c r="D309" s="14">
        <f>'2025 actual v budget'!D309</f>
        <v>13271351.279999999</v>
      </c>
      <c r="E309" s="92">
        <f>SUMIFS('Assumption-Best'!$C$3:$C$32,'Assumption-Best'!$A$3:$A$32,$B309,'Assumption-Best'!$B$3:$B$32,$C309)</f>
        <v>0.12</v>
      </c>
      <c r="F309" s="14">
        <f t="shared" si="28"/>
        <v>14863913.433600001</v>
      </c>
      <c r="G309" s="93">
        <f>SUMIFS('Assumption-Best'!$D$3:$D$32,'Assumption-Best'!$A$3:$A$32,$B309,'Assumption-Best'!$B$3:$B$32,$C309)</f>
        <v>1.0500000000000001E-2</v>
      </c>
      <c r="H309" s="94">
        <f t="shared" si="29"/>
        <v>156071.09105280001</v>
      </c>
      <c r="I309" s="92">
        <f>SUMIFS('Assumption-Best'!$E$3:$E$32,'Assumption-Best'!$A$3:$A$32,$B309,'Assumption-Best'!$B$3:$B$32,$C309)</f>
        <v>0.28000000000000003</v>
      </c>
      <c r="J309" s="14">
        <f t="shared" si="30"/>
        <v>43699.905494784005</v>
      </c>
      <c r="K309" s="95">
        <f>SUMIFS('Assumption-Best'!$F$3:$F$32,'Assumption-Best'!$A$3:$A$32,$B309,'Assumption-Best'!$B$3:$B$32,$C309)</f>
        <v>1.4999999999999999E-4</v>
      </c>
      <c r="L309" s="14">
        <f t="shared" si="31"/>
        <v>2229.5870150400001</v>
      </c>
      <c r="M309" s="94">
        <f t="shared" si="32"/>
        <v>110141.598542976</v>
      </c>
      <c r="N309" s="92">
        <f>SUMIFS('Assumption-Best'!$G$3:$G$32,'Assumption-Best'!$A$3:$A$32,$B309,'Assumption-Best'!$B$3:$B$32,$C309)</f>
        <v>0.35</v>
      </c>
      <c r="O309" s="14">
        <f t="shared" si="33"/>
        <v>54624.881868479999</v>
      </c>
      <c r="P309" s="94">
        <f t="shared" si="34"/>
        <v>55516.716674496005</v>
      </c>
    </row>
    <row r="310" spans="1:16" x14ac:dyDescent="0.35">
      <c r="A310" s="91" t="str">
        <f>LEFT('2025 actual v budget'!A310,4)&amp;"26"</f>
        <v>Nov-26</v>
      </c>
      <c r="B310" s="12" t="str">
        <f>'2025 actual v budget'!B310</f>
        <v>Germany</v>
      </c>
      <c r="C310" s="12" t="str">
        <f>'2025 actual v budget'!C310</f>
        <v>Stablecoin Settlement</v>
      </c>
      <c r="D310" s="14">
        <f>'2025 actual v budget'!D310</f>
        <v>21072949.149999999</v>
      </c>
      <c r="E310" s="92">
        <f>SUMIFS('Assumption-Best'!$C$3:$C$32,'Assumption-Best'!$A$3:$A$32,$B310,'Assumption-Best'!$B$3:$B$32,$C310)</f>
        <v>0.24</v>
      </c>
      <c r="F310" s="14">
        <f t="shared" si="28"/>
        <v>26130456.945999999</v>
      </c>
      <c r="G310" s="93">
        <f>SUMIFS('Assumption-Best'!$D$3:$D$32,'Assumption-Best'!$A$3:$A$32,$B310,'Assumption-Best'!$B$3:$B$32,$C310)</f>
        <v>6.4999999999999997E-3</v>
      </c>
      <c r="H310" s="94">
        <f t="shared" si="29"/>
        <v>169847.97014899997</v>
      </c>
      <c r="I310" s="92">
        <f>SUMIFS('Assumption-Best'!$E$3:$E$32,'Assumption-Best'!$A$3:$A$32,$B310,'Assumption-Best'!$B$3:$B$32,$C310)</f>
        <v>0.32</v>
      </c>
      <c r="J310" s="14">
        <f t="shared" si="30"/>
        <v>54351.350447679994</v>
      </c>
      <c r="K310" s="95">
        <f>SUMIFS('Assumption-Best'!$F$3:$F$32,'Assumption-Best'!$A$3:$A$32,$B310,'Assumption-Best'!$B$3:$B$32,$C310)</f>
        <v>1.4999999999999999E-4</v>
      </c>
      <c r="L310" s="14">
        <f t="shared" si="31"/>
        <v>3919.5685418999997</v>
      </c>
      <c r="M310" s="94">
        <f t="shared" si="32"/>
        <v>111577.05115941999</v>
      </c>
      <c r="N310" s="92">
        <f>SUMIFS('Assumption-Best'!$G$3:$G$32,'Assumption-Best'!$A$3:$A$32,$B310,'Assumption-Best'!$B$3:$B$32,$C310)</f>
        <v>0.35</v>
      </c>
      <c r="O310" s="14">
        <f t="shared" si="33"/>
        <v>59446.789552149989</v>
      </c>
      <c r="P310" s="94">
        <f t="shared" si="34"/>
        <v>52130.261607270004</v>
      </c>
    </row>
    <row r="311" spans="1:16" x14ac:dyDescent="0.35">
      <c r="A311" s="91" t="str">
        <f>LEFT('2025 actual v budget'!A311,4)&amp;"26"</f>
        <v>Nov-26</v>
      </c>
      <c r="B311" s="12" t="str">
        <f>'2025 actual v budget'!B311</f>
        <v>Germany</v>
      </c>
      <c r="C311" s="12" t="str">
        <f>'2025 actual v budget'!C311</f>
        <v>Treasury Yield</v>
      </c>
      <c r="D311" s="14">
        <f>'2025 actual v budget'!D311</f>
        <v>5523052.0199999996</v>
      </c>
      <c r="E311" s="92">
        <f>SUMIFS('Assumption-Best'!$C$3:$C$32,'Assumption-Best'!$A$3:$A$32,$B311,'Assumption-Best'!$B$3:$B$32,$C311)</f>
        <v>0.12</v>
      </c>
      <c r="F311" s="14">
        <f t="shared" si="28"/>
        <v>6185818.2624000004</v>
      </c>
      <c r="G311" s="93">
        <f>SUMIFS('Assumption-Best'!$D$3:$D$32,'Assumption-Best'!$A$3:$A$32,$B311,'Assumption-Best'!$B$3:$B$32,$C311)</f>
        <v>3.0000000000000001E-3</v>
      </c>
      <c r="H311" s="94">
        <f t="shared" si="29"/>
        <v>18557.4547872</v>
      </c>
      <c r="I311" s="92">
        <f>SUMIFS('Assumption-Best'!$E$3:$E$32,'Assumption-Best'!$A$3:$A$32,$B311,'Assumption-Best'!$B$3:$B$32,$C311)</f>
        <v>0.18</v>
      </c>
      <c r="J311" s="14">
        <f t="shared" si="30"/>
        <v>3340.3418616959998</v>
      </c>
      <c r="K311" s="95">
        <f>SUMIFS('Assumption-Best'!$F$3:$F$32,'Assumption-Best'!$A$3:$A$32,$B311,'Assumption-Best'!$B$3:$B$32,$C311)</f>
        <v>1.4999999999999999E-4</v>
      </c>
      <c r="L311" s="14">
        <f t="shared" si="31"/>
        <v>927.87273935999997</v>
      </c>
      <c r="M311" s="94">
        <f t="shared" si="32"/>
        <v>14289.240186143999</v>
      </c>
      <c r="N311" s="92">
        <f>SUMIFS('Assumption-Best'!$G$3:$G$32,'Assumption-Best'!$A$3:$A$32,$B311,'Assumption-Best'!$B$3:$B$32,$C311)</f>
        <v>0.35</v>
      </c>
      <c r="O311" s="14">
        <f t="shared" si="33"/>
        <v>6495.1091755199996</v>
      </c>
      <c r="P311" s="94">
        <f t="shared" si="34"/>
        <v>7794.1310106239998</v>
      </c>
    </row>
    <row r="312" spans="1:16" x14ac:dyDescent="0.35">
      <c r="A312" s="91" t="str">
        <f>LEFT('2025 actual v budget'!A312,4)&amp;"26"</f>
        <v>Nov-26</v>
      </c>
      <c r="B312" s="12" t="str">
        <f>'2025 actual v budget'!B312</f>
        <v>Germany</v>
      </c>
      <c r="C312" s="12" t="str">
        <f>'2025 actual v budget'!C312</f>
        <v>Virtual Accounts</v>
      </c>
      <c r="D312" s="14">
        <f>'2025 actual v budget'!D312</f>
        <v>8566072.5199999996</v>
      </c>
      <c r="E312" s="92">
        <f>SUMIFS('Assumption-Best'!$C$3:$C$32,'Assumption-Best'!$A$3:$A$32,$B312,'Assumption-Best'!$B$3:$B$32,$C312)</f>
        <v>0.12</v>
      </c>
      <c r="F312" s="14">
        <f t="shared" si="28"/>
        <v>9594001.2224000003</v>
      </c>
      <c r="G312" s="93">
        <f>SUMIFS('Assumption-Best'!$D$3:$D$32,'Assumption-Best'!$A$3:$A$32,$B312,'Assumption-Best'!$B$3:$B$32,$C312)</f>
        <v>4.4999999999999997E-3</v>
      </c>
      <c r="H312" s="94">
        <f t="shared" si="29"/>
        <v>43173.005500799998</v>
      </c>
      <c r="I312" s="92">
        <f>SUMIFS('Assumption-Best'!$E$3:$E$32,'Assumption-Best'!$A$3:$A$32,$B312,'Assumption-Best'!$B$3:$B$32,$C312)</f>
        <v>0.22</v>
      </c>
      <c r="J312" s="14">
        <f t="shared" si="30"/>
        <v>9498.0612101759998</v>
      </c>
      <c r="K312" s="95">
        <f>SUMIFS('Assumption-Best'!$F$3:$F$32,'Assumption-Best'!$A$3:$A$32,$B312,'Assumption-Best'!$B$3:$B$32,$C312)</f>
        <v>1.4999999999999999E-4</v>
      </c>
      <c r="L312" s="14">
        <f t="shared" si="31"/>
        <v>1439.1001833599998</v>
      </c>
      <c r="M312" s="94">
        <f t="shared" si="32"/>
        <v>32235.844107264002</v>
      </c>
      <c r="N312" s="92">
        <f>SUMIFS('Assumption-Best'!$G$3:$G$32,'Assumption-Best'!$A$3:$A$32,$B312,'Assumption-Best'!$B$3:$B$32,$C312)</f>
        <v>0.35</v>
      </c>
      <c r="O312" s="14">
        <f t="shared" si="33"/>
        <v>15110.551925279999</v>
      </c>
      <c r="P312" s="94">
        <f t="shared" si="34"/>
        <v>17125.292181984005</v>
      </c>
    </row>
    <row r="313" spans="1:16" x14ac:dyDescent="0.35">
      <c r="A313" s="91" t="str">
        <f>LEFT('2025 actual v budget'!A313,4)&amp;"26"</f>
        <v>Nov-26</v>
      </c>
      <c r="B313" s="12" t="str">
        <f>'2025 actual v budget'!B313</f>
        <v>India</v>
      </c>
      <c r="C313" s="12" t="str">
        <f>'2025 actual v budget'!C313</f>
        <v>Cross-border Payouts</v>
      </c>
      <c r="D313" s="14">
        <f>'2025 actual v budget'!D313</f>
        <v>13637053.859999999</v>
      </c>
      <c r="E313" s="92">
        <f>SUMIFS('Assumption-Best'!$C$3:$C$32,'Assumption-Best'!$A$3:$A$32,$B313,'Assumption-Best'!$B$3:$B$32,$C313)</f>
        <v>0.24</v>
      </c>
      <c r="F313" s="14">
        <f t="shared" si="28"/>
        <v>16909946.786399998</v>
      </c>
      <c r="G313" s="93">
        <f>SUMIFS('Assumption-Best'!$D$3:$D$32,'Assumption-Best'!$A$3:$A$32,$B313,'Assumption-Best'!$B$3:$B$32,$C313)</f>
        <v>7.4999999999999997E-3</v>
      </c>
      <c r="H313" s="94">
        <f t="shared" si="29"/>
        <v>126824.60089799998</v>
      </c>
      <c r="I313" s="92">
        <f>SUMIFS('Assumption-Best'!$E$3:$E$32,'Assumption-Best'!$A$3:$A$32,$B313,'Assumption-Best'!$B$3:$B$32,$C313)</f>
        <v>0.35</v>
      </c>
      <c r="J313" s="14">
        <f t="shared" si="30"/>
        <v>44388.610314299985</v>
      </c>
      <c r="K313" s="95">
        <f>SUMIFS('Assumption-Best'!$F$3:$F$32,'Assumption-Best'!$A$3:$A$32,$B313,'Assumption-Best'!$B$3:$B$32,$C313)</f>
        <v>1.8000000000000001E-4</v>
      </c>
      <c r="L313" s="14">
        <f t="shared" si="31"/>
        <v>3043.7904215519998</v>
      </c>
      <c r="M313" s="94">
        <f t="shared" si="32"/>
        <v>79392.200162147987</v>
      </c>
      <c r="N313" s="92">
        <f>SUMIFS('Assumption-Best'!$G$3:$G$32,'Assumption-Best'!$A$3:$A$32,$B313,'Assumption-Best'!$B$3:$B$32,$C313)</f>
        <v>0.35</v>
      </c>
      <c r="O313" s="14">
        <f t="shared" si="33"/>
        <v>44388.610314299985</v>
      </c>
      <c r="P313" s="94">
        <f t="shared" si="34"/>
        <v>35003.589847848001</v>
      </c>
    </row>
    <row r="314" spans="1:16" x14ac:dyDescent="0.35">
      <c r="A314" s="91" t="str">
        <f>LEFT('2025 actual v budget'!A314,4)&amp;"26"</f>
        <v>Nov-26</v>
      </c>
      <c r="B314" s="12" t="str">
        <f>'2025 actual v budget'!B314</f>
        <v>India</v>
      </c>
      <c r="C314" s="12" t="str">
        <f>'2025 actual v budget'!C314</f>
        <v>FX Conversion</v>
      </c>
      <c r="D314" s="14">
        <f>'2025 actual v budget'!D314</f>
        <v>20885671.640000001</v>
      </c>
      <c r="E314" s="92">
        <f>SUMIFS('Assumption-Best'!$C$3:$C$32,'Assumption-Best'!$A$3:$A$32,$B314,'Assumption-Best'!$B$3:$B$32,$C314)</f>
        <v>0.24</v>
      </c>
      <c r="F314" s="14">
        <f t="shared" si="28"/>
        <v>25898232.8336</v>
      </c>
      <c r="G314" s="93">
        <f>SUMIFS('Assumption-Best'!$D$3:$D$32,'Assumption-Best'!$A$3:$A$32,$B314,'Assumption-Best'!$B$3:$B$32,$C314)</f>
        <v>1.0500000000000001E-2</v>
      </c>
      <c r="H314" s="94">
        <f t="shared" si="29"/>
        <v>271931.44475279999</v>
      </c>
      <c r="I314" s="92">
        <f>SUMIFS('Assumption-Best'!$E$3:$E$32,'Assumption-Best'!$A$3:$A$32,$B314,'Assumption-Best'!$B$3:$B$32,$C314)</f>
        <v>0.28000000000000003</v>
      </c>
      <c r="J314" s="14">
        <f t="shared" si="30"/>
        <v>76140.804530784008</v>
      </c>
      <c r="K314" s="95">
        <f>SUMIFS('Assumption-Best'!$F$3:$F$32,'Assumption-Best'!$A$3:$A$32,$B314,'Assumption-Best'!$B$3:$B$32,$C314)</f>
        <v>1.8000000000000001E-4</v>
      </c>
      <c r="L314" s="14">
        <f t="shared" si="31"/>
        <v>4661.6819100480006</v>
      </c>
      <c r="M314" s="94">
        <f t="shared" si="32"/>
        <v>191128.95831196796</v>
      </c>
      <c r="N314" s="92">
        <f>SUMIFS('Assumption-Best'!$G$3:$G$32,'Assumption-Best'!$A$3:$A$32,$B314,'Assumption-Best'!$B$3:$B$32,$C314)</f>
        <v>0.35</v>
      </c>
      <c r="O314" s="14">
        <f t="shared" si="33"/>
        <v>95176.005663479984</v>
      </c>
      <c r="P314" s="94">
        <f t="shared" si="34"/>
        <v>95952.952648487975</v>
      </c>
    </row>
    <row r="315" spans="1:16" x14ac:dyDescent="0.35">
      <c r="A315" s="91" t="str">
        <f>LEFT('2025 actual v budget'!A315,4)&amp;"26"</f>
        <v>Nov-26</v>
      </c>
      <c r="B315" s="12" t="str">
        <f>'2025 actual v budget'!B315</f>
        <v>India</v>
      </c>
      <c r="C315" s="12" t="str">
        <f>'2025 actual v budget'!C315</f>
        <v>Stablecoin Settlement</v>
      </c>
      <c r="D315" s="14">
        <f>'2025 actual v budget'!D315</f>
        <v>33118905.379999999</v>
      </c>
      <c r="E315" s="92">
        <f>SUMIFS('Assumption-Best'!$C$3:$C$32,'Assumption-Best'!$A$3:$A$32,$B315,'Assumption-Best'!$B$3:$B$32,$C315)</f>
        <v>0.48</v>
      </c>
      <c r="F315" s="14">
        <f t="shared" si="28"/>
        <v>49015979.962399997</v>
      </c>
      <c r="G315" s="93">
        <f>SUMIFS('Assumption-Best'!$D$3:$D$32,'Assumption-Best'!$A$3:$A$32,$B315,'Assumption-Best'!$B$3:$B$32,$C315)</f>
        <v>6.4999999999999997E-3</v>
      </c>
      <c r="H315" s="94">
        <f t="shared" si="29"/>
        <v>318603.86975559994</v>
      </c>
      <c r="I315" s="92">
        <f>SUMIFS('Assumption-Best'!$E$3:$E$32,'Assumption-Best'!$A$3:$A$32,$B315,'Assumption-Best'!$B$3:$B$32,$C315)</f>
        <v>0.32</v>
      </c>
      <c r="J315" s="14">
        <f t="shared" si="30"/>
        <v>101953.23832179199</v>
      </c>
      <c r="K315" s="95">
        <f>SUMIFS('Assumption-Best'!$F$3:$F$32,'Assumption-Best'!$A$3:$A$32,$B315,'Assumption-Best'!$B$3:$B$32,$C315)</f>
        <v>1.8000000000000001E-4</v>
      </c>
      <c r="L315" s="14">
        <f t="shared" si="31"/>
        <v>8822.8763932319998</v>
      </c>
      <c r="M315" s="94">
        <f t="shared" si="32"/>
        <v>207827.75504057595</v>
      </c>
      <c r="N315" s="92">
        <f>SUMIFS('Assumption-Best'!$G$3:$G$32,'Assumption-Best'!$A$3:$A$32,$B315,'Assumption-Best'!$B$3:$B$32,$C315)</f>
        <v>0.35</v>
      </c>
      <c r="O315" s="14">
        <f t="shared" si="33"/>
        <v>111511.35441445997</v>
      </c>
      <c r="P315" s="94">
        <f t="shared" si="34"/>
        <v>96316.400626115981</v>
      </c>
    </row>
    <row r="316" spans="1:16" x14ac:dyDescent="0.35">
      <c r="A316" s="91" t="str">
        <f>LEFT('2025 actual v budget'!A316,4)&amp;"26"</f>
        <v>Nov-26</v>
      </c>
      <c r="B316" s="12" t="str">
        <f>'2025 actual v budget'!B316</f>
        <v>India</v>
      </c>
      <c r="C316" s="12" t="str">
        <f>'2025 actual v budget'!C316</f>
        <v>Treasury Yield</v>
      </c>
      <c r="D316" s="14">
        <f>'2025 actual v budget'!D316</f>
        <v>8691854.2300000004</v>
      </c>
      <c r="E316" s="92">
        <f>SUMIFS('Assumption-Best'!$C$3:$C$32,'Assumption-Best'!$A$3:$A$32,$B316,'Assumption-Best'!$B$3:$B$32,$C316)</f>
        <v>0.24</v>
      </c>
      <c r="F316" s="14">
        <f t="shared" si="28"/>
        <v>10777899.245200001</v>
      </c>
      <c r="G316" s="93">
        <f>SUMIFS('Assumption-Best'!$D$3:$D$32,'Assumption-Best'!$A$3:$A$32,$B316,'Assumption-Best'!$B$3:$B$32,$C316)</f>
        <v>3.0000000000000001E-3</v>
      </c>
      <c r="H316" s="94">
        <f t="shared" si="29"/>
        <v>32333.697735600002</v>
      </c>
      <c r="I316" s="92">
        <f>SUMIFS('Assumption-Best'!$E$3:$E$32,'Assumption-Best'!$A$3:$A$32,$B316,'Assumption-Best'!$B$3:$B$32,$C316)</f>
        <v>0.18</v>
      </c>
      <c r="J316" s="14">
        <f t="shared" si="30"/>
        <v>5820.0655924080002</v>
      </c>
      <c r="K316" s="95">
        <f>SUMIFS('Assumption-Best'!$F$3:$F$32,'Assumption-Best'!$A$3:$A$32,$B316,'Assumption-Best'!$B$3:$B$32,$C316)</f>
        <v>1.8000000000000001E-4</v>
      </c>
      <c r="L316" s="14">
        <f t="shared" si="31"/>
        <v>1940.0218641360002</v>
      </c>
      <c r="M316" s="94">
        <f t="shared" si="32"/>
        <v>24573.610279056</v>
      </c>
      <c r="N316" s="92">
        <f>SUMIFS('Assumption-Best'!$G$3:$G$32,'Assumption-Best'!$A$3:$A$32,$B316,'Assumption-Best'!$B$3:$B$32,$C316)</f>
        <v>0.35</v>
      </c>
      <c r="O316" s="14">
        <f t="shared" si="33"/>
        <v>11316.79420746</v>
      </c>
      <c r="P316" s="94">
        <f t="shared" si="34"/>
        <v>13256.816071596</v>
      </c>
    </row>
    <row r="317" spans="1:16" x14ac:dyDescent="0.35">
      <c r="A317" s="91" t="str">
        <f>LEFT('2025 actual v budget'!A317,4)&amp;"26"</f>
        <v>Nov-26</v>
      </c>
      <c r="B317" s="12" t="str">
        <f>'2025 actual v budget'!B317</f>
        <v>India</v>
      </c>
      <c r="C317" s="12" t="str">
        <f>'2025 actual v budget'!C317</f>
        <v>Virtual Accounts</v>
      </c>
      <c r="D317" s="14">
        <f>'2025 actual v budget'!D317</f>
        <v>13480780.83</v>
      </c>
      <c r="E317" s="92">
        <f>SUMIFS('Assumption-Best'!$C$3:$C$32,'Assumption-Best'!$A$3:$A$32,$B317,'Assumption-Best'!$B$3:$B$32,$C317)</f>
        <v>0.24</v>
      </c>
      <c r="F317" s="14">
        <f t="shared" si="28"/>
        <v>16716168.2292</v>
      </c>
      <c r="G317" s="93">
        <f>SUMIFS('Assumption-Best'!$D$3:$D$32,'Assumption-Best'!$A$3:$A$32,$B317,'Assumption-Best'!$B$3:$B$32,$C317)</f>
        <v>4.4999999999999997E-3</v>
      </c>
      <c r="H317" s="94">
        <f t="shared" si="29"/>
        <v>75222.75703139999</v>
      </c>
      <c r="I317" s="92">
        <f>SUMIFS('Assumption-Best'!$E$3:$E$32,'Assumption-Best'!$A$3:$A$32,$B317,'Assumption-Best'!$B$3:$B$32,$C317)</f>
        <v>0.22</v>
      </c>
      <c r="J317" s="14">
        <f t="shared" si="30"/>
        <v>16549.006546907996</v>
      </c>
      <c r="K317" s="95">
        <f>SUMIFS('Assumption-Best'!$F$3:$F$32,'Assumption-Best'!$A$3:$A$32,$B317,'Assumption-Best'!$B$3:$B$32,$C317)</f>
        <v>1.8000000000000001E-4</v>
      </c>
      <c r="L317" s="14">
        <f t="shared" si="31"/>
        <v>3008.910281256</v>
      </c>
      <c r="M317" s="94">
        <f t="shared" si="32"/>
        <v>55664.840203235988</v>
      </c>
      <c r="N317" s="92">
        <f>SUMIFS('Assumption-Best'!$G$3:$G$32,'Assumption-Best'!$A$3:$A$32,$B317,'Assumption-Best'!$B$3:$B$32,$C317)</f>
        <v>0.35</v>
      </c>
      <c r="O317" s="14">
        <f t="shared" si="33"/>
        <v>26327.964960989993</v>
      </c>
      <c r="P317" s="94">
        <f t="shared" si="34"/>
        <v>29336.875242245995</v>
      </c>
    </row>
    <row r="318" spans="1:16" x14ac:dyDescent="0.35">
      <c r="A318" s="91" t="str">
        <f>LEFT('2025 actual v budget'!A318,4)&amp;"26"</f>
        <v>Nov-26</v>
      </c>
      <c r="B318" s="12" t="str">
        <f>'2025 actual v budget'!B318</f>
        <v>Mexico</v>
      </c>
      <c r="C318" s="12" t="str">
        <f>'2025 actual v budget'!C318</f>
        <v>Cross-border Payouts</v>
      </c>
      <c r="D318" s="14">
        <f>'2025 actual v budget'!D318</f>
        <v>15908303.42</v>
      </c>
      <c r="E318" s="92">
        <f>SUMIFS('Assumption-Best'!$C$3:$C$32,'Assumption-Best'!$A$3:$A$32,$B318,'Assumption-Best'!$B$3:$B$32,$C318)</f>
        <v>0.3</v>
      </c>
      <c r="F318" s="14">
        <f t="shared" si="28"/>
        <v>20680794.446000002</v>
      </c>
      <c r="G318" s="93">
        <f>SUMIFS('Assumption-Best'!$D$3:$D$32,'Assumption-Best'!$A$3:$A$32,$B318,'Assumption-Best'!$B$3:$B$32,$C318)</f>
        <v>7.4999999999999997E-3</v>
      </c>
      <c r="H318" s="94">
        <f t="shared" si="29"/>
        <v>155105.95834500002</v>
      </c>
      <c r="I318" s="92">
        <f>SUMIFS('Assumption-Best'!$E$3:$E$32,'Assumption-Best'!$A$3:$A$32,$B318,'Assumption-Best'!$B$3:$B$32,$C318)</f>
        <v>0.35</v>
      </c>
      <c r="J318" s="14">
        <f t="shared" si="30"/>
        <v>54287.085420750002</v>
      </c>
      <c r="K318" s="95">
        <f>SUMIFS('Assumption-Best'!$F$3:$F$32,'Assumption-Best'!$A$3:$A$32,$B318,'Assumption-Best'!$B$3:$B$32,$C318)</f>
        <v>8.0000000000000007E-5</v>
      </c>
      <c r="L318" s="14">
        <f t="shared" si="31"/>
        <v>1654.4635556800004</v>
      </c>
      <c r="M318" s="94">
        <f t="shared" si="32"/>
        <v>99164.409368570021</v>
      </c>
      <c r="N318" s="92">
        <f>SUMIFS('Assumption-Best'!$G$3:$G$32,'Assumption-Best'!$A$3:$A$32,$B318,'Assumption-Best'!$B$3:$B$32,$C318)</f>
        <v>0.35</v>
      </c>
      <c r="O318" s="14">
        <f t="shared" si="33"/>
        <v>54287.085420750002</v>
      </c>
      <c r="P318" s="94">
        <f t="shared" si="34"/>
        <v>44877.323947820019</v>
      </c>
    </row>
    <row r="319" spans="1:16" x14ac:dyDescent="0.35">
      <c r="A319" s="91" t="str">
        <f>LEFT('2025 actual v budget'!A319,4)&amp;"26"</f>
        <v>Nov-26</v>
      </c>
      <c r="B319" s="12" t="str">
        <f>'2025 actual v budget'!B319</f>
        <v>Mexico</v>
      </c>
      <c r="C319" s="12" t="str">
        <f>'2025 actual v budget'!C319</f>
        <v>FX Conversion</v>
      </c>
      <c r="D319" s="14">
        <f>'2025 actual v budget'!D319</f>
        <v>24358857.93</v>
      </c>
      <c r="E319" s="92">
        <f>SUMIFS('Assumption-Best'!$C$3:$C$32,'Assumption-Best'!$A$3:$A$32,$B319,'Assumption-Best'!$B$3:$B$32,$C319)</f>
        <v>0.3</v>
      </c>
      <c r="F319" s="14">
        <f t="shared" si="28"/>
        <v>31666515.309</v>
      </c>
      <c r="G319" s="93">
        <f>SUMIFS('Assumption-Best'!$D$3:$D$32,'Assumption-Best'!$A$3:$A$32,$B319,'Assumption-Best'!$B$3:$B$32,$C319)</f>
        <v>1.0500000000000001E-2</v>
      </c>
      <c r="H319" s="94">
        <f t="shared" si="29"/>
        <v>332498.4107445</v>
      </c>
      <c r="I319" s="92">
        <f>SUMIFS('Assumption-Best'!$E$3:$E$32,'Assumption-Best'!$A$3:$A$32,$B319,'Assumption-Best'!$B$3:$B$32,$C319)</f>
        <v>0.28000000000000003</v>
      </c>
      <c r="J319" s="14">
        <f t="shared" si="30"/>
        <v>93099.555008460011</v>
      </c>
      <c r="K319" s="95">
        <f>SUMIFS('Assumption-Best'!$F$3:$F$32,'Assumption-Best'!$A$3:$A$32,$B319,'Assumption-Best'!$B$3:$B$32,$C319)</f>
        <v>8.0000000000000007E-5</v>
      </c>
      <c r="L319" s="14">
        <f t="shared" si="31"/>
        <v>2533.3212247200004</v>
      </c>
      <c r="M319" s="94">
        <f t="shared" si="32"/>
        <v>236865.53451131997</v>
      </c>
      <c r="N319" s="92">
        <f>SUMIFS('Assumption-Best'!$G$3:$G$32,'Assumption-Best'!$A$3:$A$32,$B319,'Assumption-Best'!$B$3:$B$32,$C319)</f>
        <v>0.35</v>
      </c>
      <c r="O319" s="14">
        <f t="shared" si="33"/>
        <v>116374.44376057498</v>
      </c>
      <c r="P319" s="94">
        <f t="shared" si="34"/>
        <v>120491.09075074499</v>
      </c>
    </row>
    <row r="320" spans="1:16" x14ac:dyDescent="0.35">
      <c r="A320" s="91" t="str">
        <f>LEFT('2025 actual v budget'!A320,4)&amp;"26"</f>
        <v>Nov-26</v>
      </c>
      <c r="B320" s="12" t="str">
        <f>'2025 actual v budget'!B320</f>
        <v>Mexico</v>
      </c>
      <c r="C320" s="12" t="str">
        <f>'2025 actual v budget'!C320</f>
        <v>Stablecoin Settlement</v>
      </c>
      <c r="D320" s="14">
        <f>'2025 actual v budget'!D320</f>
        <v>38634854.810000002</v>
      </c>
      <c r="E320" s="92">
        <f>SUMIFS('Assumption-Best'!$C$3:$C$32,'Assumption-Best'!$A$3:$A$32,$B320,'Assumption-Best'!$B$3:$B$32,$C320)</f>
        <v>0.6</v>
      </c>
      <c r="F320" s="14">
        <f t="shared" si="28"/>
        <v>61815767.69600001</v>
      </c>
      <c r="G320" s="93">
        <f>SUMIFS('Assumption-Best'!$D$3:$D$32,'Assumption-Best'!$A$3:$A$32,$B320,'Assumption-Best'!$B$3:$B$32,$C320)</f>
        <v>6.4999999999999997E-3</v>
      </c>
      <c r="H320" s="94">
        <f t="shared" si="29"/>
        <v>401802.49002400006</v>
      </c>
      <c r="I320" s="92">
        <f>SUMIFS('Assumption-Best'!$E$3:$E$32,'Assumption-Best'!$A$3:$A$32,$B320,'Assumption-Best'!$B$3:$B$32,$C320)</f>
        <v>0.32</v>
      </c>
      <c r="J320" s="14">
        <f t="shared" si="30"/>
        <v>128576.79680768002</v>
      </c>
      <c r="K320" s="95">
        <f>SUMIFS('Assumption-Best'!$F$3:$F$32,'Assumption-Best'!$A$3:$A$32,$B320,'Assumption-Best'!$B$3:$B$32,$C320)</f>
        <v>8.0000000000000007E-5</v>
      </c>
      <c r="L320" s="14">
        <f t="shared" si="31"/>
        <v>4945.2614156800009</v>
      </c>
      <c r="M320" s="94">
        <f t="shared" si="32"/>
        <v>268280.43180064001</v>
      </c>
      <c r="N320" s="92">
        <f>SUMIFS('Assumption-Best'!$G$3:$G$32,'Assumption-Best'!$A$3:$A$32,$B320,'Assumption-Best'!$B$3:$B$32,$C320)</f>
        <v>0.35</v>
      </c>
      <c r="O320" s="14">
        <f t="shared" si="33"/>
        <v>140630.87150840001</v>
      </c>
      <c r="P320" s="94">
        <f t="shared" si="34"/>
        <v>127649.56029224</v>
      </c>
    </row>
    <row r="321" spans="1:16" x14ac:dyDescent="0.35">
      <c r="A321" s="91" t="str">
        <f>LEFT('2025 actual v budget'!A321,4)&amp;"26"</f>
        <v>Nov-26</v>
      </c>
      <c r="B321" s="12" t="str">
        <f>'2025 actual v budget'!B321</f>
        <v>Mexico</v>
      </c>
      <c r="C321" s="12" t="str">
        <f>'2025 actual v budget'!C321</f>
        <v>Treasury Yield</v>
      </c>
      <c r="D321" s="14">
        <f>'2025 actual v budget'!D321</f>
        <v>10137267.6</v>
      </c>
      <c r="E321" s="92">
        <f>SUMIFS('Assumption-Best'!$C$3:$C$32,'Assumption-Best'!$A$3:$A$32,$B321,'Assumption-Best'!$B$3:$B$32,$C321)</f>
        <v>0.3</v>
      </c>
      <c r="F321" s="14">
        <f t="shared" si="28"/>
        <v>13178447.880000001</v>
      </c>
      <c r="G321" s="93">
        <f>SUMIFS('Assumption-Best'!$D$3:$D$32,'Assumption-Best'!$A$3:$A$32,$B321,'Assumption-Best'!$B$3:$B$32,$C321)</f>
        <v>3.0000000000000001E-3</v>
      </c>
      <c r="H321" s="94">
        <f t="shared" si="29"/>
        <v>39535.343640000006</v>
      </c>
      <c r="I321" s="92">
        <f>SUMIFS('Assumption-Best'!$E$3:$E$32,'Assumption-Best'!$A$3:$A$32,$B321,'Assumption-Best'!$B$3:$B$32,$C321)</f>
        <v>0.18</v>
      </c>
      <c r="J321" s="14">
        <f t="shared" si="30"/>
        <v>7116.3618552000007</v>
      </c>
      <c r="K321" s="95">
        <f>SUMIFS('Assumption-Best'!$F$3:$F$32,'Assumption-Best'!$A$3:$A$32,$B321,'Assumption-Best'!$B$3:$B$32,$C321)</f>
        <v>8.0000000000000007E-5</v>
      </c>
      <c r="L321" s="14">
        <f t="shared" si="31"/>
        <v>1054.2758304000001</v>
      </c>
      <c r="M321" s="94">
        <f t="shared" si="32"/>
        <v>31364.705954400004</v>
      </c>
      <c r="N321" s="92">
        <f>SUMIFS('Assumption-Best'!$G$3:$G$32,'Assumption-Best'!$A$3:$A$32,$B321,'Assumption-Best'!$B$3:$B$32,$C321)</f>
        <v>0.35</v>
      </c>
      <c r="O321" s="14">
        <f t="shared" si="33"/>
        <v>13837.370274000001</v>
      </c>
      <c r="P321" s="94">
        <f t="shared" si="34"/>
        <v>17527.335680400003</v>
      </c>
    </row>
    <row r="322" spans="1:16" x14ac:dyDescent="0.35">
      <c r="A322" s="91" t="str">
        <f>LEFT('2025 actual v budget'!A322,4)&amp;"26"</f>
        <v>Nov-26</v>
      </c>
      <c r="B322" s="12" t="str">
        <f>'2025 actual v budget'!B322</f>
        <v>Mexico</v>
      </c>
      <c r="C322" s="12" t="str">
        <f>'2025 actual v budget'!C322</f>
        <v>Virtual Accounts</v>
      </c>
      <c r="D322" s="14">
        <f>'2025 actual v budget'!D322</f>
        <v>15722569.550000001</v>
      </c>
      <c r="E322" s="92">
        <f>SUMIFS('Assumption-Best'!$C$3:$C$32,'Assumption-Best'!$A$3:$A$32,$B322,'Assumption-Best'!$B$3:$B$32,$C322)</f>
        <v>0.3</v>
      </c>
      <c r="F322" s="14">
        <f t="shared" si="28"/>
        <v>20439340.415000003</v>
      </c>
      <c r="G322" s="93">
        <f>SUMIFS('Assumption-Best'!$D$3:$D$32,'Assumption-Best'!$A$3:$A$32,$B322,'Assumption-Best'!$B$3:$B$32,$C322)</f>
        <v>4.4999999999999997E-3</v>
      </c>
      <c r="H322" s="94">
        <f t="shared" si="29"/>
        <v>91977.031867500002</v>
      </c>
      <c r="I322" s="92">
        <f>SUMIFS('Assumption-Best'!$E$3:$E$32,'Assumption-Best'!$A$3:$A$32,$B322,'Assumption-Best'!$B$3:$B$32,$C322)</f>
        <v>0.22</v>
      </c>
      <c r="J322" s="14">
        <f t="shared" si="30"/>
        <v>20234.947010849999</v>
      </c>
      <c r="K322" s="95">
        <f>SUMIFS('Assumption-Best'!$F$3:$F$32,'Assumption-Best'!$A$3:$A$32,$B322,'Assumption-Best'!$B$3:$B$32,$C322)</f>
        <v>8.0000000000000007E-5</v>
      </c>
      <c r="L322" s="14">
        <f t="shared" si="31"/>
        <v>1635.1472332000003</v>
      </c>
      <c r="M322" s="94">
        <f t="shared" si="32"/>
        <v>70106.937623450009</v>
      </c>
      <c r="N322" s="92">
        <f>SUMIFS('Assumption-Best'!$G$3:$G$32,'Assumption-Best'!$A$3:$A$32,$B322,'Assumption-Best'!$B$3:$B$32,$C322)</f>
        <v>0.35</v>
      </c>
      <c r="O322" s="14">
        <f t="shared" si="33"/>
        <v>32191.961153624998</v>
      </c>
      <c r="P322" s="94">
        <f t="shared" si="34"/>
        <v>37914.976469825007</v>
      </c>
    </row>
    <row r="323" spans="1:16" x14ac:dyDescent="0.35">
      <c r="A323" s="91" t="str">
        <f>LEFT('2025 actual v budget'!A323,4)&amp;"26"</f>
        <v>Nov-26</v>
      </c>
      <c r="B323" s="12" t="str">
        <f>'2025 actual v budget'!B323</f>
        <v>Singapore</v>
      </c>
      <c r="C323" s="12" t="str">
        <f>'2025 actual v budget'!C323</f>
        <v>Cross-border Payouts</v>
      </c>
      <c r="D323" s="14">
        <f>'2025 actual v budget'!D323</f>
        <v>12055611.189999999</v>
      </c>
      <c r="E323" s="92">
        <f>SUMIFS('Assumption-Best'!$C$3:$C$32,'Assumption-Best'!$A$3:$A$32,$B323,'Assumption-Best'!$B$3:$B$32,$C323)</f>
        <v>0.1</v>
      </c>
      <c r="F323" s="14">
        <f t="shared" ref="F323:F386" si="35">D323*(1+E323)</f>
        <v>13261172.309</v>
      </c>
      <c r="G323" s="93">
        <f>SUMIFS('Assumption-Best'!$D$3:$D$32,'Assumption-Best'!$A$3:$A$32,$B323,'Assumption-Best'!$B$3:$B$32,$C323)</f>
        <v>7.4999999999999997E-3</v>
      </c>
      <c r="H323" s="94">
        <f t="shared" ref="H323:H386" si="36">F323*G323</f>
        <v>99458.792317500003</v>
      </c>
      <c r="I323" s="92">
        <f>SUMIFS('Assumption-Best'!$E$3:$E$32,'Assumption-Best'!$A$3:$A$32,$B323,'Assumption-Best'!$B$3:$B$32,$C323)</f>
        <v>0.35</v>
      </c>
      <c r="J323" s="14">
        <f t="shared" ref="J323:J386" si="37">H323*I323</f>
        <v>34810.577311125002</v>
      </c>
      <c r="K323" s="95">
        <f>SUMIFS('Assumption-Best'!$F$3:$F$32,'Assumption-Best'!$A$3:$A$32,$B323,'Assumption-Best'!$B$3:$B$32,$C323)</f>
        <v>9.0000000000000006E-5</v>
      </c>
      <c r="L323" s="14">
        <f t="shared" ref="L323:L386" si="38">F323*K323</f>
        <v>1193.5055078100002</v>
      </c>
      <c r="M323" s="94">
        <f t="shared" ref="M323:M386" si="39">H323-J323-L323</f>
        <v>63454.709498565004</v>
      </c>
      <c r="N323" s="92">
        <f>SUMIFS('Assumption-Best'!$G$3:$G$32,'Assumption-Best'!$A$3:$A$32,$B323,'Assumption-Best'!$B$3:$B$32,$C323)</f>
        <v>0.35</v>
      </c>
      <c r="O323" s="14">
        <f t="shared" ref="O323:O386" si="40">H323*N323</f>
        <v>34810.577311125002</v>
      </c>
      <c r="P323" s="94">
        <f t="shared" ref="P323:P386" si="41">M323-O323</f>
        <v>28644.132187440002</v>
      </c>
    </row>
    <row r="324" spans="1:16" x14ac:dyDescent="0.35">
      <c r="A324" s="91" t="str">
        <f>LEFT('2025 actual v budget'!A324,4)&amp;"26"</f>
        <v>Nov-26</v>
      </c>
      <c r="B324" s="12" t="str">
        <f>'2025 actual v budget'!B324</f>
        <v>Singapore</v>
      </c>
      <c r="C324" s="12" t="str">
        <f>'2025 actual v budget'!C324</f>
        <v>FX Conversion</v>
      </c>
      <c r="D324" s="14">
        <f>'2025 actual v budget'!D324</f>
        <v>18447281.850000001</v>
      </c>
      <c r="E324" s="92">
        <f>SUMIFS('Assumption-Best'!$C$3:$C$32,'Assumption-Best'!$A$3:$A$32,$B324,'Assumption-Best'!$B$3:$B$32,$C324)</f>
        <v>0.1</v>
      </c>
      <c r="F324" s="14">
        <f t="shared" si="35"/>
        <v>20292010.035000004</v>
      </c>
      <c r="G324" s="93">
        <f>SUMIFS('Assumption-Best'!$D$3:$D$32,'Assumption-Best'!$A$3:$A$32,$B324,'Assumption-Best'!$B$3:$B$32,$C324)</f>
        <v>1.0500000000000001E-2</v>
      </c>
      <c r="H324" s="94">
        <f t="shared" si="36"/>
        <v>213066.10536750004</v>
      </c>
      <c r="I324" s="92">
        <f>SUMIFS('Assumption-Best'!$E$3:$E$32,'Assumption-Best'!$A$3:$A$32,$B324,'Assumption-Best'!$B$3:$B$32,$C324)</f>
        <v>0.28000000000000003</v>
      </c>
      <c r="J324" s="14">
        <f t="shared" si="37"/>
        <v>59658.509502900015</v>
      </c>
      <c r="K324" s="95">
        <f>SUMIFS('Assumption-Best'!$F$3:$F$32,'Assumption-Best'!$A$3:$A$32,$B324,'Assumption-Best'!$B$3:$B$32,$C324)</f>
        <v>9.0000000000000006E-5</v>
      </c>
      <c r="L324" s="14">
        <f t="shared" si="38"/>
        <v>1826.2809031500005</v>
      </c>
      <c r="M324" s="94">
        <f t="shared" si="39"/>
        <v>151581.31496145003</v>
      </c>
      <c r="N324" s="92">
        <f>SUMIFS('Assumption-Best'!$G$3:$G$32,'Assumption-Best'!$A$3:$A$32,$B324,'Assumption-Best'!$B$3:$B$32,$C324)</f>
        <v>0.35</v>
      </c>
      <c r="O324" s="14">
        <f t="shared" si="40"/>
        <v>74573.13687862501</v>
      </c>
      <c r="P324" s="94">
        <f t="shared" si="41"/>
        <v>77008.178082825019</v>
      </c>
    </row>
    <row r="325" spans="1:16" x14ac:dyDescent="0.35">
      <c r="A325" s="91" t="str">
        <f>LEFT('2025 actual v budget'!A325,4)&amp;"26"</f>
        <v>Nov-26</v>
      </c>
      <c r="B325" s="12" t="str">
        <f>'2025 actual v budget'!B325</f>
        <v>Singapore</v>
      </c>
      <c r="C325" s="12" t="str">
        <f>'2025 actual v budget'!C325</f>
        <v>Stablecoin Settlement</v>
      </c>
      <c r="D325" s="14">
        <f>'2025 actual v budget'!D325</f>
        <v>29278218.789999999</v>
      </c>
      <c r="E325" s="92">
        <f>SUMIFS('Assumption-Best'!$C$3:$C$32,'Assumption-Best'!$A$3:$A$32,$B325,'Assumption-Best'!$B$3:$B$32,$C325)</f>
        <v>0.2</v>
      </c>
      <c r="F325" s="14">
        <f t="shared" si="35"/>
        <v>35133862.548</v>
      </c>
      <c r="G325" s="93">
        <f>SUMIFS('Assumption-Best'!$D$3:$D$32,'Assumption-Best'!$A$3:$A$32,$B325,'Assumption-Best'!$B$3:$B$32,$C325)</f>
        <v>6.4999999999999997E-3</v>
      </c>
      <c r="H325" s="94">
        <f t="shared" si="36"/>
        <v>228370.106562</v>
      </c>
      <c r="I325" s="92">
        <f>SUMIFS('Assumption-Best'!$E$3:$E$32,'Assumption-Best'!$A$3:$A$32,$B325,'Assumption-Best'!$B$3:$B$32,$C325)</f>
        <v>0.32</v>
      </c>
      <c r="J325" s="14">
        <f t="shared" si="37"/>
        <v>73078.43409984</v>
      </c>
      <c r="K325" s="95">
        <f>SUMIFS('Assumption-Best'!$F$3:$F$32,'Assumption-Best'!$A$3:$A$32,$B325,'Assumption-Best'!$B$3:$B$32,$C325)</f>
        <v>9.0000000000000006E-5</v>
      </c>
      <c r="L325" s="14">
        <f t="shared" si="38"/>
        <v>3162.0476293200004</v>
      </c>
      <c r="M325" s="94">
        <f t="shared" si="39"/>
        <v>152129.62483284</v>
      </c>
      <c r="N325" s="92">
        <f>SUMIFS('Assumption-Best'!$G$3:$G$32,'Assumption-Best'!$A$3:$A$32,$B325,'Assumption-Best'!$B$3:$B$32,$C325)</f>
        <v>0.35</v>
      </c>
      <c r="O325" s="14">
        <f t="shared" si="40"/>
        <v>79929.5372967</v>
      </c>
      <c r="P325" s="94">
        <f t="shared" si="41"/>
        <v>72200.087536139996</v>
      </c>
    </row>
    <row r="326" spans="1:16" x14ac:dyDescent="0.35">
      <c r="A326" s="91" t="str">
        <f>LEFT('2025 actual v budget'!A326,4)&amp;"26"</f>
        <v>Nov-26</v>
      </c>
      <c r="B326" s="12" t="str">
        <f>'2025 actual v budget'!B326</f>
        <v>Singapore</v>
      </c>
      <c r="C326" s="12" t="str">
        <f>'2025 actual v budget'!C326</f>
        <v>Treasury Yield</v>
      </c>
      <c r="D326" s="14">
        <f>'2025 actual v budget'!D326</f>
        <v>7677085.4000000004</v>
      </c>
      <c r="E326" s="92">
        <f>SUMIFS('Assumption-Best'!$C$3:$C$32,'Assumption-Best'!$A$3:$A$32,$B326,'Assumption-Best'!$B$3:$B$32,$C326)</f>
        <v>0.1</v>
      </c>
      <c r="F326" s="14">
        <f t="shared" si="35"/>
        <v>8444793.9400000013</v>
      </c>
      <c r="G326" s="93">
        <f>SUMIFS('Assumption-Best'!$D$3:$D$32,'Assumption-Best'!$A$3:$A$32,$B326,'Assumption-Best'!$B$3:$B$32,$C326)</f>
        <v>3.0000000000000001E-3</v>
      </c>
      <c r="H326" s="94">
        <f t="shared" si="36"/>
        <v>25334.381820000006</v>
      </c>
      <c r="I326" s="92">
        <f>SUMIFS('Assumption-Best'!$E$3:$E$32,'Assumption-Best'!$A$3:$A$32,$B326,'Assumption-Best'!$B$3:$B$32,$C326)</f>
        <v>0.18</v>
      </c>
      <c r="J326" s="14">
        <f t="shared" si="37"/>
        <v>4560.1887276000007</v>
      </c>
      <c r="K326" s="95">
        <f>SUMIFS('Assumption-Best'!$F$3:$F$32,'Assumption-Best'!$A$3:$A$32,$B326,'Assumption-Best'!$B$3:$B$32,$C326)</f>
        <v>9.0000000000000006E-5</v>
      </c>
      <c r="L326" s="14">
        <f t="shared" si="38"/>
        <v>760.03145460000019</v>
      </c>
      <c r="M326" s="94">
        <f t="shared" si="39"/>
        <v>20014.161637800004</v>
      </c>
      <c r="N326" s="92">
        <f>SUMIFS('Assumption-Best'!$G$3:$G$32,'Assumption-Best'!$A$3:$A$32,$B326,'Assumption-Best'!$B$3:$B$32,$C326)</f>
        <v>0.35</v>
      </c>
      <c r="O326" s="14">
        <f t="shared" si="40"/>
        <v>8867.0336370000023</v>
      </c>
      <c r="P326" s="94">
        <f t="shared" si="41"/>
        <v>11147.128000800001</v>
      </c>
    </row>
    <row r="327" spans="1:16" x14ac:dyDescent="0.35">
      <c r="A327" s="91" t="str">
        <f>LEFT('2025 actual v budget'!A327,4)&amp;"26"</f>
        <v>Nov-26</v>
      </c>
      <c r="B327" s="12" t="str">
        <f>'2025 actual v budget'!B327</f>
        <v>Singapore</v>
      </c>
      <c r="C327" s="12" t="str">
        <f>'2025 actual v budget'!C327</f>
        <v>Virtual Accounts</v>
      </c>
      <c r="D327" s="14">
        <f>'2025 actual v budget'!D327</f>
        <v>11906907.65</v>
      </c>
      <c r="E327" s="92">
        <f>SUMIFS('Assumption-Best'!$C$3:$C$32,'Assumption-Best'!$A$3:$A$32,$B327,'Assumption-Best'!$B$3:$B$32,$C327)</f>
        <v>0.1</v>
      </c>
      <c r="F327" s="14">
        <f t="shared" si="35"/>
        <v>13097598.415000001</v>
      </c>
      <c r="G327" s="93">
        <f>SUMIFS('Assumption-Best'!$D$3:$D$32,'Assumption-Best'!$A$3:$A$32,$B327,'Assumption-Best'!$B$3:$B$32,$C327)</f>
        <v>4.4999999999999997E-3</v>
      </c>
      <c r="H327" s="94">
        <f t="shared" si="36"/>
        <v>58939.192867500002</v>
      </c>
      <c r="I327" s="92">
        <f>SUMIFS('Assumption-Best'!$E$3:$E$32,'Assumption-Best'!$A$3:$A$32,$B327,'Assumption-Best'!$B$3:$B$32,$C327)</f>
        <v>0.22</v>
      </c>
      <c r="J327" s="14">
        <f t="shared" si="37"/>
        <v>12966.62243085</v>
      </c>
      <c r="K327" s="95">
        <f>SUMIFS('Assumption-Best'!$F$3:$F$32,'Assumption-Best'!$A$3:$A$32,$B327,'Assumption-Best'!$B$3:$B$32,$C327)</f>
        <v>9.0000000000000006E-5</v>
      </c>
      <c r="L327" s="14">
        <f t="shared" si="38"/>
        <v>1178.7838573500001</v>
      </c>
      <c r="M327" s="94">
        <f t="shared" si="39"/>
        <v>44793.786579300002</v>
      </c>
      <c r="N327" s="92">
        <f>SUMIFS('Assumption-Best'!$G$3:$G$32,'Assumption-Best'!$A$3:$A$32,$B327,'Assumption-Best'!$B$3:$B$32,$C327)</f>
        <v>0.35</v>
      </c>
      <c r="O327" s="14">
        <f t="shared" si="40"/>
        <v>20628.717503625001</v>
      </c>
      <c r="P327" s="94">
        <f t="shared" si="41"/>
        <v>24165.069075675001</v>
      </c>
    </row>
    <row r="328" spans="1:16" x14ac:dyDescent="0.35">
      <c r="A328" s="91" t="str">
        <f>LEFT('2025 actual v budget'!A328,4)&amp;"26"</f>
        <v>Nov-26</v>
      </c>
      <c r="B328" s="12" t="str">
        <f>'2025 actual v budget'!B328</f>
        <v>USA</v>
      </c>
      <c r="C328" s="12" t="str">
        <f>'2025 actual v budget'!C328</f>
        <v>Cross-border Payouts</v>
      </c>
      <c r="D328" s="14">
        <f>'2025 actual v budget'!D328</f>
        <v>28740719.5</v>
      </c>
      <c r="E328" s="92">
        <f>SUMIFS('Assumption-Best'!$C$3:$C$32,'Assumption-Best'!$A$3:$A$32,$B328,'Assumption-Best'!$B$3:$B$32,$C328)</f>
        <v>0.2</v>
      </c>
      <c r="F328" s="14">
        <f t="shared" si="35"/>
        <v>34488863.399999999</v>
      </c>
      <c r="G328" s="93">
        <f>SUMIFS('Assumption-Best'!$D$3:$D$32,'Assumption-Best'!$A$3:$A$32,$B328,'Assumption-Best'!$B$3:$B$32,$C328)</f>
        <v>7.4999999999999997E-3</v>
      </c>
      <c r="H328" s="94">
        <f t="shared" si="36"/>
        <v>258666.47549999997</v>
      </c>
      <c r="I328" s="92">
        <f>SUMIFS('Assumption-Best'!$E$3:$E$32,'Assumption-Best'!$A$3:$A$32,$B328,'Assumption-Best'!$B$3:$B$32,$C328)</f>
        <v>0.35</v>
      </c>
      <c r="J328" s="14">
        <f t="shared" si="37"/>
        <v>90533.26642499998</v>
      </c>
      <c r="K328" s="95">
        <f>SUMIFS('Assumption-Best'!$F$3:$F$32,'Assumption-Best'!$A$3:$A$32,$B328,'Assumption-Best'!$B$3:$B$32,$C328)</f>
        <v>2.0000000000000001E-4</v>
      </c>
      <c r="L328" s="14">
        <f t="shared" si="38"/>
        <v>6897.77268</v>
      </c>
      <c r="M328" s="94">
        <f t="shared" si="39"/>
        <v>161235.436395</v>
      </c>
      <c r="N328" s="92">
        <f>SUMIFS('Assumption-Best'!$G$3:$G$32,'Assumption-Best'!$A$3:$A$32,$B328,'Assumption-Best'!$B$3:$B$32,$C328)</f>
        <v>0.35</v>
      </c>
      <c r="O328" s="14">
        <f t="shared" si="40"/>
        <v>90533.26642499998</v>
      </c>
      <c r="P328" s="94">
        <f t="shared" si="41"/>
        <v>70702.169970000017</v>
      </c>
    </row>
    <row r="329" spans="1:16" x14ac:dyDescent="0.35">
      <c r="A329" s="91" t="str">
        <f>LEFT('2025 actual v budget'!A329,4)&amp;"26"</f>
        <v>Nov-26</v>
      </c>
      <c r="B329" s="12" t="str">
        <f>'2025 actual v budget'!B329</f>
        <v>USA</v>
      </c>
      <c r="C329" s="12" t="str">
        <f>'2025 actual v budget'!C329</f>
        <v>FX Conversion</v>
      </c>
      <c r="D329" s="14">
        <f>'2025 actual v budget'!D329</f>
        <v>43968566.399999999</v>
      </c>
      <c r="E329" s="92">
        <f>SUMIFS('Assumption-Best'!$C$3:$C$32,'Assumption-Best'!$A$3:$A$32,$B329,'Assumption-Best'!$B$3:$B$32,$C329)</f>
        <v>0.2</v>
      </c>
      <c r="F329" s="14">
        <f t="shared" si="35"/>
        <v>52762279.68</v>
      </c>
      <c r="G329" s="93">
        <f>SUMIFS('Assumption-Best'!$D$3:$D$32,'Assumption-Best'!$A$3:$A$32,$B329,'Assumption-Best'!$B$3:$B$32,$C329)</f>
        <v>1.0500000000000001E-2</v>
      </c>
      <c r="H329" s="94">
        <f t="shared" si="36"/>
        <v>554003.93664000009</v>
      </c>
      <c r="I329" s="92">
        <f>SUMIFS('Assumption-Best'!$E$3:$E$32,'Assumption-Best'!$A$3:$A$32,$B329,'Assumption-Best'!$B$3:$B$32,$C329)</f>
        <v>0.28000000000000003</v>
      </c>
      <c r="J329" s="14">
        <f t="shared" si="37"/>
        <v>155121.10225920004</v>
      </c>
      <c r="K329" s="95">
        <f>SUMIFS('Assumption-Best'!$F$3:$F$32,'Assumption-Best'!$A$3:$A$32,$B329,'Assumption-Best'!$B$3:$B$32,$C329)</f>
        <v>2.0000000000000001E-4</v>
      </c>
      <c r="L329" s="14">
        <f t="shared" si="38"/>
        <v>10552.455936</v>
      </c>
      <c r="M329" s="94">
        <f t="shared" si="39"/>
        <v>388330.37844480004</v>
      </c>
      <c r="N329" s="92">
        <f>SUMIFS('Assumption-Best'!$G$3:$G$32,'Assumption-Best'!$A$3:$A$32,$B329,'Assumption-Best'!$B$3:$B$32,$C329)</f>
        <v>0.35</v>
      </c>
      <c r="O329" s="14">
        <f t="shared" si="40"/>
        <v>193901.37782400002</v>
      </c>
      <c r="P329" s="94">
        <f t="shared" si="41"/>
        <v>194429.00062080001</v>
      </c>
    </row>
    <row r="330" spans="1:16" x14ac:dyDescent="0.35">
      <c r="A330" s="91" t="str">
        <f>LEFT('2025 actual v budget'!A330,4)&amp;"26"</f>
        <v>Nov-26</v>
      </c>
      <c r="B330" s="12" t="str">
        <f>'2025 actual v budget'!B330</f>
        <v>USA</v>
      </c>
      <c r="C330" s="12" t="str">
        <f>'2025 actual v budget'!C330</f>
        <v>Stablecoin Settlement</v>
      </c>
      <c r="D330" s="14">
        <f>'2025 actual v budget'!D330</f>
        <v>69799619.450000003</v>
      </c>
      <c r="E330" s="92">
        <f>SUMIFS('Assumption-Best'!$C$3:$C$32,'Assumption-Best'!$A$3:$A$32,$B330,'Assumption-Best'!$B$3:$B$32,$C330)</f>
        <v>0.4</v>
      </c>
      <c r="F330" s="14">
        <f t="shared" si="35"/>
        <v>97719467.230000004</v>
      </c>
      <c r="G330" s="93">
        <f>SUMIFS('Assumption-Best'!$D$3:$D$32,'Assumption-Best'!$A$3:$A$32,$B330,'Assumption-Best'!$B$3:$B$32,$C330)</f>
        <v>6.4999999999999997E-3</v>
      </c>
      <c r="H330" s="94">
        <f t="shared" si="36"/>
        <v>635176.53699499997</v>
      </c>
      <c r="I330" s="92">
        <f>SUMIFS('Assumption-Best'!$E$3:$E$32,'Assumption-Best'!$A$3:$A$32,$B330,'Assumption-Best'!$B$3:$B$32,$C330)</f>
        <v>0.32</v>
      </c>
      <c r="J330" s="14">
        <f t="shared" si="37"/>
        <v>203256.49183839999</v>
      </c>
      <c r="K330" s="95">
        <f>SUMIFS('Assumption-Best'!$F$3:$F$32,'Assumption-Best'!$A$3:$A$32,$B330,'Assumption-Best'!$B$3:$B$32,$C330)</f>
        <v>2.0000000000000001E-4</v>
      </c>
      <c r="L330" s="14">
        <f t="shared" si="38"/>
        <v>19543.893446000002</v>
      </c>
      <c r="M330" s="94">
        <f t="shared" si="39"/>
        <v>412376.15171059995</v>
      </c>
      <c r="N330" s="92">
        <f>SUMIFS('Assumption-Best'!$G$3:$G$32,'Assumption-Best'!$A$3:$A$32,$B330,'Assumption-Best'!$B$3:$B$32,$C330)</f>
        <v>0.35</v>
      </c>
      <c r="O330" s="14">
        <f t="shared" si="40"/>
        <v>222311.78794824998</v>
      </c>
      <c r="P330" s="94">
        <f t="shared" si="41"/>
        <v>190064.36376234997</v>
      </c>
    </row>
    <row r="331" spans="1:16" x14ac:dyDescent="0.35">
      <c r="A331" s="91" t="str">
        <f>LEFT('2025 actual v budget'!A331,4)&amp;"26"</f>
        <v>Nov-26</v>
      </c>
      <c r="B331" s="12" t="str">
        <f>'2025 actual v budget'!B331</f>
        <v>USA</v>
      </c>
      <c r="C331" s="12" t="str">
        <f>'2025 actual v budget'!C331</f>
        <v>Treasury Yield</v>
      </c>
      <c r="D331" s="14">
        <f>'2025 actual v budget'!D331</f>
        <v>18298112.539999999</v>
      </c>
      <c r="E331" s="92">
        <f>SUMIFS('Assumption-Best'!$C$3:$C$32,'Assumption-Best'!$A$3:$A$32,$B331,'Assumption-Best'!$B$3:$B$32,$C331)</f>
        <v>0.2</v>
      </c>
      <c r="F331" s="14">
        <f t="shared" si="35"/>
        <v>21957735.047999997</v>
      </c>
      <c r="G331" s="93">
        <f>SUMIFS('Assumption-Best'!$D$3:$D$32,'Assumption-Best'!$A$3:$A$32,$B331,'Assumption-Best'!$B$3:$B$32,$C331)</f>
        <v>3.0000000000000001E-3</v>
      </c>
      <c r="H331" s="94">
        <f t="shared" si="36"/>
        <v>65873.205143999992</v>
      </c>
      <c r="I331" s="92">
        <f>SUMIFS('Assumption-Best'!$E$3:$E$32,'Assumption-Best'!$A$3:$A$32,$B331,'Assumption-Best'!$B$3:$B$32,$C331)</f>
        <v>0.18</v>
      </c>
      <c r="J331" s="14">
        <f t="shared" si="37"/>
        <v>11857.176925919997</v>
      </c>
      <c r="K331" s="95">
        <f>SUMIFS('Assumption-Best'!$F$3:$F$32,'Assumption-Best'!$A$3:$A$32,$B331,'Assumption-Best'!$B$3:$B$32,$C331)</f>
        <v>2.0000000000000001E-4</v>
      </c>
      <c r="L331" s="14">
        <f t="shared" si="38"/>
        <v>4391.5470095999999</v>
      </c>
      <c r="M331" s="94">
        <f t="shared" si="39"/>
        <v>49624.48120848</v>
      </c>
      <c r="N331" s="92">
        <f>SUMIFS('Assumption-Best'!$G$3:$G$32,'Assumption-Best'!$A$3:$A$32,$B331,'Assumption-Best'!$B$3:$B$32,$C331)</f>
        <v>0.35</v>
      </c>
      <c r="O331" s="14">
        <f t="shared" si="40"/>
        <v>23055.621800399997</v>
      </c>
      <c r="P331" s="94">
        <f t="shared" si="41"/>
        <v>26568.859408080003</v>
      </c>
    </row>
    <row r="332" spans="1:16" x14ac:dyDescent="0.35">
      <c r="A332" s="91" t="str">
        <f>LEFT('2025 actual v budget'!A332,4)&amp;"26"</f>
        <v>Nov-26</v>
      </c>
      <c r="B332" s="12" t="str">
        <f>'2025 actual v budget'!B332</f>
        <v>USA</v>
      </c>
      <c r="C332" s="12" t="str">
        <f>'2025 actual v budget'!C332</f>
        <v>Virtual Accounts</v>
      </c>
      <c r="D332" s="14">
        <f>'2025 actual v budget'!D332</f>
        <v>28379772.379999999</v>
      </c>
      <c r="E332" s="92">
        <f>SUMIFS('Assumption-Best'!$C$3:$C$32,'Assumption-Best'!$A$3:$A$32,$B332,'Assumption-Best'!$B$3:$B$32,$C332)</f>
        <v>0.2</v>
      </c>
      <c r="F332" s="14">
        <f t="shared" si="35"/>
        <v>34055726.855999999</v>
      </c>
      <c r="G332" s="93">
        <f>SUMIFS('Assumption-Best'!$D$3:$D$32,'Assumption-Best'!$A$3:$A$32,$B332,'Assumption-Best'!$B$3:$B$32,$C332)</f>
        <v>4.4999999999999997E-3</v>
      </c>
      <c r="H332" s="94">
        <f t="shared" si="36"/>
        <v>153250.77085199999</v>
      </c>
      <c r="I332" s="92">
        <f>SUMIFS('Assumption-Best'!$E$3:$E$32,'Assumption-Best'!$A$3:$A$32,$B332,'Assumption-Best'!$B$3:$B$32,$C332)</f>
        <v>0.22</v>
      </c>
      <c r="J332" s="14">
        <f t="shared" si="37"/>
        <v>33715.169587439996</v>
      </c>
      <c r="K332" s="95">
        <f>SUMIFS('Assumption-Best'!$F$3:$F$32,'Assumption-Best'!$A$3:$A$32,$B332,'Assumption-Best'!$B$3:$B$32,$C332)</f>
        <v>2.0000000000000001E-4</v>
      </c>
      <c r="L332" s="14">
        <f t="shared" si="38"/>
        <v>6811.1453712000002</v>
      </c>
      <c r="M332" s="94">
        <f t="shared" si="39"/>
        <v>112724.45589335999</v>
      </c>
      <c r="N332" s="92">
        <f>SUMIFS('Assumption-Best'!$G$3:$G$32,'Assumption-Best'!$A$3:$A$32,$B332,'Assumption-Best'!$B$3:$B$32,$C332)</f>
        <v>0.35</v>
      </c>
      <c r="O332" s="14">
        <f t="shared" si="40"/>
        <v>53637.769798199995</v>
      </c>
      <c r="P332" s="94">
        <f t="shared" si="41"/>
        <v>59086.686095159996</v>
      </c>
    </row>
    <row r="333" spans="1:16" x14ac:dyDescent="0.35">
      <c r="A333" s="96" t="str">
        <f>LEFT('2025 actual v budget'!A333,4)&amp;"26"</f>
        <v>Dec-26</v>
      </c>
      <c r="B333" s="17" t="str">
        <f>'2025 actual v budget'!B333</f>
        <v>Brazil</v>
      </c>
      <c r="C333" s="17" t="str">
        <f>'2025 actual v budget'!C333</f>
        <v>Cross-border Payouts</v>
      </c>
      <c r="D333" s="19">
        <f>'2025 actual v budget'!D333</f>
        <v>20821465.899999999</v>
      </c>
      <c r="E333" s="97">
        <f>SUMIFS('Assumption-Best'!$C$3:$C$32,'Assumption-Best'!$A$3:$A$32,$B333,'Assumption-Best'!$B$3:$B$32,$C333)</f>
        <v>0.4</v>
      </c>
      <c r="F333" s="19">
        <f t="shared" si="35"/>
        <v>29150052.259999998</v>
      </c>
      <c r="G333" s="98">
        <f>SUMIFS('Assumption-Best'!$D$3:$D$32,'Assumption-Best'!$A$3:$A$32,$B333,'Assumption-Best'!$B$3:$B$32,$C333)</f>
        <v>7.4999999999999997E-3</v>
      </c>
      <c r="H333" s="99">
        <f t="shared" si="36"/>
        <v>218625.39194999999</v>
      </c>
      <c r="I333" s="97">
        <f>SUMIFS('Assumption-Best'!$E$3:$E$32,'Assumption-Best'!$A$3:$A$32,$B333,'Assumption-Best'!$B$3:$B$32,$C333)</f>
        <v>0.35</v>
      </c>
      <c r="J333" s="19">
        <f t="shared" si="37"/>
        <v>76518.887182499995</v>
      </c>
      <c r="K333" s="100">
        <f>SUMIFS('Assumption-Best'!$F$3:$F$32,'Assumption-Best'!$A$3:$A$32,$B333,'Assumption-Best'!$B$3:$B$32,$C333)</f>
        <v>6.9999999999999994E-5</v>
      </c>
      <c r="L333" s="19">
        <f t="shared" si="38"/>
        <v>2040.5036581999996</v>
      </c>
      <c r="M333" s="99">
        <f t="shared" si="39"/>
        <v>140066.00110929998</v>
      </c>
      <c r="N333" s="97">
        <f>SUMIFS('Assumption-Best'!$G$3:$G$32,'Assumption-Best'!$A$3:$A$32,$B333,'Assumption-Best'!$B$3:$B$32,$C333)</f>
        <v>0.35</v>
      </c>
      <c r="O333" s="19">
        <f t="shared" si="40"/>
        <v>76518.887182499995</v>
      </c>
      <c r="P333" s="99">
        <f t="shared" si="41"/>
        <v>63547.113926799982</v>
      </c>
    </row>
    <row r="334" spans="1:16" x14ac:dyDescent="0.35">
      <c r="A334" s="96" t="str">
        <f>LEFT('2025 actual v budget'!A334,4)&amp;"26"</f>
        <v>Dec-26</v>
      </c>
      <c r="B334" s="17" t="str">
        <f>'2025 actual v budget'!B334</f>
        <v>Brazil</v>
      </c>
      <c r="C334" s="17" t="str">
        <f>'2025 actual v budget'!C334</f>
        <v>FX Conversion</v>
      </c>
      <c r="D334" s="19">
        <f>'2025 actual v budget'!D334</f>
        <v>31313812.260000002</v>
      </c>
      <c r="E334" s="97">
        <f>SUMIFS('Assumption-Best'!$C$3:$C$32,'Assumption-Best'!$A$3:$A$32,$B334,'Assumption-Best'!$B$3:$B$32,$C334)</f>
        <v>0.4</v>
      </c>
      <c r="F334" s="19">
        <f t="shared" si="35"/>
        <v>43839337.163999997</v>
      </c>
      <c r="G334" s="98">
        <f>SUMIFS('Assumption-Best'!$D$3:$D$32,'Assumption-Best'!$A$3:$A$32,$B334,'Assumption-Best'!$B$3:$B$32,$C334)</f>
        <v>1.0500000000000001E-2</v>
      </c>
      <c r="H334" s="99">
        <f t="shared" si="36"/>
        <v>460313.04022199998</v>
      </c>
      <c r="I334" s="97">
        <f>SUMIFS('Assumption-Best'!$E$3:$E$32,'Assumption-Best'!$A$3:$A$32,$B334,'Assumption-Best'!$B$3:$B$32,$C334)</f>
        <v>0.28000000000000003</v>
      </c>
      <c r="J334" s="19">
        <f t="shared" si="37"/>
        <v>128887.65126216001</v>
      </c>
      <c r="K334" s="100">
        <f>SUMIFS('Assumption-Best'!$F$3:$F$32,'Assumption-Best'!$A$3:$A$32,$B334,'Assumption-Best'!$B$3:$B$32,$C334)</f>
        <v>6.9999999999999994E-5</v>
      </c>
      <c r="L334" s="19">
        <f t="shared" si="38"/>
        <v>3068.7536014799994</v>
      </c>
      <c r="M334" s="99">
        <f t="shared" si="39"/>
        <v>328356.63535835996</v>
      </c>
      <c r="N334" s="97">
        <f>SUMIFS('Assumption-Best'!$G$3:$G$32,'Assumption-Best'!$A$3:$A$32,$B334,'Assumption-Best'!$B$3:$B$32,$C334)</f>
        <v>0.35</v>
      </c>
      <c r="O334" s="19">
        <f t="shared" si="40"/>
        <v>161109.56407769999</v>
      </c>
      <c r="P334" s="99">
        <f t="shared" si="41"/>
        <v>167247.07128065996</v>
      </c>
    </row>
    <row r="335" spans="1:16" x14ac:dyDescent="0.35">
      <c r="A335" s="96" t="str">
        <f>LEFT('2025 actual v budget'!A335,4)&amp;"26"</f>
        <v>Dec-26</v>
      </c>
      <c r="B335" s="17" t="str">
        <f>'2025 actual v budget'!B335</f>
        <v>Brazil</v>
      </c>
      <c r="C335" s="17" t="str">
        <f>'2025 actual v budget'!C335</f>
        <v>Stablecoin Settlement</v>
      </c>
      <c r="D335" s="19">
        <f>'2025 actual v budget'!D335</f>
        <v>50934217.549999997</v>
      </c>
      <c r="E335" s="97">
        <f>SUMIFS('Assumption-Best'!$C$3:$C$32,'Assumption-Best'!$A$3:$A$32,$B335,'Assumption-Best'!$B$3:$B$32,$C335)</f>
        <v>0.8</v>
      </c>
      <c r="F335" s="19">
        <f t="shared" si="35"/>
        <v>91681591.590000004</v>
      </c>
      <c r="G335" s="98">
        <f>SUMIFS('Assumption-Best'!$D$3:$D$32,'Assumption-Best'!$A$3:$A$32,$B335,'Assumption-Best'!$B$3:$B$32,$C335)</f>
        <v>6.4999999999999997E-3</v>
      </c>
      <c r="H335" s="99">
        <f t="shared" si="36"/>
        <v>595930.34533499996</v>
      </c>
      <c r="I335" s="97">
        <f>SUMIFS('Assumption-Best'!$E$3:$E$32,'Assumption-Best'!$A$3:$A$32,$B335,'Assumption-Best'!$B$3:$B$32,$C335)</f>
        <v>0.32</v>
      </c>
      <c r="J335" s="19">
        <f t="shared" si="37"/>
        <v>190697.71050719998</v>
      </c>
      <c r="K335" s="100">
        <f>SUMIFS('Assumption-Best'!$F$3:$F$32,'Assumption-Best'!$A$3:$A$32,$B335,'Assumption-Best'!$B$3:$B$32,$C335)</f>
        <v>6.9999999999999994E-5</v>
      </c>
      <c r="L335" s="19">
        <f t="shared" si="38"/>
        <v>6417.7114112999998</v>
      </c>
      <c r="M335" s="99">
        <f t="shared" si="39"/>
        <v>398814.92341649998</v>
      </c>
      <c r="N335" s="97">
        <f>SUMIFS('Assumption-Best'!$G$3:$G$32,'Assumption-Best'!$A$3:$A$32,$B335,'Assumption-Best'!$B$3:$B$32,$C335)</f>
        <v>0.35</v>
      </c>
      <c r="O335" s="19">
        <f t="shared" si="40"/>
        <v>208575.62086724996</v>
      </c>
      <c r="P335" s="99">
        <f t="shared" si="41"/>
        <v>190239.30254925002</v>
      </c>
    </row>
    <row r="336" spans="1:16" x14ac:dyDescent="0.35">
      <c r="A336" s="96" t="str">
        <f>LEFT('2025 actual v budget'!A336,4)&amp;"26"</f>
        <v>Dec-26</v>
      </c>
      <c r="B336" s="17" t="str">
        <f>'2025 actual v budget'!B336</f>
        <v>Brazil</v>
      </c>
      <c r="C336" s="17" t="str">
        <f>'2025 actual v budget'!C336</f>
        <v>Treasury Yield</v>
      </c>
      <c r="D336" s="19">
        <f>'2025 actual v budget'!D336</f>
        <v>13252915.869999999</v>
      </c>
      <c r="E336" s="97">
        <f>SUMIFS('Assumption-Best'!$C$3:$C$32,'Assumption-Best'!$A$3:$A$32,$B336,'Assumption-Best'!$B$3:$B$32,$C336)</f>
        <v>0.4</v>
      </c>
      <c r="F336" s="19">
        <f t="shared" si="35"/>
        <v>18554082.217999998</v>
      </c>
      <c r="G336" s="98">
        <f>SUMIFS('Assumption-Best'!$D$3:$D$32,'Assumption-Best'!$A$3:$A$32,$B336,'Assumption-Best'!$B$3:$B$32,$C336)</f>
        <v>3.0000000000000001E-3</v>
      </c>
      <c r="H336" s="99">
        <f t="shared" si="36"/>
        <v>55662.246653999995</v>
      </c>
      <c r="I336" s="97">
        <f>SUMIFS('Assumption-Best'!$E$3:$E$32,'Assumption-Best'!$A$3:$A$32,$B336,'Assumption-Best'!$B$3:$B$32,$C336)</f>
        <v>0.18</v>
      </c>
      <c r="J336" s="19">
        <f t="shared" si="37"/>
        <v>10019.204397719999</v>
      </c>
      <c r="K336" s="100">
        <f>SUMIFS('Assumption-Best'!$F$3:$F$32,'Assumption-Best'!$A$3:$A$32,$B336,'Assumption-Best'!$B$3:$B$32,$C336)</f>
        <v>6.9999999999999994E-5</v>
      </c>
      <c r="L336" s="19">
        <f t="shared" si="38"/>
        <v>1298.7857552599999</v>
      </c>
      <c r="M336" s="99">
        <f t="shared" si="39"/>
        <v>44344.256501019991</v>
      </c>
      <c r="N336" s="97">
        <f>SUMIFS('Assumption-Best'!$G$3:$G$32,'Assumption-Best'!$A$3:$A$32,$B336,'Assumption-Best'!$B$3:$B$32,$C336)</f>
        <v>0.35</v>
      </c>
      <c r="O336" s="19">
        <f t="shared" si="40"/>
        <v>19481.786328899998</v>
      </c>
      <c r="P336" s="99">
        <f t="shared" si="41"/>
        <v>24862.470172119993</v>
      </c>
    </row>
    <row r="337" spans="1:16" x14ac:dyDescent="0.35">
      <c r="A337" s="96" t="str">
        <f>LEFT('2025 actual v budget'!A337,4)&amp;"26"</f>
        <v>Dec-26</v>
      </c>
      <c r="B337" s="17" t="str">
        <f>'2025 actual v budget'!B337</f>
        <v>Brazil</v>
      </c>
      <c r="C337" s="17" t="str">
        <f>'2025 actual v budget'!C337</f>
        <v>Virtual Accounts</v>
      </c>
      <c r="D337" s="19">
        <f>'2025 actual v budget'!D337</f>
        <v>20313387.140000001</v>
      </c>
      <c r="E337" s="97">
        <f>SUMIFS('Assumption-Best'!$C$3:$C$32,'Assumption-Best'!$A$3:$A$32,$B337,'Assumption-Best'!$B$3:$B$32,$C337)</f>
        <v>0.4</v>
      </c>
      <c r="F337" s="19">
        <f t="shared" si="35"/>
        <v>28438741.995999999</v>
      </c>
      <c r="G337" s="98">
        <f>SUMIFS('Assumption-Best'!$D$3:$D$32,'Assumption-Best'!$A$3:$A$32,$B337,'Assumption-Best'!$B$3:$B$32,$C337)</f>
        <v>4.4999999999999997E-3</v>
      </c>
      <c r="H337" s="99">
        <f t="shared" si="36"/>
        <v>127974.33898199999</v>
      </c>
      <c r="I337" s="97">
        <f>SUMIFS('Assumption-Best'!$E$3:$E$32,'Assumption-Best'!$A$3:$A$32,$B337,'Assumption-Best'!$B$3:$B$32,$C337)</f>
        <v>0.22</v>
      </c>
      <c r="J337" s="19">
        <f t="shared" si="37"/>
        <v>28154.354576039997</v>
      </c>
      <c r="K337" s="100">
        <f>SUMIFS('Assumption-Best'!$F$3:$F$32,'Assumption-Best'!$A$3:$A$32,$B337,'Assumption-Best'!$B$3:$B$32,$C337)</f>
        <v>6.9999999999999994E-5</v>
      </c>
      <c r="L337" s="19">
        <f t="shared" si="38"/>
        <v>1990.7119397199997</v>
      </c>
      <c r="M337" s="99">
        <f t="shared" si="39"/>
        <v>97829.272466239985</v>
      </c>
      <c r="N337" s="97">
        <f>SUMIFS('Assumption-Best'!$G$3:$G$32,'Assumption-Best'!$A$3:$A$32,$B337,'Assumption-Best'!$B$3:$B$32,$C337)</f>
        <v>0.35</v>
      </c>
      <c r="O337" s="19">
        <f t="shared" si="40"/>
        <v>44791.018643699994</v>
      </c>
      <c r="P337" s="99">
        <f t="shared" si="41"/>
        <v>53038.253822539991</v>
      </c>
    </row>
    <row r="338" spans="1:16" x14ac:dyDescent="0.35">
      <c r="A338" s="96" t="str">
        <f>LEFT('2025 actual v budget'!A338,4)&amp;"26"</f>
        <v>Dec-26</v>
      </c>
      <c r="B338" s="17" t="str">
        <f>'2025 actual v budget'!B338</f>
        <v>Germany</v>
      </c>
      <c r="C338" s="17" t="str">
        <f>'2025 actual v budget'!C338</f>
        <v>Cross-border Payouts</v>
      </c>
      <c r="D338" s="19">
        <f>'2025 actual v budget'!D338</f>
        <v>9175513.2799999993</v>
      </c>
      <c r="E338" s="97">
        <f>SUMIFS('Assumption-Best'!$C$3:$C$32,'Assumption-Best'!$A$3:$A$32,$B338,'Assumption-Best'!$B$3:$B$32,$C338)</f>
        <v>0.12</v>
      </c>
      <c r="F338" s="19">
        <f t="shared" si="35"/>
        <v>10276574.873600001</v>
      </c>
      <c r="G338" s="98">
        <f>SUMIFS('Assumption-Best'!$D$3:$D$32,'Assumption-Best'!$A$3:$A$32,$B338,'Assumption-Best'!$B$3:$B$32,$C338)</f>
        <v>7.4999999999999997E-3</v>
      </c>
      <c r="H338" s="99">
        <f t="shared" si="36"/>
        <v>77074.311551999999</v>
      </c>
      <c r="I338" s="97">
        <f>SUMIFS('Assumption-Best'!$E$3:$E$32,'Assumption-Best'!$A$3:$A$32,$B338,'Assumption-Best'!$B$3:$B$32,$C338)</f>
        <v>0.35</v>
      </c>
      <c r="J338" s="19">
        <f t="shared" si="37"/>
        <v>26976.0090432</v>
      </c>
      <c r="K338" s="100">
        <f>SUMIFS('Assumption-Best'!$F$3:$F$32,'Assumption-Best'!$A$3:$A$32,$B338,'Assumption-Best'!$B$3:$B$32,$C338)</f>
        <v>1.4999999999999999E-4</v>
      </c>
      <c r="L338" s="19">
        <f t="shared" si="38"/>
        <v>1541.4862310399999</v>
      </c>
      <c r="M338" s="99">
        <f t="shared" si="39"/>
        <v>48556.816277760001</v>
      </c>
      <c r="N338" s="97">
        <f>SUMIFS('Assumption-Best'!$G$3:$G$32,'Assumption-Best'!$A$3:$A$32,$B338,'Assumption-Best'!$B$3:$B$32,$C338)</f>
        <v>0.35</v>
      </c>
      <c r="O338" s="19">
        <f t="shared" si="40"/>
        <v>26976.0090432</v>
      </c>
      <c r="P338" s="99">
        <f t="shared" si="41"/>
        <v>21580.807234560001</v>
      </c>
    </row>
    <row r="339" spans="1:16" x14ac:dyDescent="0.35">
      <c r="A339" s="96" t="str">
        <f>LEFT('2025 actual v budget'!A339,4)&amp;"26"</f>
        <v>Dec-26</v>
      </c>
      <c r="B339" s="17" t="str">
        <f>'2025 actual v budget'!B339</f>
        <v>Germany</v>
      </c>
      <c r="C339" s="17" t="str">
        <f>'2025 actual v budget'!C339</f>
        <v>FX Conversion</v>
      </c>
      <c r="D339" s="19">
        <f>'2025 actual v budget'!D339</f>
        <v>13785537.83</v>
      </c>
      <c r="E339" s="97">
        <f>SUMIFS('Assumption-Best'!$C$3:$C$32,'Assumption-Best'!$A$3:$A$32,$B339,'Assumption-Best'!$B$3:$B$32,$C339)</f>
        <v>0.12</v>
      </c>
      <c r="F339" s="19">
        <f t="shared" si="35"/>
        <v>15439802.369600002</v>
      </c>
      <c r="G339" s="98">
        <f>SUMIFS('Assumption-Best'!$D$3:$D$32,'Assumption-Best'!$A$3:$A$32,$B339,'Assumption-Best'!$B$3:$B$32,$C339)</f>
        <v>1.0500000000000001E-2</v>
      </c>
      <c r="H339" s="99">
        <f t="shared" si="36"/>
        <v>162117.92488080004</v>
      </c>
      <c r="I339" s="97">
        <f>SUMIFS('Assumption-Best'!$E$3:$E$32,'Assumption-Best'!$A$3:$A$32,$B339,'Assumption-Best'!$B$3:$B$32,$C339)</f>
        <v>0.28000000000000003</v>
      </c>
      <c r="J339" s="19">
        <f t="shared" si="37"/>
        <v>45393.018966624019</v>
      </c>
      <c r="K339" s="100">
        <f>SUMIFS('Assumption-Best'!$F$3:$F$32,'Assumption-Best'!$A$3:$A$32,$B339,'Assumption-Best'!$B$3:$B$32,$C339)</f>
        <v>1.4999999999999999E-4</v>
      </c>
      <c r="L339" s="19">
        <f t="shared" si="38"/>
        <v>2315.9703554400003</v>
      </c>
      <c r="M339" s="99">
        <f t="shared" si="39"/>
        <v>114408.93555873602</v>
      </c>
      <c r="N339" s="97">
        <f>SUMIFS('Assumption-Best'!$G$3:$G$32,'Assumption-Best'!$A$3:$A$32,$B339,'Assumption-Best'!$B$3:$B$32,$C339)</f>
        <v>0.35</v>
      </c>
      <c r="O339" s="19">
        <f t="shared" si="40"/>
        <v>56741.273708280009</v>
      </c>
      <c r="P339" s="99">
        <f t="shared" si="41"/>
        <v>57667.66185045601</v>
      </c>
    </row>
    <row r="340" spans="1:16" x14ac:dyDescent="0.35">
      <c r="A340" s="96" t="str">
        <f>LEFT('2025 actual v budget'!A340,4)&amp;"26"</f>
        <v>Dec-26</v>
      </c>
      <c r="B340" s="17" t="str">
        <f>'2025 actual v budget'!B340</f>
        <v>Germany</v>
      </c>
      <c r="C340" s="17" t="str">
        <f>'2025 actual v budget'!C340</f>
        <v>Stablecoin Settlement</v>
      </c>
      <c r="D340" s="19">
        <f>'2025 actual v budget'!D340</f>
        <v>22445470.059999999</v>
      </c>
      <c r="E340" s="97">
        <f>SUMIFS('Assumption-Best'!$C$3:$C$32,'Assumption-Best'!$A$3:$A$32,$B340,'Assumption-Best'!$B$3:$B$32,$C340)</f>
        <v>0.24</v>
      </c>
      <c r="F340" s="19">
        <f t="shared" si="35"/>
        <v>27832382.874399997</v>
      </c>
      <c r="G340" s="98">
        <f>SUMIFS('Assumption-Best'!$D$3:$D$32,'Assumption-Best'!$A$3:$A$32,$B340,'Assumption-Best'!$B$3:$B$32,$C340)</f>
        <v>6.4999999999999997E-3</v>
      </c>
      <c r="H340" s="99">
        <f t="shared" si="36"/>
        <v>180910.48868359998</v>
      </c>
      <c r="I340" s="97">
        <f>SUMIFS('Assumption-Best'!$E$3:$E$32,'Assumption-Best'!$A$3:$A$32,$B340,'Assumption-Best'!$B$3:$B$32,$C340)</f>
        <v>0.32</v>
      </c>
      <c r="J340" s="19">
        <f t="shared" si="37"/>
        <v>57891.356378751996</v>
      </c>
      <c r="K340" s="100">
        <f>SUMIFS('Assumption-Best'!$F$3:$F$32,'Assumption-Best'!$A$3:$A$32,$B340,'Assumption-Best'!$B$3:$B$32,$C340)</f>
        <v>1.4999999999999999E-4</v>
      </c>
      <c r="L340" s="19">
        <f t="shared" si="38"/>
        <v>4174.8574311599996</v>
      </c>
      <c r="M340" s="99">
        <f t="shared" si="39"/>
        <v>118844.27487368799</v>
      </c>
      <c r="N340" s="97">
        <f>SUMIFS('Assumption-Best'!$G$3:$G$32,'Assumption-Best'!$A$3:$A$32,$B340,'Assumption-Best'!$B$3:$B$32,$C340)</f>
        <v>0.35</v>
      </c>
      <c r="O340" s="19">
        <f t="shared" si="40"/>
        <v>63318.671039259985</v>
      </c>
      <c r="P340" s="99">
        <f t="shared" si="41"/>
        <v>55525.603834428002</v>
      </c>
    </row>
    <row r="341" spans="1:16" x14ac:dyDescent="0.35">
      <c r="A341" s="96" t="str">
        <f>LEFT('2025 actual v budget'!A341,4)&amp;"26"</f>
        <v>Dec-26</v>
      </c>
      <c r="B341" s="17" t="str">
        <f>'2025 actual v budget'!B341</f>
        <v>Germany</v>
      </c>
      <c r="C341" s="17" t="str">
        <f>'2025 actual v budget'!C341</f>
        <v>Treasury Yield</v>
      </c>
      <c r="D341" s="19">
        <f>'2025 actual v budget'!D341</f>
        <v>5834440.46</v>
      </c>
      <c r="E341" s="97">
        <f>SUMIFS('Assumption-Best'!$C$3:$C$32,'Assumption-Best'!$A$3:$A$32,$B341,'Assumption-Best'!$B$3:$B$32,$C341)</f>
        <v>0.12</v>
      </c>
      <c r="F341" s="19">
        <f t="shared" si="35"/>
        <v>6534573.315200001</v>
      </c>
      <c r="G341" s="98">
        <f>SUMIFS('Assumption-Best'!$D$3:$D$32,'Assumption-Best'!$A$3:$A$32,$B341,'Assumption-Best'!$B$3:$B$32,$C341)</f>
        <v>3.0000000000000001E-3</v>
      </c>
      <c r="H341" s="99">
        <f t="shared" si="36"/>
        <v>19603.719945600002</v>
      </c>
      <c r="I341" s="97">
        <f>SUMIFS('Assumption-Best'!$E$3:$E$32,'Assumption-Best'!$A$3:$A$32,$B341,'Assumption-Best'!$B$3:$B$32,$C341)</f>
        <v>0.18</v>
      </c>
      <c r="J341" s="19">
        <f t="shared" si="37"/>
        <v>3528.669590208</v>
      </c>
      <c r="K341" s="100">
        <f>SUMIFS('Assumption-Best'!$F$3:$F$32,'Assumption-Best'!$A$3:$A$32,$B341,'Assumption-Best'!$B$3:$B$32,$C341)</f>
        <v>1.4999999999999999E-4</v>
      </c>
      <c r="L341" s="19">
        <f t="shared" si="38"/>
        <v>980.18599728000004</v>
      </c>
      <c r="M341" s="99">
        <f t="shared" si="39"/>
        <v>15094.864358112003</v>
      </c>
      <c r="N341" s="97">
        <f>SUMIFS('Assumption-Best'!$G$3:$G$32,'Assumption-Best'!$A$3:$A$32,$B341,'Assumption-Best'!$B$3:$B$32,$C341)</f>
        <v>0.35</v>
      </c>
      <c r="O341" s="19">
        <f t="shared" si="40"/>
        <v>6861.30198096</v>
      </c>
      <c r="P341" s="99">
        <f t="shared" si="41"/>
        <v>8233.562377152004</v>
      </c>
    </row>
    <row r="342" spans="1:16" x14ac:dyDescent="0.35">
      <c r="A342" s="96" t="str">
        <f>LEFT('2025 actual v budget'!A342,4)&amp;"26"</f>
        <v>Dec-26</v>
      </c>
      <c r="B342" s="17" t="str">
        <f>'2025 actual v budget'!B342</f>
        <v>Germany</v>
      </c>
      <c r="C342" s="17" t="str">
        <f>'2025 actual v budget'!C342</f>
        <v>Virtual Accounts</v>
      </c>
      <c r="D342" s="19">
        <f>'2025 actual v budget'!D342</f>
        <v>8942729.9600000009</v>
      </c>
      <c r="E342" s="97">
        <f>SUMIFS('Assumption-Best'!$C$3:$C$32,'Assumption-Best'!$A$3:$A$32,$B342,'Assumption-Best'!$B$3:$B$32,$C342)</f>
        <v>0.12</v>
      </c>
      <c r="F342" s="19">
        <f t="shared" si="35"/>
        <v>10015857.555200001</v>
      </c>
      <c r="G342" s="98">
        <f>SUMIFS('Assumption-Best'!$D$3:$D$32,'Assumption-Best'!$A$3:$A$32,$B342,'Assumption-Best'!$B$3:$B$32,$C342)</f>
        <v>4.4999999999999997E-3</v>
      </c>
      <c r="H342" s="99">
        <f t="shared" si="36"/>
        <v>45071.358998399999</v>
      </c>
      <c r="I342" s="97">
        <f>SUMIFS('Assumption-Best'!$E$3:$E$32,'Assumption-Best'!$A$3:$A$32,$B342,'Assumption-Best'!$B$3:$B$32,$C342)</f>
        <v>0.22</v>
      </c>
      <c r="J342" s="19">
        <f t="shared" si="37"/>
        <v>9915.6989796479993</v>
      </c>
      <c r="K342" s="100">
        <f>SUMIFS('Assumption-Best'!$F$3:$F$32,'Assumption-Best'!$A$3:$A$32,$B342,'Assumption-Best'!$B$3:$B$32,$C342)</f>
        <v>1.4999999999999999E-4</v>
      </c>
      <c r="L342" s="19">
        <f t="shared" si="38"/>
        <v>1502.37863328</v>
      </c>
      <c r="M342" s="99">
        <f t="shared" si="39"/>
        <v>33653.281385472001</v>
      </c>
      <c r="N342" s="97">
        <f>SUMIFS('Assumption-Best'!$G$3:$G$32,'Assumption-Best'!$A$3:$A$32,$B342,'Assumption-Best'!$B$3:$B$32,$C342)</f>
        <v>0.35</v>
      </c>
      <c r="O342" s="19">
        <f t="shared" si="40"/>
        <v>15774.975649439999</v>
      </c>
      <c r="P342" s="99">
        <f t="shared" si="41"/>
        <v>17878.305736032002</v>
      </c>
    </row>
    <row r="343" spans="1:16" x14ac:dyDescent="0.35">
      <c r="A343" s="96" t="str">
        <f>LEFT('2025 actual v budget'!A343,4)&amp;"26"</f>
        <v>Dec-26</v>
      </c>
      <c r="B343" s="17" t="str">
        <f>'2025 actual v budget'!B343</f>
        <v>India</v>
      </c>
      <c r="C343" s="17" t="str">
        <f>'2025 actual v budget'!C343</f>
        <v>Cross-border Payouts</v>
      </c>
      <c r="D343" s="19">
        <f>'2025 actual v budget'!D343</f>
        <v>14834509.699999999</v>
      </c>
      <c r="E343" s="97">
        <f>SUMIFS('Assumption-Best'!$C$3:$C$32,'Assumption-Best'!$A$3:$A$32,$B343,'Assumption-Best'!$B$3:$B$32,$C343)</f>
        <v>0.24</v>
      </c>
      <c r="F343" s="19">
        <f t="shared" si="35"/>
        <v>18394792.027999997</v>
      </c>
      <c r="G343" s="98">
        <f>SUMIFS('Assumption-Best'!$D$3:$D$32,'Assumption-Best'!$A$3:$A$32,$B343,'Assumption-Best'!$B$3:$B$32,$C343)</f>
        <v>7.4999999999999997E-3</v>
      </c>
      <c r="H343" s="99">
        <f t="shared" si="36"/>
        <v>137960.94020999997</v>
      </c>
      <c r="I343" s="97">
        <f>SUMIFS('Assumption-Best'!$E$3:$E$32,'Assumption-Best'!$A$3:$A$32,$B343,'Assumption-Best'!$B$3:$B$32,$C343)</f>
        <v>0.35</v>
      </c>
      <c r="J343" s="19">
        <f t="shared" si="37"/>
        <v>48286.32907349999</v>
      </c>
      <c r="K343" s="100">
        <f>SUMIFS('Assumption-Best'!$F$3:$F$32,'Assumption-Best'!$A$3:$A$32,$B343,'Assumption-Best'!$B$3:$B$32,$C343)</f>
        <v>1.8000000000000001E-4</v>
      </c>
      <c r="L343" s="19">
        <f t="shared" si="38"/>
        <v>3311.0625650399998</v>
      </c>
      <c r="M343" s="99">
        <f t="shared" si="39"/>
        <v>86363.548571459978</v>
      </c>
      <c r="N343" s="97">
        <f>SUMIFS('Assumption-Best'!$G$3:$G$32,'Assumption-Best'!$A$3:$A$32,$B343,'Assumption-Best'!$B$3:$B$32,$C343)</f>
        <v>0.35</v>
      </c>
      <c r="O343" s="19">
        <f t="shared" si="40"/>
        <v>48286.32907349999</v>
      </c>
      <c r="P343" s="99">
        <f t="shared" si="41"/>
        <v>38077.219497959988</v>
      </c>
    </row>
    <row r="344" spans="1:16" x14ac:dyDescent="0.35">
      <c r="A344" s="96" t="str">
        <f>LEFT('2025 actual v budget'!A344,4)&amp;"26"</f>
        <v>Dec-26</v>
      </c>
      <c r="B344" s="17" t="str">
        <f>'2025 actual v budget'!B344</f>
        <v>India</v>
      </c>
      <c r="C344" s="17" t="str">
        <f>'2025 actual v budget'!C344</f>
        <v>FX Conversion</v>
      </c>
      <c r="D344" s="19">
        <f>'2025 actual v budget'!D344</f>
        <v>22320681.670000002</v>
      </c>
      <c r="E344" s="97">
        <f>SUMIFS('Assumption-Best'!$C$3:$C$32,'Assumption-Best'!$A$3:$A$32,$B344,'Assumption-Best'!$B$3:$B$32,$C344)</f>
        <v>0.24</v>
      </c>
      <c r="F344" s="19">
        <f t="shared" si="35"/>
        <v>27677645.270800002</v>
      </c>
      <c r="G344" s="98">
        <f>SUMIFS('Assumption-Best'!$D$3:$D$32,'Assumption-Best'!$A$3:$A$32,$B344,'Assumption-Best'!$B$3:$B$32,$C344)</f>
        <v>1.0500000000000001E-2</v>
      </c>
      <c r="H344" s="99">
        <f t="shared" si="36"/>
        <v>290615.27534340002</v>
      </c>
      <c r="I344" s="97">
        <f>SUMIFS('Assumption-Best'!$E$3:$E$32,'Assumption-Best'!$A$3:$A$32,$B344,'Assumption-Best'!$B$3:$B$32,$C344)</f>
        <v>0.28000000000000003</v>
      </c>
      <c r="J344" s="19">
        <f t="shared" si="37"/>
        <v>81372.277096152015</v>
      </c>
      <c r="K344" s="100">
        <f>SUMIFS('Assumption-Best'!$F$3:$F$32,'Assumption-Best'!$A$3:$A$32,$B344,'Assumption-Best'!$B$3:$B$32,$C344)</f>
        <v>1.8000000000000001E-4</v>
      </c>
      <c r="L344" s="19">
        <f t="shared" si="38"/>
        <v>4981.976148744001</v>
      </c>
      <c r="M344" s="99">
        <f t="shared" si="39"/>
        <v>204261.02209850401</v>
      </c>
      <c r="N344" s="97">
        <f>SUMIFS('Assumption-Best'!$G$3:$G$32,'Assumption-Best'!$A$3:$A$32,$B344,'Assumption-Best'!$B$3:$B$32,$C344)</f>
        <v>0.35</v>
      </c>
      <c r="O344" s="19">
        <f t="shared" si="40"/>
        <v>101715.34637019</v>
      </c>
      <c r="P344" s="99">
        <f t="shared" si="41"/>
        <v>102545.675728314</v>
      </c>
    </row>
    <row r="345" spans="1:16" x14ac:dyDescent="0.35">
      <c r="A345" s="96" t="str">
        <f>LEFT('2025 actual v budget'!A345,4)&amp;"26"</f>
        <v>Dec-26</v>
      </c>
      <c r="B345" s="17" t="str">
        <f>'2025 actual v budget'!B345</f>
        <v>India</v>
      </c>
      <c r="C345" s="17" t="str">
        <f>'2025 actual v budget'!C345</f>
        <v>Stablecoin Settlement</v>
      </c>
      <c r="D345" s="19">
        <f>'2025 actual v budget'!D345</f>
        <v>36288710.32</v>
      </c>
      <c r="E345" s="97">
        <f>SUMIFS('Assumption-Best'!$C$3:$C$32,'Assumption-Best'!$A$3:$A$32,$B345,'Assumption-Best'!$B$3:$B$32,$C345)</f>
        <v>0.48</v>
      </c>
      <c r="F345" s="19">
        <f t="shared" si="35"/>
        <v>53707291.273599997</v>
      </c>
      <c r="G345" s="98">
        <f>SUMIFS('Assumption-Best'!$D$3:$D$32,'Assumption-Best'!$A$3:$A$32,$B345,'Assumption-Best'!$B$3:$B$32,$C345)</f>
        <v>6.4999999999999997E-3</v>
      </c>
      <c r="H345" s="99">
        <f t="shared" si="36"/>
        <v>349097.39327839995</v>
      </c>
      <c r="I345" s="97">
        <f>SUMIFS('Assumption-Best'!$E$3:$E$32,'Assumption-Best'!$A$3:$A$32,$B345,'Assumption-Best'!$B$3:$B$32,$C345)</f>
        <v>0.32</v>
      </c>
      <c r="J345" s="19">
        <f t="shared" si="37"/>
        <v>111711.16584908799</v>
      </c>
      <c r="K345" s="100">
        <f>SUMIFS('Assumption-Best'!$F$3:$F$32,'Assumption-Best'!$A$3:$A$32,$B345,'Assumption-Best'!$B$3:$B$32,$C345)</f>
        <v>1.8000000000000001E-4</v>
      </c>
      <c r="L345" s="19">
        <f t="shared" si="38"/>
        <v>9667.3124292480006</v>
      </c>
      <c r="M345" s="99">
        <f t="shared" si="39"/>
        <v>227718.91500006395</v>
      </c>
      <c r="N345" s="97">
        <f>SUMIFS('Assumption-Best'!$G$3:$G$32,'Assumption-Best'!$A$3:$A$32,$B345,'Assumption-Best'!$B$3:$B$32,$C345)</f>
        <v>0.35</v>
      </c>
      <c r="O345" s="19">
        <f t="shared" si="40"/>
        <v>122184.08764743997</v>
      </c>
      <c r="P345" s="99">
        <f t="shared" si="41"/>
        <v>105534.82735262398</v>
      </c>
    </row>
    <row r="346" spans="1:16" x14ac:dyDescent="0.35">
      <c r="A346" s="96" t="str">
        <f>LEFT('2025 actual v budget'!A346,4)&amp;"26"</f>
        <v>Dec-26</v>
      </c>
      <c r="B346" s="17" t="str">
        <f>'2025 actual v budget'!B346</f>
        <v>India</v>
      </c>
      <c r="C346" s="17" t="str">
        <f>'2025 actual v budget'!C346</f>
        <v>Treasury Yield</v>
      </c>
      <c r="D346" s="19">
        <f>'2025 actual v budget'!D346</f>
        <v>9446761.5099999998</v>
      </c>
      <c r="E346" s="97">
        <f>SUMIFS('Assumption-Best'!$C$3:$C$32,'Assumption-Best'!$A$3:$A$32,$B346,'Assumption-Best'!$B$3:$B$32,$C346)</f>
        <v>0.24</v>
      </c>
      <c r="F346" s="19">
        <f t="shared" si="35"/>
        <v>11713984.272399999</v>
      </c>
      <c r="G346" s="98">
        <f>SUMIFS('Assumption-Best'!$D$3:$D$32,'Assumption-Best'!$A$3:$A$32,$B346,'Assumption-Best'!$B$3:$B$32,$C346)</f>
        <v>3.0000000000000001E-3</v>
      </c>
      <c r="H346" s="99">
        <f t="shared" si="36"/>
        <v>35141.952817199999</v>
      </c>
      <c r="I346" s="97">
        <f>SUMIFS('Assumption-Best'!$E$3:$E$32,'Assumption-Best'!$A$3:$A$32,$B346,'Assumption-Best'!$B$3:$B$32,$C346)</f>
        <v>0.18</v>
      </c>
      <c r="J346" s="19">
        <f t="shared" si="37"/>
        <v>6325.551507096</v>
      </c>
      <c r="K346" s="100">
        <f>SUMIFS('Assumption-Best'!$F$3:$F$32,'Assumption-Best'!$A$3:$A$32,$B346,'Assumption-Best'!$B$3:$B$32,$C346)</f>
        <v>1.8000000000000001E-4</v>
      </c>
      <c r="L346" s="19">
        <f t="shared" si="38"/>
        <v>2108.5171690319999</v>
      </c>
      <c r="M346" s="99">
        <f t="shared" si="39"/>
        <v>26707.884141072002</v>
      </c>
      <c r="N346" s="97">
        <f>SUMIFS('Assumption-Best'!$G$3:$G$32,'Assumption-Best'!$A$3:$A$32,$B346,'Assumption-Best'!$B$3:$B$32,$C346)</f>
        <v>0.35</v>
      </c>
      <c r="O346" s="19">
        <f t="shared" si="40"/>
        <v>12299.68348602</v>
      </c>
      <c r="P346" s="99">
        <f t="shared" si="41"/>
        <v>14408.200655052002</v>
      </c>
    </row>
    <row r="347" spans="1:16" x14ac:dyDescent="0.35">
      <c r="A347" s="96" t="str">
        <f>LEFT('2025 actual v budget'!A347,4)&amp;"26"</f>
        <v>Dec-26</v>
      </c>
      <c r="B347" s="17" t="str">
        <f>'2025 actual v budget'!B347</f>
        <v>India</v>
      </c>
      <c r="C347" s="17" t="str">
        <f>'2025 actual v budget'!C347</f>
        <v>Virtual Accounts</v>
      </c>
      <c r="D347" s="19">
        <f>'2025 actual v budget'!D347</f>
        <v>14479509.689999999</v>
      </c>
      <c r="E347" s="97">
        <f>SUMIFS('Assumption-Best'!$C$3:$C$32,'Assumption-Best'!$A$3:$A$32,$B347,'Assumption-Best'!$B$3:$B$32,$C347)</f>
        <v>0.24</v>
      </c>
      <c r="F347" s="19">
        <f t="shared" si="35"/>
        <v>17954592.0156</v>
      </c>
      <c r="G347" s="98">
        <f>SUMIFS('Assumption-Best'!$D$3:$D$32,'Assumption-Best'!$A$3:$A$32,$B347,'Assumption-Best'!$B$3:$B$32,$C347)</f>
        <v>4.4999999999999997E-3</v>
      </c>
      <c r="H347" s="99">
        <f t="shared" si="36"/>
        <v>80795.664070199986</v>
      </c>
      <c r="I347" s="97">
        <f>SUMIFS('Assumption-Best'!$E$3:$E$32,'Assumption-Best'!$A$3:$A$32,$B347,'Assumption-Best'!$B$3:$B$32,$C347)</f>
        <v>0.22</v>
      </c>
      <c r="J347" s="19">
        <f t="shared" si="37"/>
        <v>17775.046095443999</v>
      </c>
      <c r="K347" s="100">
        <f>SUMIFS('Assumption-Best'!$F$3:$F$32,'Assumption-Best'!$A$3:$A$32,$B347,'Assumption-Best'!$B$3:$B$32,$C347)</f>
        <v>1.8000000000000001E-4</v>
      </c>
      <c r="L347" s="19">
        <f t="shared" si="38"/>
        <v>3231.8265628080003</v>
      </c>
      <c r="M347" s="99">
        <f t="shared" si="39"/>
        <v>59788.79141194799</v>
      </c>
      <c r="N347" s="97">
        <f>SUMIFS('Assumption-Best'!$G$3:$G$32,'Assumption-Best'!$A$3:$A$32,$B347,'Assumption-Best'!$B$3:$B$32,$C347)</f>
        <v>0.35</v>
      </c>
      <c r="O347" s="19">
        <f t="shared" si="40"/>
        <v>28278.482424569993</v>
      </c>
      <c r="P347" s="99">
        <f t="shared" si="41"/>
        <v>31510.308987377997</v>
      </c>
    </row>
    <row r="348" spans="1:16" x14ac:dyDescent="0.35">
      <c r="A348" s="96" t="str">
        <f>LEFT('2025 actual v budget'!A348,4)&amp;"26"</f>
        <v>Dec-26</v>
      </c>
      <c r="B348" s="17" t="str">
        <f>'2025 actual v budget'!B348</f>
        <v>Mexico</v>
      </c>
      <c r="C348" s="17" t="str">
        <f>'2025 actual v budget'!C348</f>
        <v>Cross-border Payouts</v>
      </c>
      <c r="D348" s="19">
        <f>'2025 actual v budget'!D348</f>
        <v>17224706.100000001</v>
      </c>
      <c r="E348" s="97">
        <f>SUMIFS('Assumption-Best'!$C$3:$C$32,'Assumption-Best'!$A$3:$A$32,$B348,'Assumption-Best'!$B$3:$B$32,$C348)</f>
        <v>0.3</v>
      </c>
      <c r="F348" s="19">
        <f t="shared" si="35"/>
        <v>22392117.930000003</v>
      </c>
      <c r="G348" s="98">
        <f>SUMIFS('Assumption-Best'!$D$3:$D$32,'Assumption-Best'!$A$3:$A$32,$B348,'Assumption-Best'!$B$3:$B$32,$C348)</f>
        <v>7.4999999999999997E-3</v>
      </c>
      <c r="H348" s="99">
        <f t="shared" si="36"/>
        <v>167940.88447500003</v>
      </c>
      <c r="I348" s="97">
        <f>SUMIFS('Assumption-Best'!$E$3:$E$32,'Assumption-Best'!$A$3:$A$32,$B348,'Assumption-Best'!$B$3:$B$32,$C348)</f>
        <v>0.35</v>
      </c>
      <c r="J348" s="19">
        <f t="shared" si="37"/>
        <v>58779.309566250005</v>
      </c>
      <c r="K348" s="100">
        <f>SUMIFS('Assumption-Best'!$F$3:$F$32,'Assumption-Best'!$A$3:$A$32,$B348,'Assumption-Best'!$B$3:$B$32,$C348)</f>
        <v>8.0000000000000007E-5</v>
      </c>
      <c r="L348" s="19">
        <f t="shared" si="38"/>
        <v>1791.3694344000005</v>
      </c>
      <c r="M348" s="99">
        <f t="shared" si="39"/>
        <v>107370.20547435002</v>
      </c>
      <c r="N348" s="97">
        <f>SUMIFS('Assumption-Best'!$G$3:$G$32,'Assumption-Best'!$A$3:$A$32,$B348,'Assumption-Best'!$B$3:$B$32,$C348)</f>
        <v>0.35</v>
      </c>
      <c r="O348" s="19">
        <f t="shared" si="40"/>
        <v>58779.309566250005</v>
      </c>
      <c r="P348" s="99">
        <f t="shared" si="41"/>
        <v>48590.895908100014</v>
      </c>
    </row>
    <row r="349" spans="1:16" x14ac:dyDescent="0.35">
      <c r="A349" s="96" t="str">
        <f>LEFT('2025 actual v budget'!A349,4)&amp;"26"</f>
        <v>Dec-26</v>
      </c>
      <c r="B349" s="17" t="str">
        <f>'2025 actual v budget'!B349</f>
        <v>Mexico</v>
      </c>
      <c r="C349" s="17" t="str">
        <f>'2025 actual v budget'!C349</f>
        <v>FX Conversion</v>
      </c>
      <c r="D349" s="19">
        <f>'2025 actual v budget'!D349</f>
        <v>25910855.989999998</v>
      </c>
      <c r="E349" s="97">
        <f>SUMIFS('Assumption-Best'!$C$3:$C$32,'Assumption-Best'!$A$3:$A$32,$B349,'Assumption-Best'!$B$3:$B$32,$C349)</f>
        <v>0.3</v>
      </c>
      <c r="F349" s="19">
        <f t="shared" si="35"/>
        <v>33684112.787</v>
      </c>
      <c r="G349" s="98">
        <f>SUMIFS('Assumption-Best'!$D$3:$D$32,'Assumption-Best'!$A$3:$A$32,$B349,'Assumption-Best'!$B$3:$B$32,$C349)</f>
        <v>1.0500000000000001E-2</v>
      </c>
      <c r="H349" s="99">
        <f t="shared" si="36"/>
        <v>353683.18426350004</v>
      </c>
      <c r="I349" s="97">
        <f>SUMIFS('Assumption-Best'!$E$3:$E$32,'Assumption-Best'!$A$3:$A$32,$B349,'Assumption-Best'!$B$3:$B$32,$C349)</f>
        <v>0.28000000000000003</v>
      </c>
      <c r="J349" s="19">
        <f t="shared" si="37"/>
        <v>99031.291593780013</v>
      </c>
      <c r="K349" s="100">
        <f>SUMIFS('Assumption-Best'!$F$3:$F$32,'Assumption-Best'!$A$3:$A$32,$B349,'Assumption-Best'!$B$3:$B$32,$C349)</f>
        <v>8.0000000000000007E-5</v>
      </c>
      <c r="L349" s="19">
        <f t="shared" si="38"/>
        <v>2694.7290229600003</v>
      </c>
      <c r="M349" s="99">
        <f t="shared" si="39"/>
        <v>251957.16364676002</v>
      </c>
      <c r="N349" s="97">
        <f>SUMIFS('Assumption-Best'!$G$3:$G$32,'Assumption-Best'!$A$3:$A$32,$B349,'Assumption-Best'!$B$3:$B$32,$C349)</f>
        <v>0.35</v>
      </c>
      <c r="O349" s="19">
        <f t="shared" si="40"/>
        <v>123789.11449222501</v>
      </c>
      <c r="P349" s="99">
        <f t="shared" si="41"/>
        <v>128168.04915453501</v>
      </c>
    </row>
    <row r="350" spans="1:16" x14ac:dyDescent="0.35">
      <c r="A350" s="96" t="str">
        <f>LEFT('2025 actual v budget'!A350,4)&amp;"26"</f>
        <v>Dec-26</v>
      </c>
      <c r="B350" s="17" t="str">
        <f>'2025 actual v budget'!B350</f>
        <v>Mexico</v>
      </c>
      <c r="C350" s="17" t="str">
        <f>'2025 actual v budget'!C350</f>
        <v>Stablecoin Settlement</v>
      </c>
      <c r="D350" s="19">
        <f>'2025 actual v budget'!D350</f>
        <v>42135694.579999998</v>
      </c>
      <c r="E350" s="97">
        <f>SUMIFS('Assumption-Best'!$C$3:$C$32,'Assumption-Best'!$A$3:$A$32,$B350,'Assumption-Best'!$B$3:$B$32,$C350)</f>
        <v>0.6</v>
      </c>
      <c r="F350" s="19">
        <f t="shared" si="35"/>
        <v>67417111.327999994</v>
      </c>
      <c r="G350" s="98">
        <f>SUMIFS('Assumption-Best'!$D$3:$D$32,'Assumption-Best'!$A$3:$A$32,$B350,'Assumption-Best'!$B$3:$B$32,$C350)</f>
        <v>6.4999999999999997E-3</v>
      </c>
      <c r="H350" s="99">
        <f t="shared" si="36"/>
        <v>438211.22363199992</v>
      </c>
      <c r="I350" s="97">
        <f>SUMIFS('Assumption-Best'!$E$3:$E$32,'Assumption-Best'!$A$3:$A$32,$B350,'Assumption-Best'!$B$3:$B$32,$C350)</f>
        <v>0.32</v>
      </c>
      <c r="J350" s="19">
        <f t="shared" si="37"/>
        <v>140227.59156223998</v>
      </c>
      <c r="K350" s="100">
        <f>SUMIFS('Assumption-Best'!$F$3:$F$32,'Assumption-Best'!$A$3:$A$32,$B350,'Assumption-Best'!$B$3:$B$32,$C350)</f>
        <v>8.0000000000000007E-5</v>
      </c>
      <c r="L350" s="19">
        <f t="shared" si="38"/>
        <v>5393.3689062399999</v>
      </c>
      <c r="M350" s="99">
        <f t="shared" si="39"/>
        <v>292590.26316351997</v>
      </c>
      <c r="N350" s="97">
        <f>SUMIFS('Assumption-Best'!$G$3:$G$32,'Assumption-Best'!$A$3:$A$32,$B350,'Assumption-Best'!$B$3:$B$32,$C350)</f>
        <v>0.35</v>
      </c>
      <c r="O350" s="19">
        <f t="shared" si="40"/>
        <v>153373.92827119995</v>
      </c>
      <c r="P350" s="99">
        <f t="shared" si="41"/>
        <v>139216.33489232001</v>
      </c>
    </row>
    <row r="351" spans="1:16" x14ac:dyDescent="0.35">
      <c r="A351" s="96" t="str">
        <f>LEFT('2025 actual v budget'!A351,4)&amp;"26"</f>
        <v>Dec-26</v>
      </c>
      <c r="B351" s="17" t="str">
        <f>'2025 actual v budget'!B351</f>
        <v>Mexico</v>
      </c>
      <c r="C351" s="17" t="str">
        <f>'2025 actual v budget'!C351</f>
        <v>Treasury Yield</v>
      </c>
      <c r="D351" s="19">
        <f>'2025 actual v budget'!D351</f>
        <v>10966227.67</v>
      </c>
      <c r="E351" s="97">
        <f>SUMIFS('Assumption-Best'!$C$3:$C$32,'Assumption-Best'!$A$3:$A$32,$B351,'Assumption-Best'!$B$3:$B$32,$C351)</f>
        <v>0.3</v>
      </c>
      <c r="F351" s="19">
        <f t="shared" si="35"/>
        <v>14256095.971000001</v>
      </c>
      <c r="G351" s="98">
        <f>SUMIFS('Assumption-Best'!$D$3:$D$32,'Assumption-Best'!$A$3:$A$32,$B351,'Assumption-Best'!$B$3:$B$32,$C351)</f>
        <v>3.0000000000000001E-3</v>
      </c>
      <c r="H351" s="99">
        <f t="shared" si="36"/>
        <v>42768.287913</v>
      </c>
      <c r="I351" s="97">
        <f>SUMIFS('Assumption-Best'!$E$3:$E$32,'Assumption-Best'!$A$3:$A$32,$B351,'Assumption-Best'!$B$3:$B$32,$C351)</f>
        <v>0.18</v>
      </c>
      <c r="J351" s="19">
        <f t="shared" si="37"/>
        <v>7698.2918243399999</v>
      </c>
      <c r="K351" s="100">
        <f>SUMIFS('Assumption-Best'!$F$3:$F$32,'Assumption-Best'!$A$3:$A$32,$B351,'Assumption-Best'!$B$3:$B$32,$C351)</f>
        <v>8.0000000000000007E-5</v>
      </c>
      <c r="L351" s="19">
        <f t="shared" si="38"/>
        <v>1140.4876776800002</v>
      </c>
      <c r="M351" s="99">
        <f t="shared" si="39"/>
        <v>33929.508410980001</v>
      </c>
      <c r="N351" s="97">
        <f>SUMIFS('Assumption-Best'!$G$3:$G$32,'Assumption-Best'!$A$3:$A$32,$B351,'Assumption-Best'!$B$3:$B$32,$C351)</f>
        <v>0.35</v>
      </c>
      <c r="O351" s="19">
        <f t="shared" si="40"/>
        <v>14968.900769549999</v>
      </c>
      <c r="P351" s="99">
        <f t="shared" si="41"/>
        <v>18960.607641430004</v>
      </c>
    </row>
    <row r="352" spans="1:16" x14ac:dyDescent="0.35">
      <c r="A352" s="96" t="str">
        <f>LEFT('2025 actual v budget'!A352,4)&amp;"26"</f>
        <v>Dec-26</v>
      </c>
      <c r="B352" s="17" t="str">
        <f>'2025 actual v budget'!B352</f>
        <v>Mexico</v>
      </c>
      <c r="C352" s="17" t="str">
        <f>'2025 actual v budget'!C352</f>
        <v>Virtual Accounts</v>
      </c>
      <c r="D352" s="19">
        <f>'2025 actual v budget'!D352</f>
        <v>16808469.199999999</v>
      </c>
      <c r="E352" s="97">
        <f>SUMIFS('Assumption-Best'!$C$3:$C$32,'Assumption-Best'!$A$3:$A$32,$B352,'Assumption-Best'!$B$3:$B$32,$C352)</f>
        <v>0.3</v>
      </c>
      <c r="F352" s="19">
        <f t="shared" si="35"/>
        <v>21851009.960000001</v>
      </c>
      <c r="G352" s="98">
        <f>SUMIFS('Assumption-Best'!$D$3:$D$32,'Assumption-Best'!$A$3:$A$32,$B352,'Assumption-Best'!$B$3:$B$32,$C352)</f>
        <v>4.4999999999999997E-3</v>
      </c>
      <c r="H352" s="99">
        <f t="shared" si="36"/>
        <v>98329.544819999996</v>
      </c>
      <c r="I352" s="97">
        <f>SUMIFS('Assumption-Best'!$E$3:$E$32,'Assumption-Best'!$A$3:$A$32,$B352,'Assumption-Best'!$B$3:$B$32,$C352)</f>
        <v>0.22</v>
      </c>
      <c r="J352" s="19">
        <f t="shared" si="37"/>
        <v>21632.499860399999</v>
      </c>
      <c r="K352" s="100">
        <f>SUMIFS('Assumption-Best'!$F$3:$F$32,'Assumption-Best'!$A$3:$A$32,$B352,'Assumption-Best'!$B$3:$B$32,$C352)</f>
        <v>8.0000000000000007E-5</v>
      </c>
      <c r="L352" s="19">
        <f t="shared" si="38"/>
        <v>1748.0807968000001</v>
      </c>
      <c r="M352" s="99">
        <f t="shared" si="39"/>
        <v>74948.964162799995</v>
      </c>
      <c r="N352" s="97">
        <f>SUMIFS('Assumption-Best'!$G$3:$G$32,'Assumption-Best'!$A$3:$A$32,$B352,'Assumption-Best'!$B$3:$B$32,$C352)</f>
        <v>0.35</v>
      </c>
      <c r="O352" s="19">
        <f t="shared" si="40"/>
        <v>34415.340686999996</v>
      </c>
      <c r="P352" s="99">
        <f t="shared" si="41"/>
        <v>40533.623475799999</v>
      </c>
    </row>
    <row r="353" spans="1:16" x14ac:dyDescent="0.35">
      <c r="A353" s="96" t="str">
        <f>LEFT('2025 actual v budget'!A353,4)&amp;"26"</f>
        <v>Dec-26</v>
      </c>
      <c r="B353" s="17" t="str">
        <f>'2025 actual v budget'!B353</f>
        <v>Singapore</v>
      </c>
      <c r="C353" s="17" t="str">
        <f>'2025 actual v budget'!C353</f>
        <v>Cross-border Payouts</v>
      </c>
      <c r="D353" s="19">
        <f>'2025 actual v budget'!D353</f>
        <v>12870217.01</v>
      </c>
      <c r="E353" s="97">
        <f>SUMIFS('Assumption-Best'!$C$3:$C$32,'Assumption-Best'!$A$3:$A$32,$B353,'Assumption-Best'!$B$3:$B$32,$C353)</f>
        <v>0.1</v>
      </c>
      <c r="F353" s="19">
        <f t="shared" si="35"/>
        <v>14157238.711000001</v>
      </c>
      <c r="G353" s="98">
        <f>SUMIFS('Assumption-Best'!$D$3:$D$32,'Assumption-Best'!$A$3:$A$32,$B353,'Assumption-Best'!$B$3:$B$32,$C353)</f>
        <v>7.4999999999999997E-3</v>
      </c>
      <c r="H353" s="99">
        <f t="shared" si="36"/>
        <v>106179.29033250001</v>
      </c>
      <c r="I353" s="97">
        <f>SUMIFS('Assumption-Best'!$E$3:$E$32,'Assumption-Best'!$A$3:$A$32,$B353,'Assumption-Best'!$B$3:$B$32,$C353)</f>
        <v>0.35</v>
      </c>
      <c r="J353" s="19">
        <f t="shared" si="37"/>
        <v>37162.751616374997</v>
      </c>
      <c r="K353" s="100">
        <f>SUMIFS('Assumption-Best'!$F$3:$F$32,'Assumption-Best'!$A$3:$A$32,$B353,'Assumption-Best'!$B$3:$B$32,$C353)</f>
        <v>9.0000000000000006E-5</v>
      </c>
      <c r="L353" s="19">
        <f t="shared" si="38"/>
        <v>1274.1514839900001</v>
      </c>
      <c r="M353" s="99">
        <f t="shared" si="39"/>
        <v>67742.387232135006</v>
      </c>
      <c r="N353" s="97">
        <f>SUMIFS('Assumption-Best'!$G$3:$G$32,'Assumption-Best'!$A$3:$A$32,$B353,'Assumption-Best'!$B$3:$B$32,$C353)</f>
        <v>0.35</v>
      </c>
      <c r="O353" s="19">
        <f t="shared" si="40"/>
        <v>37162.751616374997</v>
      </c>
      <c r="P353" s="99">
        <f t="shared" si="41"/>
        <v>30579.635615760009</v>
      </c>
    </row>
    <row r="354" spans="1:16" x14ac:dyDescent="0.35">
      <c r="A354" s="96" t="str">
        <f>LEFT('2025 actual v budget'!A354,4)&amp;"26"</f>
        <v>Dec-26</v>
      </c>
      <c r="B354" s="17" t="str">
        <f>'2025 actual v budget'!B354</f>
        <v>Singapore</v>
      </c>
      <c r="C354" s="17" t="str">
        <f>'2025 actual v budget'!C354</f>
        <v>FX Conversion</v>
      </c>
      <c r="D354" s="19">
        <f>'2025 actual v budget'!D354</f>
        <v>19346255.210000001</v>
      </c>
      <c r="E354" s="97">
        <f>SUMIFS('Assumption-Best'!$C$3:$C$32,'Assumption-Best'!$A$3:$A$32,$B354,'Assumption-Best'!$B$3:$B$32,$C354)</f>
        <v>0.1</v>
      </c>
      <c r="F354" s="19">
        <f t="shared" si="35"/>
        <v>21280880.731000002</v>
      </c>
      <c r="G354" s="98">
        <f>SUMIFS('Assumption-Best'!$D$3:$D$32,'Assumption-Best'!$A$3:$A$32,$B354,'Assumption-Best'!$B$3:$B$32,$C354)</f>
        <v>1.0500000000000001E-2</v>
      </c>
      <c r="H354" s="99">
        <f t="shared" si="36"/>
        <v>223449.24767550005</v>
      </c>
      <c r="I354" s="97">
        <f>SUMIFS('Assumption-Best'!$E$3:$E$32,'Assumption-Best'!$A$3:$A$32,$B354,'Assumption-Best'!$B$3:$B$32,$C354)</f>
        <v>0.28000000000000003</v>
      </c>
      <c r="J354" s="19">
        <f t="shared" si="37"/>
        <v>62565.789349140017</v>
      </c>
      <c r="K354" s="100">
        <f>SUMIFS('Assumption-Best'!$F$3:$F$32,'Assumption-Best'!$A$3:$A$32,$B354,'Assumption-Best'!$B$3:$B$32,$C354)</f>
        <v>9.0000000000000006E-5</v>
      </c>
      <c r="L354" s="19">
        <f t="shared" si="38"/>
        <v>1915.2792657900004</v>
      </c>
      <c r="M354" s="99">
        <f t="shared" si="39"/>
        <v>158968.17906057002</v>
      </c>
      <c r="N354" s="97">
        <f>SUMIFS('Assumption-Best'!$G$3:$G$32,'Assumption-Best'!$A$3:$A$32,$B354,'Assumption-Best'!$B$3:$B$32,$C354)</f>
        <v>0.35</v>
      </c>
      <c r="O354" s="19">
        <f t="shared" si="40"/>
        <v>78207.236686425007</v>
      </c>
      <c r="P354" s="99">
        <f t="shared" si="41"/>
        <v>80760.942374145015</v>
      </c>
    </row>
    <row r="355" spans="1:16" x14ac:dyDescent="0.35">
      <c r="A355" s="96" t="str">
        <f>LEFT('2025 actual v budget'!A355,4)&amp;"26"</f>
        <v>Dec-26</v>
      </c>
      <c r="B355" s="17" t="str">
        <f>'2025 actual v budget'!B355</f>
        <v>Singapore</v>
      </c>
      <c r="C355" s="17" t="str">
        <f>'2025 actual v budget'!C355</f>
        <v>Stablecoin Settlement</v>
      </c>
      <c r="D355" s="19">
        <f>'2025 actual v budget'!D355</f>
        <v>31483587</v>
      </c>
      <c r="E355" s="97">
        <f>SUMIFS('Assumption-Best'!$C$3:$C$32,'Assumption-Best'!$A$3:$A$32,$B355,'Assumption-Best'!$B$3:$B$32,$C355)</f>
        <v>0.2</v>
      </c>
      <c r="F355" s="19">
        <f t="shared" si="35"/>
        <v>37780304.399999999</v>
      </c>
      <c r="G355" s="98">
        <f>SUMIFS('Assumption-Best'!$D$3:$D$32,'Assumption-Best'!$A$3:$A$32,$B355,'Assumption-Best'!$B$3:$B$32,$C355)</f>
        <v>6.4999999999999997E-3</v>
      </c>
      <c r="H355" s="99">
        <f t="shared" si="36"/>
        <v>245571.97859999997</v>
      </c>
      <c r="I355" s="97">
        <f>SUMIFS('Assumption-Best'!$E$3:$E$32,'Assumption-Best'!$A$3:$A$32,$B355,'Assumption-Best'!$B$3:$B$32,$C355)</f>
        <v>0.32</v>
      </c>
      <c r="J355" s="19">
        <f t="shared" si="37"/>
        <v>78583.033151999989</v>
      </c>
      <c r="K355" s="100">
        <f>SUMIFS('Assumption-Best'!$F$3:$F$32,'Assumption-Best'!$A$3:$A$32,$B355,'Assumption-Best'!$B$3:$B$32,$C355)</f>
        <v>9.0000000000000006E-5</v>
      </c>
      <c r="L355" s="19">
        <f t="shared" si="38"/>
        <v>3400.2273960000002</v>
      </c>
      <c r="M355" s="99">
        <f t="shared" si="39"/>
        <v>163588.71805199998</v>
      </c>
      <c r="N355" s="97">
        <f>SUMIFS('Assumption-Best'!$G$3:$G$32,'Assumption-Best'!$A$3:$A$32,$B355,'Assumption-Best'!$B$3:$B$32,$C355)</f>
        <v>0.35</v>
      </c>
      <c r="O355" s="19">
        <f t="shared" si="40"/>
        <v>85950.192509999979</v>
      </c>
      <c r="P355" s="99">
        <f t="shared" si="41"/>
        <v>77638.525542000003</v>
      </c>
    </row>
    <row r="356" spans="1:16" x14ac:dyDescent="0.35">
      <c r="A356" s="96" t="str">
        <f>LEFT('2025 actual v budget'!A356,4)&amp;"26"</f>
        <v>Dec-26</v>
      </c>
      <c r="B356" s="17" t="str">
        <f>'2025 actual v budget'!B356</f>
        <v>Singapore</v>
      </c>
      <c r="C356" s="17" t="str">
        <f>'2025 actual v budget'!C356</f>
        <v>Treasury Yield</v>
      </c>
      <c r="D356" s="19">
        <f>'2025 actual v budget'!D356</f>
        <v>8187897.7400000002</v>
      </c>
      <c r="E356" s="97">
        <f>SUMIFS('Assumption-Best'!$C$3:$C$32,'Assumption-Best'!$A$3:$A$32,$B356,'Assumption-Best'!$B$3:$B$32,$C356)</f>
        <v>0.1</v>
      </c>
      <c r="F356" s="19">
        <f t="shared" si="35"/>
        <v>9006687.5140000004</v>
      </c>
      <c r="G356" s="98">
        <f>SUMIFS('Assumption-Best'!$D$3:$D$32,'Assumption-Best'!$A$3:$A$32,$B356,'Assumption-Best'!$B$3:$B$32,$C356)</f>
        <v>3.0000000000000001E-3</v>
      </c>
      <c r="H356" s="99">
        <f t="shared" si="36"/>
        <v>27020.062542000003</v>
      </c>
      <c r="I356" s="97">
        <f>SUMIFS('Assumption-Best'!$E$3:$E$32,'Assumption-Best'!$A$3:$A$32,$B356,'Assumption-Best'!$B$3:$B$32,$C356)</f>
        <v>0.18</v>
      </c>
      <c r="J356" s="19">
        <f t="shared" si="37"/>
        <v>4863.61125756</v>
      </c>
      <c r="K356" s="100">
        <f>SUMIFS('Assumption-Best'!$F$3:$F$32,'Assumption-Best'!$A$3:$A$32,$B356,'Assumption-Best'!$B$3:$B$32,$C356)</f>
        <v>9.0000000000000006E-5</v>
      </c>
      <c r="L356" s="19">
        <f t="shared" si="38"/>
        <v>810.60187626000004</v>
      </c>
      <c r="M356" s="99">
        <f t="shared" si="39"/>
        <v>21345.849408180002</v>
      </c>
      <c r="N356" s="97">
        <f>SUMIFS('Assumption-Best'!$G$3:$G$32,'Assumption-Best'!$A$3:$A$32,$B356,'Assumption-Best'!$B$3:$B$32,$C356)</f>
        <v>0.35</v>
      </c>
      <c r="O356" s="19">
        <f t="shared" si="40"/>
        <v>9457.0218897000013</v>
      </c>
      <c r="P356" s="99">
        <f t="shared" si="41"/>
        <v>11888.82751848</v>
      </c>
    </row>
    <row r="357" spans="1:16" x14ac:dyDescent="0.35">
      <c r="A357" s="96" t="str">
        <f>LEFT('2025 actual v budget'!A357,4)&amp;"26"</f>
        <v>Dec-26</v>
      </c>
      <c r="B357" s="17" t="str">
        <f>'2025 actual v budget'!B357</f>
        <v>Singapore</v>
      </c>
      <c r="C357" s="17" t="str">
        <f>'2025 actual v budget'!C357</f>
        <v>Virtual Accounts</v>
      </c>
      <c r="D357" s="19">
        <f>'2025 actual v budget'!D357</f>
        <v>12549988.119999999</v>
      </c>
      <c r="E357" s="97">
        <f>SUMIFS('Assumption-Best'!$C$3:$C$32,'Assumption-Best'!$A$3:$A$32,$B357,'Assumption-Best'!$B$3:$B$32,$C357)</f>
        <v>0.1</v>
      </c>
      <c r="F357" s="19">
        <f t="shared" si="35"/>
        <v>13804986.932</v>
      </c>
      <c r="G357" s="98">
        <f>SUMIFS('Assumption-Best'!$D$3:$D$32,'Assumption-Best'!$A$3:$A$32,$B357,'Assumption-Best'!$B$3:$B$32,$C357)</f>
        <v>4.4999999999999997E-3</v>
      </c>
      <c r="H357" s="99">
        <f t="shared" si="36"/>
        <v>62122.441193999992</v>
      </c>
      <c r="I357" s="97">
        <f>SUMIFS('Assumption-Best'!$E$3:$E$32,'Assumption-Best'!$A$3:$A$32,$B357,'Assumption-Best'!$B$3:$B$32,$C357)</f>
        <v>0.22</v>
      </c>
      <c r="J357" s="19">
        <f t="shared" si="37"/>
        <v>13666.937062679999</v>
      </c>
      <c r="K357" s="100">
        <f>SUMIFS('Assumption-Best'!$F$3:$F$32,'Assumption-Best'!$A$3:$A$32,$B357,'Assumption-Best'!$B$3:$B$32,$C357)</f>
        <v>9.0000000000000006E-5</v>
      </c>
      <c r="L357" s="19">
        <f t="shared" si="38"/>
        <v>1242.4488238800002</v>
      </c>
      <c r="M357" s="99">
        <f t="shared" si="39"/>
        <v>47213.055307439994</v>
      </c>
      <c r="N357" s="97">
        <f>SUMIFS('Assumption-Best'!$G$3:$G$32,'Assumption-Best'!$A$3:$A$32,$B357,'Assumption-Best'!$B$3:$B$32,$C357)</f>
        <v>0.35</v>
      </c>
      <c r="O357" s="19">
        <f t="shared" si="40"/>
        <v>21742.854417899995</v>
      </c>
      <c r="P357" s="99">
        <f t="shared" si="41"/>
        <v>25470.200889539999</v>
      </c>
    </row>
    <row r="358" spans="1:16" x14ac:dyDescent="0.35">
      <c r="A358" s="96" t="str">
        <f>LEFT('2025 actual v budget'!A358,4)&amp;"26"</f>
        <v>Dec-26</v>
      </c>
      <c r="B358" s="17" t="str">
        <f>'2025 actual v budget'!B358</f>
        <v>USA</v>
      </c>
      <c r="C358" s="17" t="str">
        <f>'2025 actual v budget'!C358</f>
        <v>Cross-border Payouts</v>
      </c>
      <c r="D358" s="19">
        <f>'2025 actual v budget'!D358</f>
        <v>30537333.510000002</v>
      </c>
      <c r="E358" s="97">
        <f>SUMIFS('Assumption-Best'!$C$3:$C$32,'Assumption-Best'!$A$3:$A$32,$B358,'Assumption-Best'!$B$3:$B$32,$C358)</f>
        <v>0.2</v>
      </c>
      <c r="F358" s="19">
        <f t="shared" si="35"/>
        <v>36644800.211999997</v>
      </c>
      <c r="G358" s="98">
        <f>SUMIFS('Assumption-Best'!$D$3:$D$32,'Assumption-Best'!$A$3:$A$32,$B358,'Assumption-Best'!$B$3:$B$32,$C358)</f>
        <v>7.4999999999999997E-3</v>
      </c>
      <c r="H358" s="99">
        <f t="shared" si="36"/>
        <v>274836.00159</v>
      </c>
      <c r="I358" s="97">
        <f>SUMIFS('Assumption-Best'!$E$3:$E$32,'Assumption-Best'!$A$3:$A$32,$B358,'Assumption-Best'!$B$3:$B$32,$C358)</f>
        <v>0.35</v>
      </c>
      <c r="J358" s="19">
        <f t="shared" si="37"/>
        <v>96192.600556499994</v>
      </c>
      <c r="K358" s="100">
        <f>SUMIFS('Assumption-Best'!$F$3:$F$32,'Assumption-Best'!$A$3:$A$32,$B358,'Assumption-Best'!$B$3:$B$32,$C358)</f>
        <v>2.0000000000000001E-4</v>
      </c>
      <c r="L358" s="19">
        <f t="shared" si="38"/>
        <v>7328.9600424</v>
      </c>
      <c r="M358" s="99">
        <f t="shared" si="39"/>
        <v>171314.44099110001</v>
      </c>
      <c r="N358" s="97">
        <f>SUMIFS('Assumption-Best'!$G$3:$G$32,'Assumption-Best'!$A$3:$A$32,$B358,'Assumption-Best'!$B$3:$B$32,$C358)</f>
        <v>0.35</v>
      </c>
      <c r="O358" s="19">
        <f t="shared" si="40"/>
        <v>96192.600556499994</v>
      </c>
      <c r="P358" s="99">
        <f t="shared" si="41"/>
        <v>75121.840434600017</v>
      </c>
    </row>
    <row r="359" spans="1:16" x14ac:dyDescent="0.35">
      <c r="A359" s="96" t="str">
        <f>LEFT('2025 actual v budget'!A359,4)&amp;"26"</f>
        <v>Dec-26</v>
      </c>
      <c r="B359" s="17" t="str">
        <f>'2025 actual v budget'!B359</f>
        <v>USA</v>
      </c>
      <c r="C359" s="17" t="str">
        <f>'2025 actual v budget'!C359</f>
        <v>FX Conversion</v>
      </c>
      <c r="D359" s="19">
        <f>'2025 actual v budget'!D359</f>
        <v>45891666.25</v>
      </c>
      <c r="E359" s="97">
        <f>SUMIFS('Assumption-Best'!$C$3:$C$32,'Assumption-Best'!$A$3:$A$32,$B359,'Assumption-Best'!$B$3:$B$32,$C359)</f>
        <v>0.2</v>
      </c>
      <c r="F359" s="19">
        <f t="shared" si="35"/>
        <v>55069999.5</v>
      </c>
      <c r="G359" s="98">
        <f>SUMIFS('Assumption-Best'!$D$3:$D$32,'Assumption-Best'!$A$3:$A$32,$B359,'Assumption-Best'!$B$3:$B$32,$C359)</f>
        <v>1.0500000000000001E-2</v>
      </c>
      <c r="H359" s="99">
        <f t="shared" si="36"/>
        <v>578234.99475000007</v>
      </c>
      <c r="I359" s="97">
        <f>SUMIFS('Assumption-Best'!$E$3:$E$32,'Assumption-Best'!$A$3:$A$32,$B359,'Assumption-Best'!$B$3:$B$32,$C359)</f>
        <v>0.28000000000000003</v>
      </c>
      <c r="J359" s="19">
        <f t="shared" si="37"/>
        <v>161905.79853000003</v>
      </c>
      <c r="K359" s="100">
        <f>SUMIFS('Assumption-Best'!$F$3:$F$32,'Assumption-Best'!$A$3:$A$32,$B359,'Assumption-Best'!$B$3:$B$32,$C359)</f>
        <v>2.0000000000000001E-4</v>
      </c>
      <c r="L359" s="19">
        <f t="shared" si="38"/>
        <v>11013.999900000001</v>
      </c>
      <c r="M359" s="99">
        <f t="shared" si="39"/>
        <v>405315.19632000005</v>
      </c>
      <c r="N359" s="97">
        <f>SUMIFS('Assumption-Best'!$G$3:$G$32,'Assumption-Best'!$A$3:$A$32,$B359,'Assumption-Best'!$B$3:$B$32,$C359)</f>
        <v>0.35</v>
      </c>
      <c r="O359" s="19">
        <f t="shared" si="40"/>
        <v>202382.24816250001</v>
      </c>
      <c r="P359" s="99">
        <f t="shared" si="41"/>
        <v>202932.94815750004</v>
      </c>
    </row>
    <row r="360" spans="1:16" x14ac:dyDescent="0.35">
      <c r="A360" s="96" t="str">
        <f>LEFT('2025 actual v budget'!A360,4)&amp;"26"</f>
        <v>Dec-26</v>
      </c>
      <c r="B360" s="17" t="str">
        <f>'2025 actual v budget'!B360</f>
        <v>USA</v>
      </c>
      <c r="C360" s="17" t="str">
        <f>'2025 actual v budget'!C360</f>
        <v>Stablecoin Settlement</v>
      </c>
      <c r="D360" s="19">
        <f>'2025 actual v budget'!D360</f>
        <v>74701521.790000007</v>
      </c>
      <c r="E360" s="97">
        <f>SUMIFS('Assumption-Best'!$C$3:$C$32,'Assumption-Best'!$A$3:$A$32,$B360,'Assumption-Best'!$B$3:$B$32,$C360)</f>
        <v>0.4</v>
      </c>
      <c r="F360" s="19">
        <f t="shared" si="35"/>
        <v>104582130.506</v>
      </c>
      <c r="G360" s="98">
        <f>SUMIFS('Assumption-Best'!$D$3:$D$32,'Assumption-Best'!$A$3:$A$32,$B360,'Assumption-Best'!$B$3:$B$32,$C360)</f>
        <v>6.4999999999999997E-3</v>
      </c>
      <c r="H360" s="99">
        <f t="shared" si="36"/>
        <v>679783.84828899999</v>
      </c>
      <c r="I360" s="97">
        <f>SUMIFS('Assumption-Best'!$E$3:$E$32,'Assumption-Best'!$A$3:$A$32,$B360,'Assumption-Best'!$B$3:$B$32,$C360)</f>
        <v>0.32</v>
      </c>
      <c r="J360" s="19">
        <f t="shared" si="37"/>
        <v>217530.83145247999</v>
      </c>
      <c r="K360" s="100">
        <f>SUMIFS('Assumption-Best'!$F$3:$F$32,'Assumption-Best'!$A$3:$A$32,$B360,'Assumption-Best'!$B$3:$B$32,$C360)</f>
        <v>2.0000000000000001E-4</v>
      </c>
      <c r="L360" s="19">
        <f t="shared" si="38"/>
        <v>20916.426101199999</v>
      </c>
      <c r="M360" s="99">
        <f t="shared" si="39"/>
        <v>441336.59073532</v>
      </c>
      <c r="N360" s="97">
        <f>SUMIFS('Assumption-Best'!$G$3:$G$32,'Assumption-Best'!$A$3:$A$32,$B360,'Assumption-Best'!$B$3:$B$32,$C360)</f>
        <v>0.35</v>
      </c>
      <c r="O360" s="19">
        <f t="shared" si="40"/>
        <v>237924.34690114998</v>
      </c>
      <c r="P360" s="99">
        <f t="shared" si="41"/>
        <v>203412.24383417002</v>
      </c>
    </row>
    <row r="361" spans="1:16" x14ac:dyDescent="0.35">
      <c r="A361" s="96" t="str">
        <f>LEFT('2025 actual v budget'!A361,4)&amp;"26"</f>
        <v>Dec-26</v>
      </c>
      <c r="B361" s="17" t="str">
        <f>'2025 actual v budget'!B361</f>
        <v>USA</v>
      </c>
      <c r="C361" s="17" t="str">
        <f>'2025 actual v budget'!C361</f>
        <v>Treasury Yield</v>
      </c>
      <c r="D361" s="19">
        <f>'2025 actual v budget'!D361</f>
        <v>19422687.559999999</v>
      </c>
      <c r="E361" s="97">
        <f>SUMIFS('Assumption-Best'!$C$3:$C$32,'Assumption-Best'!$A$3:$A$32,$B361,'Assumption-Best'!$B$3:$B$32,$C361)</f>
        <v>0.2</v>
      </c>
      <c r="F361" s="19">
        <f t="shared" si="35"/>
        <v>23307225.071999997</v>
      </c>
      <c r="G361" s="98">
        <f>SUMIFS('Assumption-Best'!$D$3:$D$32,'Assumption-Best'!$A$3:$A$32,$B361,'Assumption-Best'!$B$3:$B$32,$C361)</f>
        <v>3.0000000000000001E-3</v>
      </c>
      <c r="H361" s="99">
        <f t="shared" si="36"/>
        <v>69921.675215999989</v>
      </c>
      <c r="I361" s="97">
        <f>SUMIFS('Assumption-Best'!$E$3:$E$32,'Assumption-Best'!$A$3:$A$32,$B361,'Assumption-Best'!$B$3:$B$32,$C361)</f>
        <v>0.18</v>
      </c>
      <c r="J361" s="19">
        <f t="shared" si="37"/>
        <v>12585.901538879998</v>
      </c>
      <c r="K361" s="100">
        <f>SUMIFS('Assumption-Best'!$F$3:$F$32,'Assumption-Best'!$A$3:$A$32,$B361,'Assumption-Best'!$B$3:$B$32,$C361)</f>
        <v>2.0000000000000001E-4</v>
      </c>
      <c r="L361" s="19">
        <f t="shared" si="38"/>
        <v>4661.4450143999993</v>
      </c>
      <c r="M361" s="99">
        <f t="shared" si="39"/>
        <v>52674.328662719992</v>
      </c>
      <c r="N361" s="97">
        <f>SUMIFS('Assumption-Best'!$G$3:$G$32,'Assumption-Best'!$A$3:$A$32,$B361,'Assumption-Best'!$B$3:$B$32,$C361)</f>
        <v>0.35</v>
      </c>
      <c r="O361" s="19">
        <f t="shared" si="40"/>
        <v>24472.586325599994</v>
      </c>
      <c r="P361" s="99">
        <f t="shared" si="41"/>
        <v>28201.742337119998</v>
      </c>
    </row>
    <row r="362" spans="1:16" x14ac:dyDescent="0.35">
      <c r="A362" s="96" t="str">
        <f>LEFT('2025 actual v budget'!A362,4)&amp;"26"</f>
        <v>Dec-26</v>
      </c>
      <c r="B362" s="17" t="str">
        <f>'2025 actual v budget'!B362</f>
        <v>USA</v>
      </c>
      <c r="C362" s="17" t="str">
        <f>'2025 actual v budget'!C362</f>
        <v>Virtual Accounts</v>
      </c>
      <c r="D362" s="19">
        <f>'2025 actual v budget'!D362</f>
        <v>29770095.550000001</v>
      </c>
      <c r="E362" s="97">
        <f>SUMIFS('Assumption-Best'!$C$3:$C$32,'Assumption-Best'!$A$3:$A$32,$B362,'Assumption-Best'!$B$3:$B$32,$C362)</f>
        <v>0.2</v>
      </c>
      <c r="F362" s="19">
        <f t="shared" si="35"/>
        <v>35724114.659999996</v>
      </c>
      <c r="G362" s="98">
        <f>SUMIFS('Assumption-Best'!$D$3:$D$32,'Assumption-Best'!$A$3:$A$32,$B362,'Assumption-Best'!$B$3:$B$32,$C362)</f>
        <v>4.4999999999999997E-3</v>
      </c>
      <c r="H362" s="99">
        <f t="shared" si="36"/>
        <v>160758.51596999998</v>
      </c>
      <c r="I362" s="97">
        <f>SUMIFS('Assumption-Best'!$E$3:$E$32,'Assumption-Best'!$A$3:$A$32,$B362,'Assumption-Best'!$B$3:$B$32,$C362)</f>
        <v>0.22</v>
      </c>
      <c r="J362" s="19">
        <f t="shared" si="37"/>
        <v>35366.873513399994</v>
      </c>
      <c r="K362" s="100">
        <f>SUMIFS('Assumption-Best'!$F$3:$F$32,'Assumption-Best'!$A$3:$A$32,$B362,'Assumption-Best'!$B$3:$B$32,$C362)</f>
        <v>2.0000000000000001E-4</v>
      </c>
      <c r="L362" s="19">
        <f t="shared" si="38"/>
        <v>7144.822932</v>
      </c>
      <c r="M362" s="99">
        <f t="shared" si="39"/>
        <v>118246.81952459998</v>
      </c>
      <c r="N362" s="97">
        <f>SUMIFS('Assumption-Best'!$G$3:$G$32,'Assumption-Best'!$A$3:$A$32,$B362,'Assumption-Best'!$B$3:$B$32,$C362)</f>
        <v>0.35</v>
      </c>
      <c r="O362" s="19">
        <f t="shared" si="40"/>
        <v>56265.480589499988</v>
      </c>
      <c r="P362" s="99">
        <f t="shared" si="41"/>
        <v>61981.338935099993</v>
      </c>
    </row>
    <row r="364" spans="1:16" x14ac:dyDescent="0.35">
      <c r="A364" s="41" t="s">
        <v>160</v>
      </c>
      <c r="B364" s="42"/>
      <c r="C364" s="42"/>
      <c r="D364" s="43">
        <f>SUM(D3:D362)</f>
        <v>6218824625.8599997</v>
      </c>
      <c r="E364" s="44">
        <f>F364/D364-1</f>
        <v>0.32684924785607783</v>
      </c>
      <c r="F364" s="43">
        <f>SUM(F3:F362)</f>
        <v>8251442777.3711958</v>
      </c>
      <c r="G364" s="101">
        <f>H364/F364</f>
        <v>6.9272498656541368E-3</v>
      </c>
      <c r="H364" s="43">
        <f>SUM(H3:H362)</f>
        <v>57159805.870997414</v>
      </c>
      <c r="I364" s="44">
        <f>J364/H364</f>
        <v>0.296664119159951</v>
      </c>
      <c r="J364" s="43">
        <f>SUM(J3:J362)</f>
        <v>16957263.460073244</v>
      </c>
      <c r="K364" s="102">
        <f>L364/F364</f>
        <v>1.3251551899876515E-4</v>
      </c>
      <c r="L364" s="43">
        <f>SUM(L3:L362)</f>
        <v>1093444.2221319561</v>
      </c>
      <c r="M364" s="43">
        <f>SUM(M3:M362)</f>
        <v>39109098.188792214</v>
      </c>
      <c r="N364" s="44">
        <f>O364/H364</f>
        <v>0.35000000000000003</v>
      </c>
      <c r="O364" s="43">
        <f>SUM(O3:O362)</f>
        <v>20005932.054849096</v>
      </c>
      <c r="P364" s="43">
        <f>SUM(P3:P362)</f>
        <v>19103166.133943103</v>
      </c>
    </row>
  </sheetData>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A580C"/>
    <pageSetUpPr fitToPage="1"/>
  </sheetPr>
  <dimension ref="A1:P364"/>
  <sheetViews>
    <sheetView showGridLines="0" zoomScale="70" zoomScaleNormal="70" workbookViewId="0">
      <pane xSplit="3" ySplit="2" topLeftCell="D3" activePane="bottomRight" state="frozen"/>
      <selection pane="topRight"/>
      <selection pane="bottomLeft"/>
      <selection pane="bottomRight" activeCell="D3" sqref="D3"/>
    </sheetView>
  </sheetViews>
  <sheetFormatPr defaultColWidth="49.7265625" defaultRowHeight="14.5" x14ac:dyDescent="0.35"/>
  <cols>
    <col min="1" max="1" width="10" customWidth="1"/>
    <col min="2" max="2" width="12" customWidth="1"/>
    <col min="3" max="3" width="22" customWidth="1"/>
    <col min="4" max="4" width="17" customWidth="1"/>
    <col min="5" max="5" width="12" customWidth="1"/>
    <col min="6" max="6" width="17" customWidth="1"/>
    <col min="7" max="7" width="11" customWidth="1"/>
    <col min="8" max="8" width="16" customWidth="1"/>
    <col min="9" max="9" width="12" customWidth="1"/>
    <col min="10" max="10" width="15" customWidth="1"/>
    <col min="11" max="11" width="11" customWidth="1"/>
    <col min="12" max="13" width="16" customWidth="1"/>
    <col min="14" max="14" width="12" customWidth="1"/>
    <col min="15" max="15" width="15" customWidth="1"/>
    <col min="16" max="16" width="16" customWidth="1"/>
  </cols>
  <sheetData>
    <row r="1" spans="1:16" ht="30" customHeight="1" x14ac:dyDescent="0.35">
      <c r="A1" s="7" t="s">
        <v>162</v>
      </c>
      <c r="B1" s="7"/>
      <c r="C1" s="7"/>
      <c r="D1" s="7"/>
      <c r="E1" s="7"/>
      <c r="F1" s="7"/>
      <c r="G1" s="7"/>
      <c r="H1" s="7"/>
      <c r="I1" s="7"/>
      <c r="J1" s="7"/>
      <c r="K1" s="7"/>
      <c r="L1" s="7"/>
      <c r="M1" s="7"/>
      <c r="N1" s="7"/>
      <c r="O1" s="7"/>
      <c r="P1" s="7"/>
    </row>
    <row r="2" spans="1:16" ht="36" customHeight="1" x14ac:dyDescent="0.35">
      <c r="A2" s="60" t="s">
        <v>42</v>
      </c>
      <c r="B2" s="60" t="s">
        <v>43</v>
      </c>
      <c r="C2" s="60" t="s">
        <v>44</v>
      </c>
      <c r="D2" s="60" t="s">
        <v>154</v>
      </c>
      <c r="E2" s="60" t="s">
        <v>155</v>
      </c>
      <c r="F2" s="60" t="s">
        <v>156</v>
      </c>
      <c r="G2" s="60" t="s">
        <v>104</v>
      </c>
      <c r="H2" s="60" t="s">
        <v>12</v>
      </c>
      <c r="I2" s="60" t="s">
        <v>157</v>
      </c>
      <c r="J2" s="60" t="s">
        <v>13</v>
      </c>
      <c r="K2" s="60" t="s">
        <v>158</v>
      </c>
      <c r="L2" s="60" t="s">
        <v>14</v>
      </c>
      <c r="M2" s="60" t="s">
        <v>15</v>
      </c>
      <c r="N2" s="60" t="s">
        <v>159</v>
      </c>
      <c r="O2" s="60" t="s">
        <v>16</v>
      </c>
      <c r="P2" s="60" t="s">
        <v>17</v>
      </c>
    </row>
    <row r="3" spans="1:16" x14ac:dyDescent="0.35">
      <c r="A3" s="91" t="str">
        <f>LEFT('2025 actual v budget'!A3,4)&amp;"26"</f>
        <v>Jan-26</v>
      </c>
      <c r="B3" s="12" t="str">
        <f>'2025 actual v budget'!B3</f>
        <v>Brazil</v>
      </c>
      <c r="C3" s="12" t="str">
        <f>'2025 actual v budget'!C3</f>
        <v>Cross-border Payouts</v>
      </c>
      <c r="D3" s="14">
        <f>'2025 actual v budget'!D3</f>
        <v>10691718.5</v>
      </c>
      <c r="E3" s="92">
        <f>SUMIFS('Assumption-Worst'!$C$3:$C$32,'Assumption-Worst'!$A$3:$A$32,$B3,'Assumption-Worst'!$B$3:$B$32,$C3)</f>
        <v>0.1</v>
      </c>
      <c r="F3" s="14">
        <f t="shared" ref="F3:F66" si="0">D3*(1+E3)</f>
        <v>11760890.350000001</v>
      </c>
      <c r="G3" s="93">
        <f>SUMIFS('Assumption-Worst'!$D$3:$D$32,'Assumption-Worst'!$A$3:$A$32,$B3,'Assumption-Worst'!$B$3:$B$32,$C3)</f>
        <v>7.4999999999999997E-3</v>
      </c>
      <c r="H3" s="94">
        <f t="shared" ref="H3:H66" si="1">F3*G3</f>
        <v>88206.677625000011</v>
      </c>
      <c r="I3" s="92">
        <f>SUMIFS('Assumption-Worst'!$E$3:$E$32,'Assumption-Worst'!$A$3:$A$32,$B3,'Assumption-Worst'!$B$3:$B$32,$C3)</f>
        <v>0.35</v>
      </c>
      <c r="J3" s="14">
        <f t="shared" ref="J3:J66" si="2">H3*I3</f>
        <v>30872.33716875</v>
      </c>
      <c r="K3" s="95">
        <f>SUMIFS('Assumption-Worst'!$F$3:$F$32,'Assumption-Worst'!$A$3:$A$32,$B3,'Assumption-Worst'!$B$3:$B$32,$C3)</f>
        <v>6.9999999999999994E-5</v>
      </c>
      <c r="L3" s="14">
        <f t="shared" ref="L3:L66" si="3">F3*K3</f>
        <v>823.26232449999998</v>
      </c>
      <c r="M3" s="94">
        <f t="shared" ref="M3:M66" si="4">H3-J3-L3</f>
        <v>56511.078131750008</v>
      </c>
      <c r="N3" s="92">
        <f>SUMIFS('Assumption-Worst'!$G$3:$G$32,'Assumption-Worst'!$A$3:$A$32,$B3,'Assumption-Worst'!$B$3:$B$32,$C3)</f>
        <v>0.45</v>
      </c>
      <c r="O3" s="14">
        <f t="shared" ref="O3:O66" si="5">H3*N3</f>
        <v>39693.004931250005</v>
      </c>
      <c r="P3" s="94">
        <f t="shared" ref="P3:P66" si="6">M3-O3</f>
        <v>16818.073200500003</v>
      </c>
    </row>
    <row r="4" spans="1:16" x14ac:dyDescent="0.35">
      <c r="A4" s="91" t="str">
        <f>LEFT('2025 actual v budget'!A4,4)&amp;"26"</f>
        <v>Jan-26</v>
      </c>
      <c r="B4" s="12" t="str">
        <f>'2025 actual v budget'!B4</f>
        <v>Brazil</v>
      </c>
      <c r="C4" s="12" t="str">
        <f>'2025 actual v budget'!C4</f>
        <v>FX Conversion</v>
      </c>
      <c r="D4" s="14">
        <f>'2025 actual v budget'!D4</f>
        <v>16941176.120000001</v>
      </c>
      <c r="E4" s="92">
        <f>SUMIFS('Assumption-Worst'!$C$3:$C$32,'Assumption-Worst'!$A$3:$A$32,$B4,'Assumption-Worst'!$B$3:$B$32,$C4)</f>
        <v>0.1</v>
      </c>
      <c r="F4" s="14">
        <f t="shared" si="0"/>
        <v>18635293.732000005</v>
      </c>
      <c r="G4" s="93">
        <f>SUMIFS('Assumption-Worst'!$D$3:$D$32,'Assumption-Worst'!$A$3:$A$32,$B4,'Assumption-Worst'!$B$3:$B$32,$C4)</f>
        <v>1.0500000000000001E-2</v>
      </c>
      <c r="H4" s="94">
        <f t="shared" si="1"/>
        <v>195670.58418600005</v>
      </c>
      <c r="I4" s="92">
        <f>SUMIFS('Assumption-Worst'!$E$3:$E$32,'Assumption-Worst'!$A$3:$A$32,$B4,'Assumption-Worst'!$B$3:$B$32,$C4)</f>
        <v>0.28000000000000003</v>
      </c>
      <c r="J4" s="14">
        <f t="shared" si="2"/>
        <v>54787.763572080017</v>
      </c>
      <c r="K4" s="95">
        <f>SUMIFS('Assumption-Worst'!$F$3:$F$32,'Assumption-Worst'!$A$3:$A$32,$B4,'Assumption-Worst'!$B$3:$B$32,$C4)</f>
        <v>6.9999999999999994E-5</v>
      </c>
      <c r="L4" s="14">
        <f t="shared" si="3"/>
        <v>1304.4705612400003</v>
      </c>
      <c r="M4" s="94">
        <f t="shared" si="4"/>
        <v>139578.35005268003</v>
      </c>
      <c r="N4" s="92">
        <f>SUMIFS('Assumption-Worst'!$G$3:$G$32,'Assumption-Worst'!$A$3:$A$32,$B4,'Assumption-Worst'!$B$3:$B$32,$C4)</f>
        <v>0.45</v>
      </c>
      <c r="O4" s="14">
        <f t="shared" si="5"/>
        <v>88051.762883700023</v>
      </c>
      <c r="P4" s="94">
        <f t="shared" si="6"/>
        <v>51526.587168980011</v>
      </c>
    </row>
    <row r="5" spans="1:16" x14ac:dyDescent="0.35">
      <c r="A5" s="91" t="str">
        <f>LEFT('2025 actual v budget'!A5,4)&amp;"26"</f>
        <v>Jan-26</v>
      </c>
      <c r="B5" s="12" t="str">
        <f>'2025 actual v budget'!B5</f>
        <v>Brazil</v>
      </c>
      <c r="C5" s="12" t="str">
        <f>'2025 actual v budget'!C5</f>
        <v>Stablecoin Settlement</v>
      </c>
      <c r="D5" s="14">
        <f>'2025 actual v budget'!D5</f>
        <v>25621674.440000001</v>
      </c>
      <c r="E5" s="92">
        <f>SUMIFS('Assumption-Worst'!$C$3:$C$32,'Assumption-Worst'!$A$3:$A$32,$B5,'Assumption-Worst'!$B$3:$B$32,$C5)</f>
        <v>0.2</v>
      </c>
      <c r="F5" s="14">
        <f t="shared" si="0"/>
        <v>30746009.328000002</v>
      </c>
      <c r="G5" s="93">
        <f>SUMIFS('Assumption-Worst'!$D$3:$D$32,'Assumption-Worst'!$A$3:$A$32,$B5,'Assumption-Worst'!$B$3:$B$32,$C5)</f>
        <v>6.4999999999999997E-3</v>
      </c>
      <c r="H5" s="94">
        <f t="shared" si="1"/>
        <v>199849.06063200001</v>
      </c>
      <c r="I5" s="92">
        <f>SUMIFS('Assumption-Worst'!$E$3:$E$32,'Assumption-Worst'!$A$3:$A$32,$B5,'Assumption-Worst'!$B$3:$B$32,$C5)</f>
        <v>0.32</v>
      </c>
      <c r="J5" s="14">
        <f t="shared" si="2"/>
        <v>63951.699402240003</v>
      </c>
      <c r="K5" s="95">
        <f>SUMIFS('Assumption-Worst'!$F$3:$F$32,'Assumption-Worst'!$A$3:$A$32,$B5,'Assumption-Worst'!$B$3:$B$32,$C5)</f>
        <v>6.9999999999999994E-5</v>
      </c>
      <c r="L5" s="14">
        <f t="shared" si="3"/>
        <v>2152.2206529599998</v>
      </c>
      <c r="M5" s="94">
        <f t="shared" si="4"/>
        <v>133745.14057679998</v>
      </c>
      <c r="N5" s="92">
        <f>SUMIFS('Assumption-Worst'!$G$3:$G$32,'Assumption-Worst'!$A$3:$A$32,$B5,'Assumption-Worst'!$B$3:$B$32,$C5)</f>
        <v>0.45</v>
      </c>
      <c r="O5" s="14">
        <f t="shared" si="5"/>
        <v>89932.077284400002</v>
      </c>
      <c r="P5" s="94">
        <f t="shared" si="6"/>
        <v>43813.06329239998</v>
      </c>
    </row>
    <row r="6" spans="1:16" x14ac:dyDescent="0.35">
      <c r="A6" s="91" t="str">
        <f>LEFT('2025 actual v budget'!A6,4)&amp;"26"</f>
        <v>Jan-26</v>
      </c>
      <c r="B6" s="12" t="str">
        <f>'2025 actual v budget'!B6</f>
        <v>Brazil</v>
      </c>
      <c r="C6" s="12" t="str">
        <f>'2025 actual v budget'!C6</f>
        <v>Treasury Yield</v>
      </c>
      <c r="D6" s="14">
        <f>'2025 actual v budget'!D6</f>
        <v>7138685.0300000003</v>
      </c>
      <c r="E6" s="92">
        <f>SUMIFS('Assumption-Worst'!$C$3:$C$32,'Assumption-Worst'!$A$3:$A$32,$B6,'Assumption-Worst'!$B$3:$B$32,$C6)</f>
        <v>0.1</v>
      </c>
      <c r="F6" s="14">
        <f t="shared" si="0"/>
        <v>7852553.5330000008</v>
      </c>
      <c r="G6" s="93">
        <f>SUMIFS('Assumption-Worst'!$D$3:$D$32,'Assumption-Worst'!$A$3:$A$32,$B6,'Assumption-Worst'!$B$3:$B$32,$C6)</f>
        <v>3.0000000000000001E-3</v>
      </c>
      <c r="H6" s="94">
        <f t="shared" si="1"/>
        <v>23557.660599000003</v>
      </c>
      <c r="I6" s="92">
        <f>SUMIFS('Assumption-Worst'!$E$3:$E$32,'Assumption-Worst'!$A$3:$A$32,$B6,'Assumption-Worst'!$B$3:$B$32,$C6)</f>
        <v>0.18</v>
      </c>
      <c r="J6" s="14">
        <f t="shared" si="2"/>
        <v>4240.3789078200007</v>
      </c>
      <c r="K6" s="95">
        <f>SUMIFS('Assumption-Worst'!$F$3:$F$32,'Assumption-Worst'!$A$3:$A$32,$B6,'Assumption-Worst'!$B$3:$B$32,$C6)</f>
        <v>6.9999999999999994E-5</v>
      </c>
      <c r="L6" s="14">
        <f t="shared" si="3"/>
        <v>549.67874730999995</v>
      </c>
      <c r="M6" s="94">
        <f t="shared" si="4"/>
        <v>18767.602943870002</v>
      </c>
      <c r="N6" s="92">
        <f>SUMIFS('Assumption-Worst'!$G$3:$G$32,'Assumption-Worst'!$A$3:$A$32,$B6,'Assumption-Worst'!$B$3:$B$32,$C6)</f>
        <v>0.45</v>
      </c>
      <c r="O6" s="14">
        <f t="shared" si="5"/>
        <v>10600.947269550001</v>
      </c>
      <c r="P6" s="94">
        <f t="shared" si="6"/>
        <v>8166.6556743200017</v>
      </c>
    </row>
    <row r="7" spans="1:16" x14ac:dyDescent="0.35">
      <c r="A7" s="91" t="str">
        <f>LEFT('2025 actual v budget'!A7,4)&amp;"26"</f>
        <v>Jan-26</v>
      </c>
      <c r="B7" s="12" t="str">
        <f>'2025 actual v budget'!B7</f>
        <v>Brazil</v>
      </c>
      <c r="C7" s="12" t="str">
        <f>'2025 actual v budget'!C7</f>
        <v>Virtual Accounts</v>
      </c>
      <c r="D7" s="14">
        <f>'2025 actual v budget'!D7</f>
        <v>10439540.300000001</v>
      </c>
      <c r="E7" s="92">
        <f>SUMIFS('Assumption-Worst'!$C$3:$C$32,'Assumption-Worst'!$A$3:$A$32,$B7,'Assumption-Worst'!$B$3:$B$32,$C7)</f>
        <v>0.1</v>
      </c>
      <c r="F7" s="14">
        <f t="shared" si="0"/>
        <v>11483494.330000002</v>
      </c>
      <c r="G7" s="93">
        <f>SUMIFS('Assumption-Worst'!$D$3:$D$32,'Assumption-Worst'!$A$3:$A$32,$B7,'Assumption-Worst'!$B$3:$B$32,$C7)</f>
        <v>4.4999999999999997E-3</v>
      </c>
      <c r="H7" s="94">
        <f t="shared" si="1"/>
        <v>51675.724485000006</v>
      </c>
      <c r="I7" s="92">
        <f>SUMIFS('Assumption-Worst'!$E$3:$E$32,'Assumption-Worst'!$A$3:$A$32,$B7,'Assumption-Worst'!$B$3:$B$32,$C7)</f>
        <v>0.22</v>
      </c>
      <c r="J7" s="14">
        <f t="shared" si="2"/>
        <v>11368.659386700001</v>
      </c>
      <c r="K7" s="95">
        <f>SUMIFS('Assumption-Worst'!$F$3:$F$32,'Assumption-Worst'!$A$3:$A$32,$B7,'Assumption-Worst'!$B$3:$B$32,$C7)</f>
        <v>6.9999999999999994E-5</v>
      </c>
      <c r="L7" s="14">
        <f t="shared" si="3"/>
        <v>803.84460310000009</v>
      </c>
      <c r="M7" s="94">
        <f t="shared" si="4"/>
        <v>39503.22049520001</v>
      </c>
      <c r="N7" s="92">
        <f>SUMIFS('Assumption-Worst'!$G$3:$G$32,'Assumption-Worst'!$A$3:$A$32,$B7,'Assumption-Worst'!$B$3:$B$32,$C7)</f>
        <v>0.45</v>
      </c>
      <c r="O7" s="14">
        <f t="shared" si="5"/>
        <v>23254.076018250002</v>
      </c>
      <c r="P7" s="94">
        <f t="shared" si="6"/>
        <v>16249.144476950009</v>
      </c>
    </row>
    <row r="8" spans="1:16" x14ac:dyDescent="0.35">
      <c r="A8" s="91" t="str">
        <f>LEFT('2025 actual v budget'!A8,4)&amp;"26"</f>
        <v>Jan-26</v>
      </c>
      <c r="B8" s="12" t="str">
        <f>'2025 actual v budget'!B8</f>
        <v>Germany</v>
      </c>
      <c r="C8" s="12" t="str">
        <f>'2025 actual v budget'!C8</f>
        <v>Cross-border Payouts</v>
      </c>
      <c r="D8" s="14">
        <f>'2025 actual v budget'!D8</f>
        <v>5804075.7599999998</v>
      </c>
      <c r="E8" s="92">
        <f>SUMIFS('Assumption-Worst'!$C$3:$C$32,'Assumption-Worst'!$A$3:$A$32,$B8,'Assumption-Worst'!$B$3:$B$32,$C8)</f>
        <v>0.03</v>
      </c>
      <c r="F8" s="14">
        <f t="shared" si="0"/>
        <v>5978198.0328000002</v>
      </c>
      <c r="G8" s="93">
        <f>SUMIFS('Assumption-Worst'!$D$3:$D$32,'Assumption-Worst'!$A$3:$A$32,$B8,'Assumption-Worst'!$B$3:$B$32,$C8)</f>
        <v>7.4999999999999997E-3</v>
      </c>
      <c r="H8" s="94">
        <f t="shared" si="1"/>
        <v>44836.485245999997</v>
      </c>
      <c r="I8" s="92">
        <f>SUMIFS('Assumption-Worst'!$E$3:$E$32,'Assumption-Worst'!$A$3:$A$32,$B8,'Assumption-Worst'!$B$3:$B$32,$C8)</f>
        <v>0.35</v>
      </c>
      <c r="J8" s="14">
        <f t="shared" si="2"/>
        <v>15692.769836099998</v>
      </c>
      <c r="K8" s="95">
        <f>SUMIFS('Assumption-Worst'!$F$3:$F$32,'Assumption-Worst'!$A$3:$A$32,$B8,'Assumption-Worst'!$B$3:$B$32,$C8)</f>
        <v>1.4999999999999999E-4</v>
      </c>
      <c r="L8" s="14">
        <f t="shared" si="3"/>
        <v>896.7297049199999</v>
      </c>
      <c r="M8" s="94">
        <f t="shared" si="4"/>
        <v>28246.985704979998</v>
      </c>
      <c r="N8" s="92">
        <f>SUMIFS('Assumption-Worst'!$G$3:$G$32,'Assumption-Worst'!$A$3:$A$32,$B8,'Assumption-Worst'!$B$3:$B$32,$C8)</f>
        <v>0.45</v>
      </c>
      <c r="O8" s="14">
        <f t="shared" si="5"/>
        <v>20176.418360699998</v>
      </c>
      <c r="P8" s="94">
        <f t="shared" si="6"/>
        <v>8070.5673442799998</v>
      </c>
    </row>
    <row r="9" spans="1:16" x14ac:dyDescent="0.35">
      <c r="A9" s="91" t="str">
        <f>LEFT('2025 actual v budget'!A9,4)&amp;"26"</f>
        <v>Jan-26</v>
      </c>
      <c r="B9" s="12" t="str">
        <f>'2025 actual v budget'!B9</f>
        <v>Germany</v>
      </c>
      <c r="C9" s="12" t="str">
        <f>'2025 actual v budget'!C9</f>
        <v>FX Conversion</v>
      </c>
      <c r="D9" s="14">
        <f>'2025 actual v budget'!D9</f>
        <v>9196638.4700000007</v>
      </c>
      <c r="E9" s="92">
        <f>SUMIFS('Assumption-Worst'!$C$3:$C$32,'Assumption-Worst'!$A$3:$A$32,$B9,'Assumption-Worst'!$B$3:$B$32,$C9)</f>
        <v>0.03</v>
      </c>
      <c r="F9" s="14">
        <f t="shared" si="0"/>
        <v>9472537.6241000015</v>
      </c>
      <c r="G9" s="93">
        <f>SUMIFS('Assumption-Worst'!$D$3:$D$32,'Assumption-Worst'!$A$3:$A$32,$B9,'Assumption-Worst'!$B$3:$B$32,$C9)</f>
        <v>1.0500000000000001E-2</v>
      </c>
      <c r="H9" s="94">
        <f t="shared" si="1"/>
        <v>99461.645053050015</v>
      </c>
      <c r="I9" s="92">
        <f>SUMIFS('Assumption-Worst'!$E$3:$E$32,'Assumption-Worst'!$A$3:$A$32,$B9,'Assumption-Worst'!$B$3:$B$32,$C9)</f>
        <v>0.28000000000000003</v>
      </c>
      <c r="J9" s="14">
        <f t="shared" si="2"/>
        <v>27849.260614854007</v>
      </c>
      <c r="K9" s="95">
        <f>SUMIFS('Assumption-Worst'!$F$3:$F$32,'Assumption-Worst'!$A$3:$A$32,$B9,'Assumption-Worst'!$B$3:$B$32,$C9)</f>
        <v>1.4999999999999999E-4</v>
      </c>
      <c r="L9" s="14">
        <f t="shared" si="3"/>
        <v>1420.8806436150001</v>
      </c>
      <c r="M9" s="94">
        <f t="shared" si="4"/>
        <v>70191.503794581004</v>
      </c>
      <c r="N9" s="92">
        <f>SUMIFS('Assumption-Worst'!$G$3:$G$32,'Assumption-Worst'!$A$3:$A$32,$B9,'Assumption-Worst'!$B$3:$B$32,$C9)</f>
        <v>0.45</v>
      </c>
      <c r="O9" s="14">
        <f t="shared" si="5"/>
        <v>44757.740273872507</v>
      </c>
      <c r="P9" s="94">
        <f t="shared" si="6"/>
        <v>25433.763520708497</v>
      </c>
    </row>
    <row r="10" spans="1:16" x14ac:dyDescent="0.35">
      <c r="A10" s="91" t="str">
        <f>LEFT('2025 actual v budget'!A10,4)&amp;"26"</f>
        <v>Jan-26</v>
      </c>
      <c r="B10" s="12" t="str">
        <f>'2025 actual v budget'!B10</f>
        <v>Germany</v>
      </c>
      <c r="C10" s="12" t="str">
        <f>'2025 actual v budget'!C10</f>
        <v>Stablecoin Settlement</v>
      </c>
      <c r="D10" s="14">
        <f>'2025 actual v budget'!D10</f>
        <v>13908908.98</v>
      </c>
      <c r="E10" s="92">
        <f>SUMIFS('Assumption-Worst'!$C$3:$C$32,'Assumption-Worst'!$A$3:$A$32,$B10,'Assumption-Worst'!$B$3:$B$32,$C10)</f>
        <v>0.06</v>
      </c>
      <c r="F10" s="14">
        <f t="shared" si="0"/>
        <v>14743443.518800002</v>
      </c>
      <c r="G10" s="93">
        <f>SUMIFS('Assumption-Worst'!$D$3:$D$32,'Assumption-Worst'!$A$3:$A$32,$B10,'Assumption-Worst'!$B$3:$B$32,$C10)</f>
        <v>6.4999999999999997E-3</v>
      </c>
      <c r="H10" s="94">
        <f t="shared" si="1"/>
        <v>95832.382872200003</v>
      </c>
      <c r="I10" s="92">
        <f>SUMIFS('Assumption-Worst'!$E$3:$E$32,'Assumption-Worst'!$A$3:$A$32,$B10,'Assumption-Worst'!$B$3:$B$32,$C10)</f>
        <v>0.32</v>
      </c>
      <c r="J10" s="14">
        <f t="shared" si="2"/>
        <v>30666.362519104001</v>
      </c>
      <c r="K10" s="95">
        <f>SUMIFS('Assumption-Worst'!$F$3:$F$32,'Assumption-Worst'!$A$3:$A$32,$B10,'Assumption-Worst'!$B$3:$B$32,$C10)</f>
        <v>1.4999999999999999E-4</v>
      </c>
      <c r="L10" s="14">
        <f t="shared" si="3"/>
        <v>2211.5165278200002</v>
      </c>
      <c r="M10" s="94">
        <f t="shared" si="4"/>
        <v>62954.503825275999</v>
      </c>
      <c r="N10" s="92">
        <f>SUMIFS('Assumption-Worst'!$G$3:$G$32,'Assumption-Worst'!$A$3:$A$32,$B10,'Assumption-Worst'!$B$3:$B$32,$C10)</f>
        <v>0.45</v>
      </c>
      <c r="O10" s="14">
        <f t="shared" si="5"/>
        <v>43124.572292490004</v>
      </c>
      <c r="P10" s="94">
        <f t="shared" si="6"/>
        <v>19829.931532785995</v>
      </c>
    </row>
    <row r="11" spans="1:16" x14ac:dyDescent="0.35">
      <c r="A11" s="91" t="str">
        <f>LEFT('2025 actual v budget'!A11,4)&amp;"26"</f>
        <v>Jan-26</v>
      </c>
      <c r="B11" s="12" t="str">
        <f>'2025 actual v budget'!B11</f>
        <v>Germany</v>
      </c>
      <c r="C11" s="12" t="str">
        <f>'2025 actual v budget'!C11</f>
        <v>Treasury Yield</v>
      </c>
      <c r="D11" s="14">
        <f>'2025 actual v budget'!D11</f>
        <v>3875286.16</v>
      </c>
      <c r="E11" s="92">
        <f>SUMIFS('Assumption-Worst'!$C$3:$C$32,'Assumption-Worst'!$A$3:$A$32,$B11,'Assumption-Worst'!$B$3:$B$32,$C11)</f>
        <v>0.03</v>
      </c>
      <c r="F11" s="14">
        <f t="shared" si="0"/>
        <v>3991544.7448000005</v>
      </c>
      <c r="G11" s="93">
        <f>SUMIFS('Assumption-Worst'!$D$3:$D$32,'Assumption-Worst'!$A$3:$A$32,$B11,'Assumption-Worst'!$B$3:$B$32,$C11)</f>
        <v>3.0000000000000001E-3</v>
      </c>
      <c r="H11" s="94">
        <f t="shared" si="1"/>
        <v>11974.634234400002</v>
      </c>
      <c r="I11" s="92">
        <f>SUMIFS('Assumption-Worst'!$E$3:$E$32,'Assumption-Worst'!$A$3:$A$32,$B11,'Assumption-Worst'!$B$3:$B$32,$C11)</f>
        <v>0.18</v>
      </c>
      <c r="J11" s="14">
        <f t="shared" si="2"/>
        <v>2155.4341621920003</v>
      </c>
      <c r="K11" s="95">
        <f>SUMIFS('Assumption-Worst'!$F$3:$F$32,'Assumption-Worst'!$A$3:$A$32,$B11,'Assumption-Worst'!$B$3:$B$32,$C11)</f>
        <v>1.4999999999999999E-4</v>
      </c>
      <c r="L11" s="14">
        <f t="shared" si="3"/>
        <v>598.73171172000002</v>
      </c>
      <c r="M11" s="94">
        <f t="shared" si="4"/>
        <v>9220.4683604880011</v>
      </c>
      <c r="N11" s="92">
        <f>SUMIFS('Assumption-Worst'!$G$3:$G$32,'Assumption-Worst'!$A$3:$A$32,$B11,'Assumption-Worst'!$B$3:$B$32,$C11)</f>
        <v>0.45</v>
      </c>
      <c r="O11" s="14">
        <f t="shared" si="5"/>
        <v>5388.5854054800011</v>
      </c>
      <c r="P11" s="94">
        <f t="shared" si="6"/>
        <v>3831.882955008</v>
      </c>
    </row>
    <row r="12" spans="1:16" x14ac:dyDescent="0.35">
      <c r="A12" s="91" t="str">
        <f>LEFT('2025 actual v budget'!A12,4)&amp;"26"</f>
        <v>Jan-26</v>
      </c>
      <c r="B12" s="12" t="str">
        <f>'2025 actual v budget'!B12</f>
        <v>Germany</v>
      </c>
      <c r="C12" s="12" t="str">
        <f>'2025 actual v budget'!C12</f>
        <v>Virtual Accounts</v>
      </c>
      <c r="D12" s="14">
        <f>'2025 actual v budget'!D12</f>
        <v>5667179.0199999996</v>
      </c>
      <c r="E12" s="92">
        <f>SUMIFS('Assumption-Worst'!$C$3:$C$32,'Assumption-Worst'!$A$3:$A$32,$B12,'Assumption-Worst'!$B$3:$B$32,$C12)</f>
        <v>0.03</v>
      </c>
      <c r="F12" s="14">
        <f t="shared" si="0"/>
        <v>5837194.3905999996</v>
      </c>
      <c r="G12" s="93">
        <f>SUMIFS('Assumption-Worst'!$D$3:$D$32,'Assumption-Worst'!$A$3:$A$32,$B12,'Assumption-Worst'!$B$3:$B$32,$C12)</f>
        <v>4.4999999999999997E-3</v>
      </c>
      <c r="H12" s="94">
        <f t="shared" si="1"/>
        <v>26267.374757699996</v>
      </c>
      <c r="I12" s="92">
        <f>SUMIFS('Assumption-Worst'!$E$3:$E$32,'Assumption-Worst'!$A$3:$A$32,$B12,'Assumption-Worst'!$B$3:$B$32,$C12)</f>
        <v>0.22</v>
      </c>
      <c r="J12" s="14">
        <f t="shared" si="2"/>
        <v>5778.8224466939992</v>
      </c>
      <c r="K12" s="95">
        <f>SUMIFS('Assumption-Worst'!$F$3:$F$32,'Assumption-Worst'!$A$3:$A$32,$B12,'Assumption-Worst'!$B$3:$B$32,$C12)</f>
        <v>1.4999999999999999E-4</v>
      </c>
      <c r="L12" s="14">
        <f t="shared" si="3"/>
        <v>875.57915858999991</v>
      </c>
      <c r="M12" s="94">
        <f t="shared" si="4"/>
        <v>19612.973152415994</v>
      </c>
      <c r="N12" s="92">
        <f>SUMIFS('Assumption-Worst'!$G$3:$G$32,'Assumption-Worst'!$A$3:$A$32,$B12,'Assumption-Worst'!$B$3:$B$32,$C12)</f>
        <v>0.45</v>
      </c>
      <c r="O12" s="14">
        <f t="shared" si="5"/>
        <v>11820.318640964999</v>
      </c>
      <c r="P12" s="94">
        <f t="shared" si="6"/>
        <v>7792.6545114509954</v>
      </c>
    </row>
    <row r="13" spans="1:16" x14ac:dyDescent="0.35">
      <c r="A13" s="91" t="str">
        <f>LEFT('2025 actual v budget'!A13,4)&amp;"26"</f>
        <v>Jan-26</v>
      </c>
      <c r="B13" s="12" t="str">
        <f>'2025 actual v budget'!B13</f>
        <v>India</v>
      </c>
      <c r="C13" s="12" t="str">
        <f>'2025 actual v budget'!C13</f>
        <v>Cross-border Payouts</v>
      </c>
      <c r="D13" s="14">
        <f>'2025 actual v budget'!D13</f>
        <v>6873247.6100000003</v>
      </c>
      <c r="E13" s="92">
        <f>SUMIFS('Assumption-Worst'!$C$3:$C$32,'Assumption-Worst'!$A$3:$A$32,$B13,'Assumption-Worst'!$B$3:$B$32,$C13)</f>
        <v>0.06</v>
      </c>
      <c r="F13" s="14">
        <f t="shared" si="0"/>
        <v>7285642.4666000009</v>
      </c>
      <c r="G13" s="93">
        <f>SUMIFS('Assumption-Worst'!$D$3:$D$32,'Assumption-Worst'!$A$3:$A$32,$B13,'Assumption-Worst'!$B$3:$B$32,$C13)</f>
        <v>7.4999999999999997E-3</v>
      </c>
      <c r="H13" s="94">
        <f t="shared" si="1"/>
        <v>54642.318499500005</v>
      </c>
      <c r="I13" s="92">
        <f>SUMIFS('Assumption-Worst'!$E$3:$E$32,'Assumption-Worst'!$A$3:$A$32,$B13,'Assumption-Worst'!$B$3:$B$32,$C13)</f>
        <v>0.35</v>
      </c>
      <c r="J13" s="14">
        <f t="shared" si="2"/>
        <v>19124.811474825001</v>
      </c>
      <c r="K13" s="95">
        <f>SUMIFS('Assumption-Worst'!$F$3:$F$32,'Assumption-Worst'!$A$3:$A$32,$B13,'Assumption-Worst'!$B$3:$B$32,$C13)</f>
        <v>1.8000000000000001E-4</v>
      </c>
      <c r="L13" s="14">
        <f t="shared" si="3"/>
        <v>1311.4156439880003</v>
      </c>
      <c r="M13" s="94">
        <f t="shared" si="4"/>
        <v>34206.091380687001</v>
      </c>
      <c r="N13" s="92">
        <f>SUMIFS('Assumption-Worst'!$G$3:$G$32,'Assumption-Worst'!$A$3:$A$32,$B13,'Assumption-Worst'!$B$3:$B$32,$C13)</f>
        <v>0.45</v>
      </c>
      <c r="O13" s="14">
        <f t="shared" si="5"/>
        <v>24589.043324775004</v>
      </c>
      <c r="P13" s="94">
        <f t="shared" si="6"/>
        <v>9617.0480559119969</v>
      </c>
    </row>
    <row r="14" spans="1:16" x14ac:dyDescent="0.35">
      <c r="A14" s="91" t="str">
        <f>LEFT('2025 actual v budget'!A14,4)&amp;"26"</f>
        <v>Jan-26</v>
      </c>
      <c r="B14" s="12" t="str">
        <f>'2025 actual v budget'!B14</f>
        <v>India</v>
      </c>
      <c r="C14" s="12" t="str">
        <f>'2025 actual v budget'!C14</f>
        <v>FX Conversion</v>
      </c>
      <c r="D14" s="14">
        <f>'2025 actual v budget'!D14</f>
        <v>10890756.08</v>
      </c>
      <c r="E14" s="92">
        <f>SUMIFS('Assumption-Worst'!$C$3:$C$32,'Assumption-Worst'!$A$3:$A$32,$B14,'Assumption-Worst'!$B$3:$B$32,$C14)</f>
        <v>0.06</v>
      </c>
      <c r="F14" s="14">
        <f t="shared" si="0"/>
        <v>11544201.444800001</v>
      </c>
      <c r="G14" s="93">
        <f>SUMIFS('Assumption-Worst'!$D$3:$D$32,'Assumption-Worst'!$A$3:$A$32,$B14,'Assumption-Worst'!$B$3:$B$32,$C14)</f>
        <v>1.0500000000000001E-2</v>
      </c>
      <c r="H14" s="94">
        <f t="shared" si="1"/>
        <v>121214.11517040001</v>
      </c>
      <c r="I14" s="92">
        <f>SUMIFS('Assumption-Worst'!$E$3:$E$32,'Assumption-Worst'!$A$3:$A$32,$B14,'Assumption-Worst'!$B$3:$B$32,$C14)</f>
        <v>0.28000000000000003</v>
      </c>
      <c r="J14" s="14">
        <f t="shared" si="2"/>
        <v>33939.952247712004</v>
      </c>
      <c r="K14" s="95">
        <f>SUMIFS('Assumption-Worst'!$F$3:$F$32,'Assumption-Worst'!$A$3:$A$32,$B14,'Assumption-Worst'!$B$3:$B$32,$C14)</f>
        <v>1.8000000000000001E-4</v>
      </c>
      <c r="L14" s="14">
        <f t="shared" si="3"/>
        <v>2077.9562600640002</v>
      </c>
      <c r="M14" s="94">
        <f t="shared" si="4"/>
        <v>85196.206662623998</v>
      </c>
      <c r="N14" s="92">
        <f>SUMIFS('Assumption-Worst'!$G$3:$G$32,'Assumption-Worst'!$A$3:$A$32,$B14,'Assumption-Worst'!$B$3:$B$32,$C14)</f>
        <v>0.45</v>
      </c>
      <c r="O14" s="14">
        <f t="shared" si="5"/>
        <v>54546.351826680002</v>
      </c>
      <c r="P14" s="94">
        <f t="shared" si="6"/>
        <v>30649.854835943996</v>
      </c>
    </row>
    <row r="15" spans="1:16" x14ac:dyDescent="0.35">
      <c r="A15" s="91" t="str">
        <f>LEFT('2025 actual v budget'!A15,4)&amp;"26"</f>
        <v>Jan-26</v>
      </c>
      <c r="B15" s="12" t="str">
        <f>'2025 actual v budget'!B15</f>
        <v>India</v>
      </c>
      <c r="C15" s="12" t="str">
        <f>'2025 actual v budget'!C15</f>
        <v>Stablecoin Settlement</v>
      </c>
      <c r="D15" s="14">
        <f>'2025 actual v budget'!D15</f>
        <v>16471076.43</v>
      </c>
      <c r="E15" s="92">
        <f>SUMIFS('Assumption-Worst'!$C$3:$C$32,'Assumption-Worst'!$A$3:$A$32,$B15,'Assumption-Worst'!$B$3:$B$32,$C15)</f>
        <v>0.12</v>
      </c>
      <c r="F15" s="14">
        <f t="shared" si="0"/>
        <v>18447605.601600002</v>
      </c>
      <c r="G15" s="93">
        <f>SUMIFS('Assumption-Worst'!$D$3:$D$32,'Assumption-Worst'!$A$3:$A$32,$B15,'Assumption-Worst'!$B$3:$B$32,$C15)</f>
        <v>6.4999999999999997E-3</v>
      </c>
      <c r="H15" s="94">
        <f t="shared" si="1"/>
        <v>119909.43641040001</v>
      </c>
      <c r="I15" s="92">
        <f>SUMIFS('Assumption-Worst'!$E$3:$E$32,'Assumption-Worst'!$A$3:$A$32,$B15,'Assumption-Worst'!$B$3:$B$32,$C15)</f>
        <v>0.32</v>
      </c>
      <c r="J15" s="14">
        <f t="shared" si="2"/>
        <v>38371.019651328003</v>
      </c>
      <c r="K15" s="95">
        <f>SUMIFS('Assumption-Worst'!$F$3:$F$32,'Assumption-Worst'!$A$3:$A$32,$B15,'Assumption-Worst'!$B$3:$B$32,$C15)</f>
        <v>1.8000000000000001E-4</v>
      </c>
      <c r="L15" s="14">
        <f t="shared" si="3"/>
        <v>3320.5690082880005</v>
      </c>
      <c r="M15" s="94">
        <f t="shared" si="4"/>
        <v>78217.847750784014</v>
      </c>
      <c r="N15" s="92">
        <f>SUMIFS('Assumption-Worst'!$G$3:$G$32,'Assumption-Worst'!$A$3:$A$32,$B15,'Assumption-Worst'!$B$3:$B$32,$C15)</f>
        <v>0.45</v>
      </c>
      <c r="O15" s="14">
        <f t="shared" si="5"/>
        <v>53959.246384680009</v>
      </c>
      <c r="P15" s="94">
        <f t="shared" si="6"/>
        <v>24258.601366104005</v>
      </c>
    </row>
    <row r="16" spans="1:16" x14ac:dyDescent="0.35">
      <c r="A16" s="91" t="str">
        <f>LEFT('2025 actual v budget'!A16,4)&amp;"26"</f>
        <v>Jan-26</v>
      </c>
      <c r="B16" s="12" t="str">
        <f>'2025 actual v budget'!B16</f>
        <v>India</v>
      </c>
      <c r="C16" s="12" t="str">
        <f>'2025 actual v budget'!C16</f>
        <v>Treasury Yield</v>
      </c>
      <c r="D16" s="14">
        <f>'2025 actual v budget'!D16</f>
        <v>4589154.66</v>
      </c>
      <c r="E16" s="92">
        <f>SUMIFS('Assumption-Worst'!$C$3:$C$32,'Assumption-Worst'!$A$3:$A$32,$B16,'Assumption-Worst'!$B$3:$B$32,$C16)</f>
        <v>0.06</v>
      </c>
      <c r="F16" s="14">
        <f t="shared" si="0"/>
        <v>4864503.9396000002</v>
      </c>
      <c r="G16" s="93">
        <f>SUMIFS('Assumption-Worst'!$D$3:$D$32,'Assumption-Worst'!$A$3:$A$32,$B16,'Assumption-Worst'!$B$3:$B$32,$C16)</f>
        <v>3.0000000000000001E-3</v>
      </c>
      <c r="H16" s="94">
        <f t="shared" si="1"/>
        <v>14593.511818800001</v>
      </c>
      <c r="I16" s="92">
        <f>SUMIFS('Assumption-Worst'!$E$3:$E$32,'Assumption-Worst'!$A$3:$A$32,$B16,'Assumption-Worst'!$B$3:$B$32,$C16)</f>
        <v>0.18</v>
      </c>
      <c r="J16" s="14">
        <f t="shared" si="2"/>
        <v>2626.8321273840002</v>
      </c>
      <c r="K16" s="95">
        <f>SUMIFS('Assumption-Worst'!$F$3:$F$32,'Assumption-Worst'!$A$3:$A$32,$B16,'Assumption-Worst'!$B$3:$B$32,$C16)</f>
        <v>1.8000000000000001E-4</v>
      </c>
      <c r="L16" s="14">
        <f t="shared" si="3"/>
        <v>875.61070912800005</v>
      </c>
      <c r="M16" s="94">
        <f t="shared" si="4"/>
        <v>11091.068982288001</v>
      </c>
      <c r="N16" s="92">
        <f>SUMIFS('Assumption-Worst'!$G$3:$G$32,'Assumption-Worst'!$A$3:$A$32,$B16,'Assumption-Worst'!$B$3:$B$32,$C16)</f>
        <v>0.45</v>
      </c>
      <c r="O16" s="14">
        <f t="shared" si="5"/>
        <v>6567.0803184600009</v>
      </c>
      <c r="P16" s="94">
        <f t="shared" si="6"/>
        <v>4523.9886638280004</v>
      </c>
    </row>
    <row r="17" spans="1:16" x14ac:dyDescent="0.35">
      <c r="A17" s="91" t="str">
        <f>LEFT('2025 actual v budget'!A17,4)&amp;"26"</f>
        <v>Jan-26</v>
      </c>
      <c r="B17" s="12" t="str">
        <f>'2025 actual v budget'!B17</f>
        <v>India</v>
      </c>
      <c r="C17" s="12" t="str">
        <f>'2025 actual v budget'!C17</f>
        <v>Virtual Accounts</v>
      </c>
      <c r="D17" s="14">
        <f>'2025 actual v budget'!D17</f>
        <v>6711133.0499999998</v>
      </c>
      <c r="E17" s="92">
        <f>SUMIFS('Assumption-Worst'!$C$3:$C$32,'Assumption-Worst'!$A$3:$A$32,$B17,'Assumption-Worst'!$B$3:$B$32,$C17)</f>
        <v>0.06</v>
      </c>
      <c r="F17" s="14">
        <f t="shared" si="0"/>
        <v>7113801.0329999998</v>
      </c>
      <c r="G17" s="93">
        <f>SUMIFS('Assumption-Worst'!$D$3:$D$32,'Assumption-Worst'!$A$3:$A$32,$B17,'Assumption-Worst'!$B$3:$B$32,$C17)</f>
        <v>4.4999999999999997E-3</v>
      </c>
      <c r="H17" s="94">
        <f t="shared" si="1"/>
        <v>32012.104648499997</v>
      </c>
      <c r="I17" s="92">
        <f>SUMIFS('Assumption-Worst'!$E$3:$E$32,'Assumption-Worst'!$A$3:$A$32,$B17,'Assumption-Worst'!$B$3:$B$32,$C17)</f>
        <v>0.22</v>
      </c>
      <c r="J17" s="14">
        <f t="shared" si="2"/>
        <v>7042.663022669999</v>
      </c>
      <c r="K17" s="95">
        <f>SUMIFS('Assumption-Worst'!$F$3:$F$32,'Assumption-Worst'!$A$3:$A$32,$B17,'Assumption-Worst'!$B$3:$B$32,$C17)</f>
        <v>1.8000000000000001E-4</v>
      </c>
      <c r="L17" s="14">
        <f t="shared" si="3"/>
        <v>1280.4841859400001</v>
      </c>
      <c r="M17" s="94">
        <f t="shared" si="4"/>
        <v>23688.957439889997</v>
      </c>
      <c r="N17" s="92">
        <f>SUMIFS('Assumption-Worst'!$G$3:$G$32,'Assumption-Worst'!$A$3:$A$32,$B17,'Assumption-Worst'!$B$3:$B$32,$C17)</f>
        <v>0.45</v>
      </c>
      <c r="O17" s="14">
        <f t="shared" si="5"/>
        <v>14405.447091824999</v>
      </c>
      <c r="P17" s="94">
        <f t="shared" si="6"/>
        <v>9283.5103480649977</v>
      </c>
    </row>
    <row r="18" spans="1:16" x14ac:dyDescent="0.35">
      <c r="A18" s="91" t="str">
        <f>LEFT('2025 actual v budget'!A18,4)&amp;"26"</f>
        <v>Jan-26</v>
      </c>
      <c r="B18" s="12" t="str">
        <f>'2025 actual v budget'!B18</f>
        <v>Mexico</v>
      </c>
      <c r="C18" s="12" t="str">
        <f>'2025 actual v budget'!C18</f>
        <v>Cross-border Payouts</v>
      </c>
      <c r="D18" s="14">
        <f>'2025 actual v budget'!D18</f>
        <v>8400635.9700000007</v>
      </c>
      <c r="E18" s="92">
        <f>SUMIFS('Assumption-Worst'!$C$3:$C$32,'Assumption-Worst'!$A$3:$A$32,$B18,'Assumption-Worst'!$B$3:$B$32,$C18)</f>
        <v>7.4999999999999997E-2</v>
      </c>
      <c r="F18" s="14">
        <f t="shared" si="0"/>
        <v>9030683.667750001</v>
      </c>
      <c r="G18" s="93">
        <f>SUMIFS('Assumption-Worst'!$D$3:$D$32,'Assumption-Worst'!$A$3:$A$32,$B18,'Assumption-Worst'!$B$3:$B$32,$C18)</f>
        <v>7.4999999999999997E-3</v>
      </c>
      <c r="H18" s="94">
        <f t="shared" si="1"/>
        <v>67730.127508125006</v>
      </c>
      <c r="I18" s="92">
        <f>SUMIFS('Assumption-Worst'!$E$3:$E$32,'Assumption-Worst'!$A$3:$A$32,$B18,'Assumption-Worst'!$B$3:$B$32,$C18)</f>
        <v>0.35</v>
      </c>
      <c r="J18" s="14">
        <f t="shared" si="2"/>
        <v>23705.544627843752</v>
      </c>
      <c r="K18" s="95">
        <f>SUMIFS('Assumption-Worst'!$F$3:$F$32,'Assumption-Worst'!$A$3:$A$32,$B18,'Assumption-Worst'!$B$3:$B$32,$C18)</f>
        <v>8.0000000000000007E-5</v>
      </c>
      <c r="L18" s="14">
        <f t="shared" si="3"/>
        <v>722.45469342000013</v>
      </c>
      <c r="M18" s="94">
        <f t="shared" si="4"/>
        <v>43302.128186861257</v>
      </c>
      <c r="N18" s="92">
        <f>SUMIFS('Assumption-Worst'!$G$3:$G$32,'Assumption-Worst'!$A$3:$A$32,$B18,'Assumption-Worst'!$B$3:$B$32,$C18)</f>
        <v>0.45</v>
      </c>
      <c r="O18" s="14">
        <f t="shared" si="5"/>
        <v>30478.557378656253</v>
      </c>
      <c r="P18" s="94">
        <f t="shared" si="6"/>
        <v>12823.570808205004</v>
      </c>
    </row>
    <row r="19" spans="1:16" x14ac:dyDescent="0.35">
      <c r="A19" s="91" t="str">
        <f>LEFT('2025 actual v budget'!A19,4)&amp;"26"</f>
        <v>Jan-26</v>
      </c>
      <c r="B19" s="12" t="str">
        <f>'2025 actual v budget'!B19</f>
        <v>Mexico</v>
      </c>
      <c r="C19" s="12" t="str">
        <f>'2025 actual v budget'!C19</f>
        <v>FX Conversion</v>
      </c>
      <c r="D19" s="14">
        <f>'2025 actual v budget'!D19</f>
        <v>13310924.1</v>
      </c>
      <c r="E19" s="92">
        <f>SUMIFS('Assumption-Worst'!$C$3:$C$32,'Assumption-Worst'!$A$3:$A$32,$B19,'Assumption-Worst'!$B$3:$B$32,$C19)</f>
        <v>7.4999999999999997E-2</v>
      </c>
      <c r="F19" s="14">
        <f t="shared" si="0"/>
        <v>14309243.407499999</v>
      </c>
      <c r="G19" s="93">
        <f>SUMIFS('Assumption-Worst'!$D$3:$D$32,'Assumption-Worst'!$A$3:$A$32,$B19,'Assumption-Worst'!$B$3:$B$32,$C19)</f>
        <v>1.0500000000000001E-2</v>
      </c>
      <c r="H19" s="94">
        <f t="shared" si="1"/>
        <v>150247.05577874999</v>
      </c>
      <c r="I19" s="92">
        <f>SUMIFS('Assumption-Worst'!$E$3:$E$32,'Assumption-Worst'!$A$3:$A$32,$B19,'Assumption-Worst'!$B$3:$B$32,$C19)</f>
        <v>0.28000000000000003</v>
      </c>
      <c r="J19" s="14">
        <f t="shared" si="2"/>
        <v>42069.175618050002</v>
      </c>
      <c r="K19" s="95">
        <f>SUMIFS('Assumption-Worst'!$F$3:$F$32,'Assumption-Worst'!$A$3:$A$32,$B19,'Assumption-Worst'!$B$3:$B$32,$C19)</f>
        <v>8.0000000000000007E-5</v>
      </c>
      <c r="L19" s="14">
        <f t="shared" si="3"/>
        <v>1144.7394726</v>
      </c>
      <c r="M19" s="94">
        <f t="shared" si="4"/>
        <v>107033.14068809997</v>
      </c>
      <c r="N19" s="92">
        <f>SUMIFS('Assumption-Worst'!$G$3:$G$32,'Assumption-Worst'!$A$3:$A$32,$B19,'Assumption-Worst'!$B$3:$B$32,$C19)</f>
        <v>0.45</v>
      </c>
      <c r="O19" s="14">
        <f t="shared" si="5"/>
        <v>67611.175100437496</v>
      </c>
      <c r="P19" s="94">
        <f t="shared" si="6"/>
        <v>39421.965587662475</v>
      </c>
    </row>
    <row r="20" spans="1:16" x14ac:dyDescent="0.35">
      <c r="A20" s="91" t="str">
        <f>LEFT('2025 actual v budget'!A20,4)&amp;"26"</f>
        <v>Jan-26</v>
      </c>
      <c r="B20" s="12" t="str">
        <f>'2025 actual v budget'!B20</f>
        <v>Mexico</v>
      </c>
      <c r="C20" s="12" t="str">
        <f>'2025 actual v budget'!C20</f>
        <v>Stablecoin Settlement</v>
      </c>
      <c r="D20" s="14">
        <f>'2025 actual v budget'!D20</f>
        <v>20131315.629999999</v>
      </c>
      <c r="E20" s="92">
        <f>SUMIFS('Assumption-Worst'!$C$3:$C$32,'Assumption-Worst'!$A$3:$A$32,$B20,'Assumption-Worst'!$B$3:$B$32,$C20)</f>
        <v>0.15</v>
      </c>
      <c r="F20" s="14">
        <f t="shared" si="0"/>
        <v>23151012.974499997</v>
      </c>
      <c r="G20" s="93">
        <f>SUMIFS('Assumption-Worst'!$D$3:$D$32,'Assumption-Worst'!$A$3:$A$32,$B20,'Assumption-Worst'!$B$3:$B$32,$C20)</f>
        <v>6.4999999999999997E-3</v>
      </c>
      <c r="H20" s="94">
        <f t="shared" si="1"/>
        <v>150481.58433424996</v>
      </c>
      <c r="I20" s="92">
        <f>SUMIFS('Assumption-Worst'!$E$3:$E$32,'Assumption-Worst'!$A$3:$A$32,$B20,'Assumption-Worst'!$B$3:$B$32,$C20)</f>
        <v>0.32</v>
      </c>
      <c r="J20" s="14">
        <f t="shared" si="2"/>
        <v>48154.106986959989</v>
      </c>
      <c r="K20" s="95">
        <f>SUMIFS('Assumption-Worst'!$F$3:$F$32,'Assumption-Worst'!$A$3:$A$32,$B20,'Assumption-Worst'!$B$3:$B$32,$C20)</f>
        <v>8.0000000000000007E-5</v>
      </c>
      <c r="L20" s="14">
        <f t="shared" si="3"/>
        <v>1852.08103796</v>
      </c>
      <c r="M20" s="94">
        <f t="shared" si="4"/>
        <v>100475.39630932997</v>
      </c>
      <c r="N20" s="92">
        <f>SUMIFS('Assumption-Worst'!$G$3:$G$32,'Assumption-Worst'!$A$3:$A$32,$B20,'Assumption-Worst'!$B$3:$B$32,$C20)</f>
        <v>0.45</v>
      </c>
      <c r="O20" s="14">
        <f t="shared" si="5"/>
        <v>67716.71295041249</v>
      </c>
      <c r="P20" s="94">
        <f t="shared" si="6"/>
        <v>32758.683358917478</v>
      </c>
    </row>
    <row r="21" spans="1:16" x14ac:dyDescent="0.35">
      <c r="A21" s="91" t="str">
        <f>LEFT('2025 actual v budget'!A21,4)&amp;"26"</f>
        <v>Jan-26</v>
      </c>
      <c r="B21" s="12" t="str">
        <f>'2025 actual v budget'!B21</f>
        <v>Mexico</v>
      </c>
      <c r="C21" s="12" t="str">
        <f>'2025 actual v budget'!C21</f>
        <v>Treasury Yield</v>
      </c>
      <c r="D21" s="14">
        <f>'2025 actual v budget'!D21</f>
        <v>5608966.8099999996</v>
      </c>
      <c r="E21" s="92">
        <f>SUMIFS('Assumption-Worst'!$C$3:$C$32,'Assumption-Worst'!$A$3:$A$32,$B21,'Assumption-Worst'!$B$3:$B$32,$C21)</f>
        <v>7.4999999999999997E-2</v>
      </c>
      <c r="F21" s="14">
        <f t="shared" si="0"/>
        <v>6029639.320749999</v>
      </c>
      <c r="G21" s="93">
        <f>SUMIFS('Assumption-Worst'!$D$3:$D$32,'Assumption-Worst'!$A$3:$A$32,$B21,'Assumption-Worst'!$B$3:$B$32,$C21)</f>
        <v>3.0000000000000001E-3</v>
      </c>
      <c r="H21" s="94">
        <f t="shared" si="1"/>
        <v>18088.917962249998</v>
      </c>
      <c r="I21" s="92">
        <f>SUMIFS('Assumption-Worst'!$E$3:$E$32,'Assumption-Worst'!$A$3:$A$32,$B21,'Assumption-Worst'!$B$3:$B$32,$C21)</f>
        <v>0.18</v>
      </c>
      <c r="J21" s="14">
        <f t="shared" si="2"/>
        <v>3256.0052332049995</v>
      </c>
      <c r="K21" s="95">
        <f>SUMIFS('Assumption-Worst'!$F$3:$F$32,'Assumption-Worst'!$A$3:$A$32,$B21,'Assumption-Worst'!$B$3:$B$32,$C21)</f>
        <v>8.0000000000000007E-5</v>
      </c>
      <c r="L21" s="14">
        <f t="shared" si="3"/>
        <v>482.37114565999997</v>
      </c>
      <c r="M21" s="94">
        <f t="shared" si="4"/>
        <v>14350.541583384998</v>
      </c>
      <c r="N21" s="92">
        <f>SUMIFS('Assumption-Worst'!$G$3:$G$32,'Assumption-Worst'!$A$3:$A$32,$B21,'Assumption-Worst'!$B$3:$B$32,$C21)</f>
        <v>0.45</v>
      </c>
      <c r="O21" s="14">
        <f t="shared" si="5"/>
        <v>8140.013083012499</v>
      </c>
      <c r="P21" s="94">
        <f t="shared" si="6"/>
        <v>6210.5285003724994</v>
      </c>
    </row>
    <row r="22" spans="1:16" x14ac:dyDescent="0.35">
      <c r="A22" s="91" t="str">
        <f>LEFT('2025 actual v budget'!A22,4)&amp;"26"</f>
        <v>Jan-26</v>
      </c>
      <c r="B22" s="12" t="str">
        <f>'2025 actual v budget'!B22</f>
        <v>Mexico</v>
      </c>
      <c r="C22" s="12" t="str">
        <f>'2025 actual v budget'!C22</f>
        <v>Virtual Accounts</v>
      </c>
      <c r="D22" s="14">
        <f>'2025 actual v budget'!D22</f>
        <v>8202495.9500000002</v>
      </c>
      <c r="E22" s="92">
        <f>SUMIFS('Assumption-Worst'!$C$3:$C$32,'Assumption-Worst'!$A$3:$A$32,$B22,'Assumption-Worst'!$B$3:$B$32,$C22)</f>
        <v>7.4999999999999997E-2</v>
      </c>
      <c r="F22" s="14">
        <f t="shared" si="0"/>
        <v>8817683.1462500002</v>
      </c>
      <c r="G22" s="93">
        <f>SUMIFS('Assumption-Worst'!$D$3:$D$32,'Assumption-Worst'!$A$3:$A$32,$B22,'Assumption-Worst'!$B$3:$B$32,$C22)</f>
        <v>4.4999999999999997E-3</v>
      </c>
      <c r="H22" s="94">
        <f t="shared" si="1"/>
        <v>39679.574158124997</v>
      </c>
      <c r="I22" s="92">
        <f>SUMIFS('Assumption-Worst'!$E$3:$E$32,'Assumption-Worst'!$A$3:$A$32,$B22,'Assumption-Worst'!$B$3:$B$32,$C22)</f>
        <v>0.22</v>
      </c>
      <c r="J22" s="14">
        <f t="shared" si="2"/>
        <v>8729.5063147874989</v>
      </c>
      <c r="K22" s="95">
        <f>SUMIFS('Assumption-Worst'!$F$3:$F$32,'Assumption-Worst'!$A$3:$A$32,$B22,'Assumption-Worst'!$B$3:$B$32,$C22)</f>
        <v>8.0000000000000007E-5</v>
      </c>
      <c r="L22" s="14">
        <f t="shared" si="3"/>
        <v>705.41465170000004</v>
      </c>
      <c r="M22" s="94">
        <f t="shared" si="4"/>
        <v>30244.653191637499</v>
      </c>
      <c r="N22" s="92">
        <f>SUMIFS('Assumption-Worst'!$G$3:$G$32,'Assumption-Worst'!$A$3:$A$32,$B22,'Assumption-Worst'!$B$3:$B$32,$C22)</f>
        <v>0.45</v>
      </c>
      <c r="O22" s="14">
        <f t="shared" si="5"/>
        <v>17855.80837115625</v>
      </c>
      <c r="P22" s="94">
        <f t="shared" si="6"/>
        <v>12388.844820481248</v>
      </c>
    </row>
    <row r="23" spans="1:16" x14ac:dyDescent="0.35">
      <c r="A23" s="91" t="str">
        <f>LEFT('2025 actual v budget'!A23,4)&amp;"26"</f>
        <v>Jan-26</v>
      </c>
      <c r="B23" s="12" t="str">
        <f>'2025 actual v budget'!B23</f>
        <v>Singapore</v>
      </c>
      <c r="C23" s="12" t="str">
        <f>'2025 actual v budget'!C23</f>
        <v>Cross-border Payouts</v>
      </c>
      <c r="D23" s="14">
        <f>'2025 actual v budget'!D23</f>
        <v>7331464.1200000001</v>
      </c>
      <c r="E23" s="92">
        <f>SUMIFS('Assumption-Worst'!$C$3:$C$32,'Assumption-Worst'!$A$3:$A$32,$B23,'Assumption-Worst'!$B$3:$B$32,$C23)</f>
        <v>2.5000000000000001E-2</v>
      </c>
      <c r="F23" s="14">
        <f t="shared" si="0"/>
        <v>7514750.7229999993</v>
      </c>
      <c r="G23" s="93">
        <f>SUMIFS('Assumption-Worst'!$D$3:$D$32,'Assumption-Worst'!$A$3:$A$32,$B23,'Assumption-Worst'!$B$3:$B$32,$C23)</f>
        <v>7.4999999999999997E-3</v>
      </c>
      <c r="H23" s="94">
        <f t="shared" si="1"/>
        <v>56360.630422499991</v>
      </c>
      <c r="I23" s="92">
        <f>SUMIFS('Assumption-Worst'!$E$3:$E$32,'Assumption-Worst'!$A$3:$A$32,$B23,'Assumption-Worst'!$B$3:$B$32,$C23)</f>
        <v>0.35</v>
      </c>
      <c r="J23" s="14">
        <f t="shared" si="2"/>
        <v>19726.220647874994</v>
      </c>
      <c r="K23" s="95">
        <f>SUMIFS('Assumption-Worst'!$F$3:$F$32,'Assumption-Worst'!$A$3:$A$32,$B23,'Assumption-Worst'!$B$3:$B$32,$C23)</f>
        <v>9.0000000000000006E-5</v>
      </c>
      <c r="L23" s="14">
        <f t="shared" si="3"/>
        <v>676.32756506999999</v>
      </c>
      <c r="M23" s="94">
        <f t="shared" si="4"/>
        <v>35958.082209554996</v>
      </c>
      <c r="N23" s="92">
        <f>SUMIFS('Assumption-Worst'!$G$3:$G$32,'Assumption-Worst'!$A$3:$A$32,$B23,'Assumption-Worst'!$B$3:$B$32,$C23)</f>
        <v>0.45</v>
      </c>
      <c r="O23" s="14">
        <f t="shared" si="5"/>
        <v>25362.283690124998</v>
      </c>
      <c r="P23" s="94">
        <f t="shared" si="6"/>
        <v>10595.798519429998</v>
      </c>
    </row>
    <row r="24" spans="1:16" x14ac:dyDescent="0.35">
      <c r="A24" s="91" t="str">
        <f>LEFT('2025 actual v budget'!A24,4)&amp;"26"</f>
        <v>Jan-26</v>
      </c>
      <c r="B24" s="12" t="str">
        <f>'2025 actual v budget'!B24</f>
        <v>Singapore</v>
      </c>
      <c r="C24" s="12" t="str">
        <f>'2025 actual v budget'!C24</f>
        <v>FX Conversion</v>
      </c>
      <c r="D24" s="14">
        <f>'2025 actual v budget'!D24</f>
        <v>11616806.49</v>
      </c>
      <c r="E24" s="92">
        <f>SUMIFS('Assumption-Worst'!$C$3:$C$32,'Assumption-Worst'!$A$3:$A$32,$B24,'Assumption-Worst'!$B$3:$B$32,$C24)</f>
        <v>2.5000000000000001E-2</v>
      </c>
      <c r="F24" s="14">
        <f t="shared" si="0"/>
        <v>11907226.652249999</v>
      </c>
      <c r="G24" s="93">
        <f>SUMIFS('Assumption-Worst'!$D$3:$D$32,'Assumption-Worst'!$A$3:$A$32,$B24,'Assumption-Worst'!$B$3:$B$32,$C24)</f>
        <v>1.0500000000000001E-2</v>
      </c>
      <c r="H24" s="94">
        <f t="shared" si="1"/>
        <v>125025.879848625</v>
      </c>
      <c r="I24" s="92">
        <f>SUMIFS('Assumption-Worst'!$E$3:$E$32,'Assumption-Worst'!$A$3:$A$32,$B24,'Assumption-Worst'!$B$3:$B$32,$C24)</f>
        <v>0.28000000000000003</v>
      </c>
      <c r="J24" s="14">
        <f t="shared" si="2"/>
        <v>35007.246357615004</v>
      </c>
      <c r="K24" s="95">
        <f>SUMIFS('Assumption-Worst'!$F$3:$F$32,'Assumption-Worst'!$A$3:$A$32,$B24,'Assumption-Worst'!$B$3:$B$32,$C24)</f>
        <v>9.0000000000000006E-5</v>
      </c>
      <c r="L24" s="14">
        <f t="shared" si="3"/>
        <v>1071.6503987025001</v>
      </c>
      <c r="M24" s="94">
        <f t="shared" si="4"/>
        <v>88946.983092307491</v>
      </c>
      <c r="N24" s="92">
        <f>SUMIFS('Assumption-Worst'!$G$3:$G$32,'Assumption-Worst'!$A$3:$A$32,$B24,'Assumption-Worst'!$B$3:$B$32,$C24)</f>
        <v>0.45</v>
      </c>
      <c r="O24" s="14">
        <f t="shared" si="5"/>
        <v>56261.645931881249</v>
      </c>
      <c r="P24" s="94">
        <f t="shared" si="6"/>
        <v>32685.337160426243</v>
      </c>
    </row>
    <row r="25" spans="1:16" x14ac:dyDescent="0.35">
      <c r="A25" s="91" t="str">
        <f>LEFT('2025 actual v budget'!A25,4)&amp;"26"</f>
        <v>Jan-26</v>
      </c>
      <c r="B25" s="12" t="str">
        <f>'2025 actual v budget'!B25</f>
        <v>Singapore</v>
      </c>
      <c r="C25" s="12" t="str">
        <f>'2025 actual v budget'!C25</f>
        <v>Stablecoin Settlement</v>
      </c>
      <c r="D25" s="14">
        <f>'2025 actual v budget'!D25</f>
        <v>17569148.190000001</v>
      </c>
      <c r="E25" s="92">
        <f>SUMIFS('Assumption-Worst'!$C$3:$C$32,'Assumption-Worst'!$A$3:$A$32,$B25,'Assumption-Worst'!$B$3:$B$32,$C25)</f>
        <v>0.05</v>
      </c>
      <c r="F25" s="14">
        <f t="shared" si="0"/>
        <v>18447605.5995</v>
      </c>
      <c r="G25" s="93">
        <f>SUMIFS('Assumption-Worst'!$D$3:$D$32,'Assumption-Worst'!$A$3:$A$32,$B25,'Assumption-Worst'!$B$3:$B$32,$C25)</f>
        <v>6.4999999999999997E-3</v>
      </c>
      <c r="H25" s="94">
        <f t="shared" si="1"/>
        <v>119909.43639675</v>
      </c>
      <c r="I25" s="92">
        <f>SUMIFS('Assumption-Worst'!$E$3:$E$32,'Assumption-Worst'!$A$3:$A$32,$B25,'Assumption-Worst'!$B$3:$B$32,$C25)</f>
        <v>0.32</v>
      </c>
      <c r="J25" s="14">
        <f t="shared" si="2"/>
        <v>38371.019646959998</v>
      </c>
      <c r="K25" s="95">
        <f>SUMIFS('Assumption-Worst'!$F$3:$F$32,'Assumption-Worst'!$A$3:$A$32,$B25,'Assumption-Worst'!$B$3:$B$32,$C25)</f>
        <v>9.0000000000000006E-5</v>
      </c>
      <c r="L25" s="14">
        <f t="shared" si="3"/>
        <v>1660.2845039550002</v>
      </c>
      <c r="M25" s="94">
        <f t="shared" si="4"/>
        <v>79878.13224583499</v>
      </c>
      <c r="N25" s="92">
        <f>SUMIFS('Assumption-Worst'!$G$3:$G$32,'Assumption-Worst'!$A$3:$A$32,$B25,'Assumption-Worst'!$B$3:$B$32,$C25)</f>
        <v>0.45</v>
      </c>
      <c r="O25" s="14">
        <f t="shared" si="5"/>
        <v>53959.2463785375</v>
      </c>
      <c r="P25" s="94">
        <f t="shared" si="6"/>
        <v>25918.885867297489</v>
      </c>
    </row>
    <row r="26" spans="1:16" x14ac:dyDescent="0.35">
      <c r="A26" s="91" t="str">
        <f>LEFT('2025 actual v budget'!A26,4)&amp;"26"</f>
        <v>Jan-26</v>
      </c>
      <c r="B26" s="12" t="str">
        <f>'2025 actual v budget'!B26</f>
        <v>Singapore</v>
      </c>
      <c r="C26" s="12" t="str">
        <f>'2025 actual v budget'!C26</f>
        <v>Treasury Yield</v>
      </c>
      <c r="D26" s="14">
        <f>'2025 actual v budget'!D26</f>
        <v>4895098.3099999996</v>
      </c>
      <c r="E26" s="92">
        <f>SUMIFS('Assumption-Worst'!$C$3:$C$32,'Assumption-Worst'!$A$3:$A$32,$B26,'Assumption-Worst'!$B$3:$B$32,$C26)</f>
        <v>2.5000000000000001E-2</v>
      </c>
      <c r="F26" s="14">
        <f t="shared" si="0"/>
        <v>5017475.7677499987</v>
      </c>
      <c r="G26" s="93">
        <f>SUMIFS('Assumption-Worst'!$D$3:$D$32,'Assumption-Worst'!$A$3:$A$32,$B26,'Assumption-Worst'!$B$3:$B$32,$C26)</f>
        <v>3.0000000000000001E-3</v>
      </c>
      <c r="H26" s="94">
        <f t="shared" si="1"/>
        <v>15052.427303249997</v>
      </c>
      <c r="I26" s="92">
        <f>SUMIFS('Assumption-Worst'!$E$3:$E$32,'Assumption-Worst'!$A$3:$A$32,$B26,'Assumption-Worst'!$B$3:$B$32,$C26)</f>
        <v>0.18</v>
      </c>
      <c r="J26" s="14">
        <f t="shared" si="2"/>
        <v>2709.4369145849992</v>
      </c>
      <c r="K26" s="95">
        <f>SUMIFS('Assumption-Worst'!$F$3:$F$32,'Assumption-Worst'!$A$3:$A$32,$B26,'Assumption-Worst'!$B$3:$B$32,$C26)</f>
        <v>9.0000000000000006E-5</v>
      </c>
      <c r="L26" s="14">
        <f t="shared" si="3"/>
        <v>451.57281909749992</v>
      </c>
      <c r="M26" s="94">
        <f t="shared" si="4"/>
        <v>11891.417569567497</v>
      </c>
      <c r="N26" s="92">
        <f>SUMIFS('Assumption-Worst'!$G$3:$G$32,'Assumption-Worst'!$A$3:$A$32,$B26,'Assumption-Worst'!$B$3:$B$32,$C26)</f>
        <v>0.45</v>
      </c>
      <c r="O26" s="14">
        <f t="shared" si="5"/>
        <v>6773.592286462499</v>
      </c>
      <c r="P26" s="94">
        <f t="shared" si="6"/>
        <v>5117.8252831049977</v>
      </c>
    </row>
    <row r="27" spans="1:16" x14ac:dyDescent="0.35">
      <c r="A27" s="91" t="str">
        <f>LEFT('2025 actual v budget'!A27,4)&amp;"26"</f>
        <v>Jan-26</v>
      </c>
      <c r="B27" s="12" t="str">
        <f>'2025 actual v budget'!B27</f>
        <v>Singapore</v>
      </c>
      <c r="C27" s="12" t="str">
        <f>'2025 actual v budget'!C27</f>
        <v>Virtual Accounts</v>
      </c>
      <c r="D27" s="14">
        <f>'2025 actual v budget'!D27</f>
        <v>7158541.9199999999</v>
      </c>
      <c r="E27" s="92">
        <f>SUMIFS('Assumption-Worst'!$C$3:$C$32,'Assumption-Worst'!$A$3:$A$32,$B27,'Assumption-Worst'!$B$3:$B$32,$C27)</f>
        <v>2.5000000000000001E-2</v>
      </c>
      <c r="F27" s="14">
        <f t="shared" si="0"/>
        <v>7337505.4679999994</v>
      </c>
      <c r="G27" s="93">
        <f>SUMIFS('Assumption-Worst'!$D$3:$D$32,'Assumption-Worst'!$A$3:$A$32,$B27,'Assumption-Worst'!$B$3:$B$32,$C27)</f>
        <v>4.4999999999999997E-3</v>
      </c>
      <c r="H27" s="94">
        <f t="shared" si="1"/>
        <v>33018.774605999992</v>
      </c>
      <c r="I27" s="92">
        <f>SUMIFS('Assumption-Worst'!$E$3:$E$32,'Assumption-Worst'!$A$3:$A$32,$B27,'Assumption-Worst'!$B$3:$B$32,$C27)</f>
        <v>0.22</v>
      </c>
      <c r="J27" s="14">
        <f t="shared" si="2"/>
        <v>7264.1304133199983</v>
      </c>
      <c r="K27" s="95">
        <f>SUMIFS('Assumption-Worst'!$F$3:$F$32,'Assumption-Worst'!$A$3:$A$32,$B27,'Assumption-Worst'!$B$3:$B$32,$C27)</f>
        <v>9.0000000000000006E-5</v>
      </c>
      <c r="L27" s="14">
        <f t="shared" si="3"/>
        <v>660.37549211999999</v>
      </c>
      <c r="M27" s="94">
        <f t="shared" si="4"/>
        <v>25094.268700559991</v>
      </c>
      <c r="N27" s="92">
        <f>SUMIFS('Assumption-Worst'!$G$3:$G$32,'Assumption-Worst'!$A$3:$A$32,$B27,'Assumption-Worst'!$B$3:$B$32,$C27)</f>
        <v>0.45</v>
      </c>
      <c r="O27" s="14">
        <f t="shared" si="5"/>
        <v>14858.448572699997</v>
      </c>
      <c r="P27" s="94">
        <f t="shared" si="6"/>
        <v>10235.820127859994</v>
      </c>
    </row>
    <row r="28" spans="1:16" x14ac:dyDescent="0.35">
      <c r="A28" s="91" t="str">
        <f>LEFT('2025 actual v budget'!A28,4)&amp;"26"</f>
        <v>Jan-26</v>
      </c>
      <c r="B28" s="12" t="str">
        <f>'2025 actual v budget'!B28</f>
        <v>USA</v>
      </c>
      <c r="C28" s="12" t="str">
        <f>'2025 actual v budget'!C28</f>
        <v>Cross-border Payouts</v>
      </c>
      <c r="D28" s="14">
        <f>'2025 actual v budget'!D28</f>
        <v>18328660.289999999</v>
      </c>
      <c r="E28" s="92">
        <f>SUMIFS('Assumption-Worst'!$C$3:$C$32,'Assumption-Worst'!$A$3:$A$32,$B28,'Assumption-Worst'!$B$3:$B$32,$C28)</f>
        <v>0.05</v>
      </c>
      <c r="F28" s="14">
        <f t="shared" si="0"/>
        <v>19245093.304499999</v>
      </c>
      <c r="G28" s="93">
        <f>SUMIFS('Assumption-Worst'!$D$3:$D$32,'Assumption-Worst'!$A$3:$A$32,$B28,'Assumption-Worst'!$B$3:$B$32,$C28)</f>
        <v>7.4999999999999997E-3</v>
      </c>
      <c r="H28" s="94">
        <f t="shared" si="1"/>
        <v>144338.19978374999</v>
      </c>
      <c r="I28" s="92">
        <f>SUMIFS('Assumption-Worst'!$E$3:$E$32,'Assumption-Worst'!$A$3:$A$32,$B28,'Assumption-Worst'!$B$3:$B$32,$C28)</f>
        <v>0.35</v>
      </c>
      <c r="J28" s="14">
        <f t="shared" si="2"/>
        <v>50518.369924312494</v>
      </c>
      <c r="K28" s="95">
        <f>SUMIFS('Assumption-Worst'!$F$3:$F$32,'Assumption-Worst'!$A$3:$A$32,$B28,'Assumption-Worst'!$B$3:$B$32,$C28)</f>
        <v>2.0000000000000001E-4</v>
      </c>
      <c r="L28" s="14">
        <f t="shared" si="3"/>
        <v>3849.0186608999998</v>
      </c>
      <c r="M28" s="94">
        <f t="shared" si="4"/>
        <v>89970.811198537514</v>
      </c>
      <c r="N28" s="92">
        <f>SUMIFS('Assumption-Worst'!$G$3:$G$32,'Assumption-Worst'!$A$3:$A$32,$B28,'Assumption-Worst'!$B$3:$B$32,$C28)</f>
        <v>0.45</v>
      </c>
      <c r="O28" s="14">
        <f t="shared" si="5"/>
        <v>64952.189902687496</v>
      </c>
      <c r="P28" s="94">
        <f t="shared" si="6"/>
        <v>25018.621295850018</v>
      </c>
    </row>
    <row r="29" spans="1:16" x14ac:dyDescent="0.35">
      <c r="A29" s="91" t="str">
        <f>LEFT('2025 actual v budget'!A29,4)&amp;"26"</f>
        <v>Jan-26</v>
      </c>
      <c r="B29" s="12" t="str">
        <f>'2025 actual v budget'!B29</f>
        <v>USA</v>
      </c>
      <c r="C29" s="12" t="str">
        <f>'2025 actual v budget'!C29</f>
        <v>FX Conversion</v>
      </c>
      <c r="D29" s="14">
        <f>'2025 actual v budget'!D29</f>
        <v>29042016.210000001</v>
      </c>
      <c r="E29" s="92">
        <f>SUMIFS('Assumption-Worst'!$C$3:$C$32,'Assumption-Worst'!$A$3:$A$32,$B29,'Assumption-Worst'!$B$3:$B$32,$C29)</f>
        <v>0.05</v>
      </c>
      <c r="F29" s="14">
        <f t="shared" si="0"/>
        <v>30494117.020500001</v>
      </c>
      <c r="G29" s="93">
        <f>SUMIFS('Assumption-Worst'!$D$3:$D$32,'Assumption-Worst'!$A$3:$A$32,$B29,'Assumption-Worst'!$B$3:$B$32,$C29)</f>
        <v>1.0500000000000001E-2</v>
      </c>
      <c r="H29" s="94">
        <f t="shared" si="1"/>
        <v>320188.22871525004</v>
      </c>
      <c r="I29" s="92">
        <f>SUMIFS('Assumption-Worst'!$E$3:$E$32,'Assumption-Worst'!$A$3:$A$32,$B29,'Assumption-Worst'!$B$3:$B$32,$C29)</f>
        <v>0.28000000000000003</v>
      </c>
      <c r="J29" s="14">
        <f t="shared" si="2"/>
        <v>89652.704040270022</v>
      </c>
      <c r="K29" s="95">
        <f>SUMIFS('Assumption-Worst'!$F$3:$F$32,'Assumption-Worst'!$A$3:$A$32,$B29,'Assumption-Worst'!$B$3:$B$32,$C29)</f>
        <v>2.0000000000000001E-4</v>
      </c>
      <c r="L29" s="14">
        <f t="shared" si="3"/>
        <v>6098.8234041000005</v>
      </c>
      <c r="M29" s="94">
        <f t="shared" si="4"/>
        <v>224436.70127088003</v>
      </c>
      <c r="N29" s="92">
        <f>SUMIFS('Assumption-Worst'!$G$3:$G$32,'Assumption-Worst'!$A$3:$A$32,$B29,'Assumption-Worst'!$B$3:$B$32,$C29)</f>
        <v>0.45</v>
      </c>
      <c r="O29" s="14">
        <f t="shared" si="5"/>
        <v>144084.70292186251</v>
      </c>
      <c r="P29" s="94">
        <f t="shared" si="6"/>
        <v>80351.998349017522</v>
      </c>
    </row>
    <row r="30" spans="1:16" x14ac:dyDescent="0.35">
      <c r="A30" s="91" t="str">
        <f>LEFT('2025 actual v budget'!A30,4)&amp;"26"</f>
        <v>Jan-26</v>
      </c>
      <c r="B30" s="12" t="str">
        <f>'2025 actual v budget'!B30</f>
        <v>USA</v>
      </c>
      <c r="C30" s="12" t="str">
        <f>'2025 actual v budget'!C30</f>
        <v>Stablecoin Settlement</v>
      </c>
      <c r="D30" s="14">
        <f>'2025 actual v budget'!D30</f>
        <v>43922870.469999999</v>
      </c>
      <c r="E30" s="92">
        <f>SUMIFS('Assumption-Worst'!$C$3:$C$32,'Assumption-Worst'!$A$3:$A$32,$B30,'Assumption-Worst'!$B$3:$B$32,$C30)</f>
        <v>0.1</v>
      </c>
      <c r="F30" s="14">
        <f t="shared" si="0"/>
        <v>48315157.517000005</v>
      </c>
      <c r="G30" s="93">
        <f>SUMIFS('Assumption-Worst'!$D$3:$D$32,'Assumption-Worst'!$A$3:$A$32,$B30,'Assumption-Worst'!$B$3:$B$32,$C30)</f>
        <v>6.4999999999999997E-3</v>
      </c>
      <c r="H30" s="94">
        <f t="shared" si="1"/>
        <v>314048.52386050002</v>
      </c>
      <c r="I30" s="92">
        <f>SUMIFS('Assumption-Worst'!$E$3:$E$32,'Assumption-Worst'!$A$3:$A$32,$B30,'Assumption-Worst'!$B$3:$B$32,$C30)</f>
        <v>0.32</v>
      </c>
      <c r="J30" s="14">
        <f t="shared" si="2"/>
        <v>100495.52763536001</v>
      </c>
      <c r="K30" s="95">
        <f>SUMIFS('Assumption-Worst'!$F$3:$F$32,'Assumption-Worst'!$A$3:$A$32,$B30,'Assumption-Worst'!$B$3:$B$32,$C30)</f>
        <v>2.0000000000000001E-4</v>
      </c>
      <c r="L30" s="14">
        <f t="shared" si="3"/>
        <v>9663.0315034000014</v>
      </c>
      <c r="M30" s="94">
        <f t="shared" si="4"/>
        <v>203889.96472173999</v>
      </c>
      <c r="N30" s="92">
        <f>SUMIFS('Assumption-Worst'!$G$3:$G$32,'Assumption-Worst'!$A$3:$A$32,$B30,'Assumption-Worst'!$B$3:$B$32,$C30)</f>
        <v>0.45</v>
      </c>
      <c r="O30" s="14">
        <f t="shared" si="5"/>
        <v>141321.83573722502</v>
      </c>
      <c r="P30" s="94">
        <f t="shared" si="6"/>
        <v>62568.128984514973</v>
      </c>
    </row>
    <row r="31" spans="1:16" x14ac:dyDescent="0.35">
      <c r="A31" s="91" t="str">
        <f>LEFT('2025 actual v budget'!A31,4)&amp;"26"</f>
        <v>Jan-26</v>
      </c>
      <c r="B31" s="12" t="str">
        <f>'2025 actual v budget'!B31</f>
        <v>USA</v>
      </c>
      <c r="C31" s="12" t="str">
        <f>'2025 actual v budget'!C31</f>
        <v>Treasury Yield</v>
      </c>
      <c r="D31" s="14">
        <f>'2025 actual v budget'!D31</f>
        <v>12237745.77</v>
      </c>
      <c r="E31" s="92">
        <f>SUMIFS('Assumption-Worst'!$C$3:$C$32,'Assumption-Worst'!$A$3:$A$32,$B31,'Assumption-Worst'!$B$3:$B$32,$C31)</f>
        <v>0.05</v>
      </c>
      <c r="F31" s="14">
        <f t="shared" si="0"/>
        <v>12849633.058499999</v>
      </c>
      <c r="G31" s="93">
        <f>SUMIFS('Assumption-Worst'!$D$3:$D$32,'Assumption-Worst'!$A$3:$A$32,$B31,'Assumption-Worst'!$B$3:$B$32,$C31)</f>
        <v>3.0000000000000001E-3</v>
      </c>
      <c r="H31" s="94">
        <f t="shared" si="1"/>
        <v>38548.899175500002</v>
      </c>
      <c r="I31" s="92">
        <f>SUMIFS('Assumption-Worst'!$E$3:$E$32,'Assumption-Worst'!$A$3:$A$32,$B31,'Assumption-Worst'!$B$3:$B$32,$C31)</f>
        <v>0.18</v>
      </c>
      <c r="J31" s="14">
        <f t="shared" si="2"/>
        <v>6938.8018515900003</v>
      </c>
      <c r="K31" s="95">
        <f>SUMIFS('Assumption-Worst'!$F$3:$F$32,'Assumption-Worst'!$A$3:$A$32,$B31,'Assumption-Worst'!$B$3:$B$32,$C31)</f>
        <v>2.0000000000000001E-4</v>
      </c>
      <c r="L31" s="14">
        <f t="shared" si="3"/>
        <v>2569.9266117000002</v>
      </c>
      <c r="M31" s="94">
        <f t="shared" si="4"/>
        <v>29040.170712210002</v>
      </c>
      <c r="N31" s="92">
        <f>SUMIFS('Assumption-Worst'!$G$3:$G$32,'Assumption-Worst'!$A$3:$A$32,$B31,'Assumption-Worst'!$B$3:$B$32,$C31)</f>
        <v>0.45</v>
      </c>
      <c r="O31" s="14">
        <f t="shared" si="5"/>
        <v>17347.004628975003</v>
      </c>
      <c r="P31" s="94">
        <f t="shared" si="6"/>
        <v>11693.166083234999</v>
      </c>
    </row>
    <row r="32" spans="1:16" x14ac:dyDescent="0.35">
      <c r="A32" s="91" t="str">
        <f>LEFT('2025 actual v budget'!A32,4)&amp;"26"</f>
        <v>Jan-26</v>
      </c>
      <c r="B32" s="12" t="str">
        <f>'2025 actual v budget'!B32</f>
        <v>USA</v>
      </c>
      <c r="C32" s="12" t="str">
        <f>'2025 actual v budget'!C32</f>
        <v>Virtual Accounts</v>
      </c>
      <c r="D32" s="14">
        <f>'2025 actual v budget'!D32</f>
        <v>17896354.809999999</v>
      </c>
      <c r="E32" s="92">
        <f>SUMIFS('Assumption-Worst'!$C$3:$C$32,'Assumption-Worst'!$A$3:$A$32,$B32,'Assumption-Worst'!$B$3:$B$32,$C32)</f>
        <v>0.05</v>
      </c>
      <c r="F32" s="14">
        <f t="shared" si="0"/>
        <v>18791172.550499998</v>
      </c>
      <c r="G32" s="93">
        <f>SUMIFS('Assumption-Worst'!$D$3:$D$32,'Assumption-Worst'!$A$3:$A$32,$B32,'Assumption-Worst'!$B$3:$B$32,$C32)</f>
        <v>4.4999999999999997E-3</v>
      </c>
      <c r="H32" s="94">
        <f t="shared" si="1"/>
        <v>84560.27647724998</v>
      </c>
      <c r="I32" s="92">
        <f>SUMIFS('Assumption-Worst'!$E$3:$E$32,'Assumption-Worst'!$A$3:$A$32,$B32,'Assumption-Worst'!$B$3:$B$32,$C32)</f>
        <v>0.22</v>
      </c>
      <c r="J32" s="14">
        <f t="shared" si="2"/>
        <v>18603.260824994995</v>
      </c>
      <c r="K32" s="95">
        <f>SUMIFS('Assumption-Worst'!$F$3:$F$32,'Assumption-Worst'!$A$3:$A$32,$B32,'Assumption-Worst'!$B$3:$B$32,$C32)</f>
        <v>2.0000000000000001E-4</v>
      </c>
      <c r="L32" s="14">
        <f t="shared" si="3"/>
        <v>3758.2345100999996</v>
      </c>
      <c r="M32" s="94">
        <f t="shared" si="4"/>
        <v>62198.781142154978</v>
      </c>
      <c r="N32" s="92">
        <f>SUMIFS('Assumption-Worst'!$G$3:$G$32,'Assumption-Worst'!$A$3:$A$32,$B32,'Assumption-Worst'!$B$3:$B$32,$C32)</f>
        <v>0.45</v>
      </c>
      <c r="O32" s="14">
        <f t="shared" si="5"/>
        <v>38052.124414762489</v>
      </c>
      <c r="P32" s="94">
        <f t="shared" si="6"/>
        <v>24146.656727392488</v>
      </c>
    </row>
    <row r="33" spans="1:16" x14ac:dyDescent="0.35">
      <c r="A33" s="96" t="str">
        <f>LEFT('2025 actual v budget'!A33,4)&amp;"26"</f>
        <v>Feb-26</v>
      </c>
      <c r="B33" s="17" t="str">
        <f>'2025 actual v budget'!B33</f>
        <v>Brazil</v>
      </c>
      <c r="C33" s="17" t="str">
        <f>'2025 actual v budget'!C33</f>
        <v>Cross-border Payouts</v>
      </c>
      <c r="D33" s="19">
        <f>'2025 actual v budget'!D33</f>
        <v>11369618.029999999</v>
      </c>
      <c r="E33" s="97">
        <f>SUMIFS('Assumption-Worst'!$C$3:$C$32,'Assumption-Worst'!$A$3:$A$32,$B33,'Assumption-Worst'!$B$3:$B$32,$C33)</f>
        <v>0.1</v>
      </c>
      <c r="F33" s="19">
        <f t="shared" si="0"/>
        <v>12506579.833000001</v>
      </c>
      <c r="G33" s="98">
        <f>SUMIFS('Assumption-Worst'!$D$3:$D$32,'Assumption-Worst'!$A$3:$A$32,$B33,'Assumption-Worst'!$B$3:$B$32,$C33)</f>
        <v>7.4999999999999997E-3</v>
      </c>
      <c r="H33" s="99">
        <f t="shared" si="1"/>
        <v>93799.3487475</v>
      </c>
      <c r="I33" s="97">
        <f>SUMIFS('Assumption-Worst'!$E$3:$E$32,'Assumption-Worst'!$A$3:$A$32,$B33,'Assumption-Worst'!$B$3:$B$32,$C33)</f>
        <v>0.35</v>
      </c>
      <c r="J33" s="19">
        <f t="shared" si="2"/>
        <v>32829.772061625001</v>
      </c>
      <c r="K33" s="100">
        <f>SUMIFS('Assumption-Worst'!$F$3:$F$32,'Assumption-Worst'!$A$3:$A$32,$B33,'Assumption-Worst'!$B$3:$B$32,$C33)</f>
        <v>6.9999999999999994E-5</v>
      </c>
      <c r="L33" s="19">
        <f t="shared" si="3"/>
        <v>875.46058830999993</v>
      </c>
      <c r="M33" s="99">
        <f t="shared" si="4"/>
        <v>60094.116097564998</v>
      </c>
      <c r="N33" s="97">
        <f>SUMIFS('Assumption-Worst'!$G$3:$G$32,'Assumption-Worst'!$A$3:$A$32,$B33,'Assumption-Worst'!$B$3:$B$32,$C33)</f>
        <v>0.45</v>
      </c>
      <c r="O33" s="19">
        <f t="shared" si="5"/>
        <v>42209.706936374998</v>
      </c>
      <c r="P33" s="99">
        <f t="shared" si="6"/>
        <v>17884.40916119</v>
      </c>
    </row>
    <row r="34" spans="1:16" x14ac:dyDescent="0.35">
      <c r="A34" s="96" t="str">
        <f>LEFT('2025 actual v budget'!A34,4)&amp;"26"</f>
        <v>Feb-26</v>
      </c>
      <c r="B34" s="17" t="str">
        <f>'2025 actual v budget'!B34</f>
        <v>Brazil</v>
      </c>
      <c r="C34" s="17" t="str">
        <f>'2025 actual v budget'!C34</f>
        <v>FX Conversion</v>
      </c>
      <c r="D34" s="19">
        <f>'2025 actual v budget'!D34</f>
        <v>18160814.719999999</v>
      </c>
      <c r="E34" s="97">
        <f>SUMIFS('Assumption-Worst'!$C$3:$C$32,'Assumption-Worst'!$A$3:$A$32,$B34,'Assumption-Worst'!$B$3:$B$32,$C34)</f>
        <v>0.1</v>
      </c>
      <c r="F34" s="19">
        <f t="shared" si="0"/>
        <v>19976896.192000002</v>
      </c>
      <c r="G34" s="98">
        <f>SUMIFS('Assumption-Worst'!$D$3:$D$32,'Assumption-Worst'!$A$3:$A$32,$B34,'Assumption-Worst'!$B$3:$B$32,$C34)</f>
        <v>1.0500000000000001E-2</v>
      </c>
      <c r="H34" s="99">
        <f t="shared" si="1"/>
        <v>209757.41001600004</v>
      </c>
      <c r="I34" s="97">
        <f>SUMIFS('Assumption-Worst'!$E$3:$E$32,'Assumption-Worst'!$A$3:$A$32,$B34,'Assumption-Worst'!$B$3:$B$32,$C34)</f>
        <v>0.28000000000000003</v>
      </c>
      <c r="J34" s="19">
        <f t="shared" si="2"/>
        <v>58732.074804480013</v>
      </c>
      <c r="K34" s="100">
        <f>SUMIFS('Assumption-Worst'!$F$3:$F$32,'Assumption-Worst'!$A$3:$A$32,$B34,'Assumption-Worst'!$B$3:$B$32,$C34)</f>
        <v>6.9999999999999994E-5</v>
      </c>
      <c r="L34" s="19">
        <f t="shared" si="3"/>
        <v>1398.38273344</v>
      </c>
      <c r="M34" s="99">
        <f t="shared" si="4"/>
        <v>149626.95247808003</v>
      </c>
      <c r="N34" s="97">
        <f>SUMIFS('Assumption-Worst'!$G$3:$G$32,'Assumption-Worst'!$A$3:$A$32,$B34,'Assumption-Worst'!$B$3:$B$32,$C34)</f>
        <v>0.45</v>
      </c>
      <c r="O34" s="19">
        <f t="shared" si="5"/>
        <v>94390.834507200023</v>
      </c>
      <c r="P34" s="99">
        <f t="shared" si="6"/>
        <v>55236.117970880005</v>
      </c>
    </row>
    <row r="35" spans="1:16" x14ac:dyDescent="0.35">
      <c r="A35" s="96" t="str">
        <f>LEFT('2025 actual v budget'!A35,4)&amp;"26"</f>
        <v>Feb-26</v>
      </c>
      <c r="B35" s="17" t="str">
        <f>'2025 actual v budget'!B35</f>
        <v>Brazil</v>
      </c>
      <c r="C35" s="17" t="str">
        <f>'2025 actual v budget'!C35</f>
        <v>Stablecoin Settlement</v>
      </c>
      <c r="D35" s="19">
        <f>'2025 actual v budget'!D35</f>
        <v>26833248.969999999</v>
      </c>
      <c r="E35" s="97">
        <f>SUMIFS('Assumption-Worst'!$C$3:$C$32,'Assumption-Worst'!$A$3:$A$32,$B35,'Assumption-Worst'!$B$3:$B$32,$C35)</f>
        <v>0.2</v>
      </c>
      <c r="F35" s="19">
        <f t="shared" si="0"/>
        <v>32199898.763999999</v>
      </c>
      <c r="G35" s="98">
        <f>SUMIFS('Assumption-Worst'!$D$3:$D$32,'Assumption-Worst'!$A$3:$A$32,$B35,'Assumption-Worst'!$B$3:$B$32,$C35)</f>
        <v>6.4999999999999997E-3</v>
      </c>
      <c r="H35" s="99">
        <f t="shared" si="1"/>
        <v>209299.34196599998</v>
      </c>
      <c r="I35" s="97">
        <f>SUMIFS('Assumption-Worst'!$E$3:$E$32,'Assumption-Worst'!$A$3:$A$32,$B35,'Assumption-Worst'!$B$3:$B$32,$C35)</f>
        <v>0.32</v>
      </c>
      <c r="J35" s="19">
        <f t="shared" si="2"/>
        <v>66975.789429119992</v>
      </c>
      <c r="K35" s="100">
        <f>SUMIFS('Assumption-Worst'!$F$3:$F$32,'Assumption-Worst'!$A$3:$A$32,$B35,'Assumption-Worst'!$B$3:$B$32,$C35)</f>
        <v>6.9999999999999994E-5</v>
      </c>
      <c r="L35" s="19">
        <f t="shared" si="3"/>
        <v>2253.9929134799995</v>
      </c>
      <c r="M35" s="99">
        <f t="shared" si="4"/>
        <v>140069.55962339998</v>
      </c>
      <c r="N35" s="97">
        <f>SUMIFS('Assumption-Worst'!$G$3:$G$32,'Assumption-Worst'!$A$3:$A$32,$B35,'Assumption-Worst'!$B$3:$B$32,$C35)</f>
        <v>0.45</v>
      </c>
      <c r="O35" s="19">
        <f t="shared" si="5"/>
        <v>94184.703884699993</v>
      </c>
      <c r="P35" s="99">
        <f t="shared" si="6"/>
        <v>45884.855738699989</v>
      </c>
    </row>
    <row r="36" spans="1:16" x14ac:dyDescent="0.35">
      <c r="A36" s="96" t="str">
        <f>LEFT('2025 actual v budget'!A36,4)&amp;"26"</f>
        <v>Feb-26</v>
      </c>
      <c r="B36" s="17" t="str">
        <f>'2025 actual v budget'!B36</f>
        <v>Brazil</v>
      </c>
      <c r="C36" s="17" t="str">
        <f>'2025 actual v budget'!C36</f>
        <v>Treasury Yield</v>
      </c>
      <c r="D36" s="19">
        <f>'2025 actual v budget'!D36</f>
        <v>7516502.7199999997</v>
      </c>
      <c r="E36" s="97">
        <f>SUMIFS('Assumption-Worst'!$C$3:$C$32,'Assumption-Worst'!$A$3:$A$32,$B36,'Assumption-Worst'!$B$3:$B$32,$C36)</f>
        <v>0.1</v>
      </c>
      <c r="F36" s="19">
        <f t="shared" si="0"/>
        <v>8268152.9920000006</v>
      </c>
      <c r="G36" s="98">
        <f>SUMIFS('Assumption-Worst'!$D$3:$D$32,'Assumption-Worst'!$A$3:$A$32,$B36,'Assumption-Worst'!$B$3:$B$32,$C36)</f>
        <v>3.0000000000000001E-3</v>
      </c>
      <c r="H36" s="99">
        <f t="shared" si="1"/>
        <v>24804.458976000002</v>
      </c>
      <c r="I36" s="97">
        <f>SUMIFS('Assumption-Worst'!$E$3:$E$32,'Assumption-Worst'!$A$3:$A$32,$B36,'Assumption-Worst'!$B$3:$B$32,$C36)</f>
        <v>0.18</v>
      </c>
      <c r="J36" s="19">
        <f t="shared" si="2"/>
        <v>4464.8026156799997</v>
      </c>
      <c r="K36" s="100">
        <f>SUMIFS('Assumption-Worst'!$F$3:$F$32,'Assumption-Worst'!$A$3:$A$32,$B36,'Assumption-Worst'!$B$3:$B$32,$C36)</f>
        <v>6.9999999999999994E-5</v>
      </c>
      <c r="L36" s="19">
        <f t="shared" si="3"/>
        <v>578.77070944000002</v>
      </c>
      <c r="M36" s="99">
        <f t="shared" si="4"/>
        <v>19760.885650880002</v>
      </c>
      <c r="N36" s="97">
        <f>SUMIFS('Assumption-Worst'!$G$3:$G$32,'Assumption-Worst'!$A$3:$A$32,$B36,'Assumption-Worst'!$B$3:$B$32,$C36)</f>
        <v>0.45</v>
      </c>
      <c r="O36" s="19">
        <f t="shared" si="5"/>
        <v>11162.006539200001</v>
      </c>
      <c r="P36" s="99">
        <f t="shared" si="6"/>
        <v>8598.8791116800003</v>
      </c>
    </row>
    <row r="37" spans="1:16" x14ac:dyDescent="0.35">
      <c r="A37" s="96" t="str">
        <f>LEFT('2025 actual v budget'!A37,4)&amp;"26"</f>
        <v>Feb-26</v>
      </c>
      <c r="B37" s="17" t="str">
        <f>'2025 actual v budget'!B37</f>
        <v>Brazil</v>
      </c>
      <c r="C37" s="17" t="str">
        <f>'2025 actual v budget'!C37</f>
        <v>Virtual Accounts</v>
      </c>
      <c r="D37" s="19">
        <f>'2025 actual v budget'!D37</f>
        <v>10915992.92</v>
      </c>
      <c r="E37" s="97">
        <f>SUMIFS('Assumption-Worst'!$C$3:$C$32,'Assumption-Worst'!$A$3:$A$32,$B37,'Assumption-Worst'!$B$3:$B$32,$C37)</f>
        <v>0.1</v>
      </c>
      <c r="F37" s="19">
        <f t="shared" si="0"/>
        <v>12007592.212000001</v>
      </c>
      <c r="G37" s="98">
        <f>SUMIFS('Assumption-Worst'!$D$3:$D$32,'Assumption-Worst'!$A$3:$A$32,$B37,'Assumption-Worst'!$B$3:$B$32,$C37)</f>
        <v>4.4999999999999997E-3</v>
      </c>
      <c r="H37" s="99">
        <f t="shared" si="1"/>
        <v>54034.164954</v>
      </c>
      <c r="I37" s="97">
        <f>SUMIFS('Assumption-Worst'!$E$3:$E$32,'Assumption-Worst'!$A$3:$A$32,$B37,'Assumption-Worst'!$B$3:$B$32,$C37)</f>
        <v>0.22</v>
      </c>
      <c r="J37" s="19">
        <f t="shared" si="2"/>
        <v>11887.516289880001</v>
      </c>
      <c r="K37" s="100">
        <f>SUMIFS('Assumption-Worst'!$F$3:$F$32,'Assumption-Worst'!$A$3:$A$32,$B37,'Assumption-Worst'!$B$3:$B$32,$C37)</f>
        <v>6.9999999999999994E-5</v>
      </c>
      <c r="L37" s="19">
        <f t="shared" si="3"/>
        <v>840.53145484000004</v>
      </c>
      <c r="M37" s="99">
        <f t="shared" si="4"/>
        <v>41306.117209280004</v>
      </c>
      <c r="N37" s="97">
        <f>SUMIFS('Assumption-Worst'!$G$3:$G$32,'Assumption-Worst'!$A$3:$A$32,$B37,'Assumption-Worst'!$B$3:$B$32,$C37)</f>
        <v>0.45</v>
      </c>
      <c r="O37" s="19">
        <f t="shared" si="5"/>
        <v>24315.3742293</v>
      </c>
      <c r="P37" s="99">
        <f t="shared" si="6"/>
        <v>16990.742979980005</v>
      </c>
    </row>
    <row r="38" spans="1:16" x14ac:dyDescent="0.35">
      <c r="A38" s="96" t="str">
        <f>LEFT('2025 actual v budget'!A38,4)&amp;"26"</f>
        <v>Feb-26</v>
      </c>
      <c r="B38" s="17" t="str">
        <f>'2025 actual v budget'!B38</f>
        <v>Germany</v>
      </c>
      <c r="C38" s="17" t="str">
        <f>'2025 actual v budget'!C38</f>
        <v>Cross-border Payouts</v>
      </c>
      <c r="D38" s="19">
        <f>'2025 actual v budget'!D38</f>
        <v>6056170.79</v>
      </c>
      <c r="E38" s="97">
        <f>SUMIFS('Assumption-Worst'!$C$3:$C$32,'Assumption-Worst'!$A$3:$A$32,$B38,'Assumption-Worst'!$B$3:$B$32,$C38)</f>
        <v>0.03</v>
      </c>
      <c r="F38" s="19">
        <f t="shared" si="0"/>
        <v>6237855.9137000004</v>
      </c>
      <c r="G38" s="98">
        <f>SUMIFS('Assumption-Worst'!$D$3:$D$32,'Assumption-Worst'!$A$3:$A$32,$B38,'Assumption-Worst'!$B$3:$B$32,$C38)</f>
        <v>7.4999999999999997E-3</v>
      </c>
      <c r="H38" s="99">
        <f t="shared" si="1"/>
        <v>46783.919352750003</v>
      </c>
      <c r="I38" s="97">
        <f>SUMIFS('Assumption-Worst'!$E$3:$E$32,'Assumption-Worst'!$A$3:$A$32,$B38,'Assumption-Worst'!$B$3:$B$32,$C38)</f>
        <v>0.35</v>
      </c>
      <c r="J38" s="19">
        <f t="shared" si="2"/>
        <v>16374.371773462501</v>
      </c>
      <c r="K38" s="100">
        <f>SUMIFS('Assumption-Worst'!$F$3:$F$32,'Assumption-Worst'!$A$3:$A$32,$B38,'Assumption-Worst'!$B$3:$B$32,$C38)</f>
        <v>1.4999999999999999E-4</v>
      </c>
      <c r="L38" s="19">
        <f t="shared" si="3"/>
        <v>935.67838705500003</v>
      </c>
      <c r="M38" s="99">
        <f t="shared" si="4"/>
        <v>29473.869192232502</v>
      </c>
      <c r="N38" s="97">
        <f>SUMIFS('Assumption-Worst'!$G$3:$G$32,'Assumption-Worst'!$A$3:$A$32,$B38,'Assumption-Worst'!$B$3:$B$32,$C38)</f>
        <v>0.45</v>
      </c>
      <c r="O38" s="19">
        <f t="shared" si="5"/>
        <v>21052.763708737501</v>
      </c>
      <c r="P38" s="99">
        <f t="shared" si="6"/>
        <v>8421.105483495001</v>
      </c>
    </row>
    <row r="39" spans="1:16" x14ac:dyDescent="0.35">
      <c r="A39" s="96" t="str">
        <f>LEFT('2025 actual v budget'!A39,4)&amp;"26"</f>
        <v>Feb-26</v>
      </c>
      <c r="B39" s="17" t="str">
        <f>'2025 actual v budget'!B39</f>
        <v>Germany</v>
      </c>
      <c r="C39" s="17" t="str">
        <f>'2025 actual v budget'!C39</f>
        <v>FX Conversion</v>
      </c>
      <c r="D39" s="19">
        <f>'2025 actual v budget'!D39</f>
        <v>9672714.25</v>
      </c>
      <c r="E39" s="97">
        <f>SUMIFS('Assumption-Worst'!$C$3:$C$32,'Assumption-Worst'!$A$3:$A$32,$B39,'Assumption-Worst'!$B$3:$B$32,$C39)</f>
        <v>0.03</v>
      </c>
      <c r="F39" s="19">
        <f t="shared" si="0"/>
        <v>9962895.6775000002</v>
      </c>
      <c r="G39" s="98">
        <f>SUMIFS('Assumption-Worst'!$D$3:$D$32,'Assumption-Worst'!$A$3:$A$32,$B39,'Assumption-Worst'!$B$3:$B$32,$C39)</f>
        <v>1.0500000000000001E-2</v>
      </c>
      <c r="H39" s="99">
        <f t="shared" si="1"/>
        <v>104610.40461375001</v>
      </c>
      <c r="I39" s="97">
        <f>SUMIFS('Assumption-Worst'!$E$3:$E$32,'Assumption-Worst'!$A$3:$A$32,$B39,'Assumption-Worst'!$B$3:$B$32,$C39)</f>
        <v>0.28000000000000003</v>
      </c>
      <c r="J39" s="19">
        <f t="shared" si="2"/>
        <v>29290.913291850007</v>
      </c>
      <c r="K39" s="100">
        <f>SUMIFS('Assumption-Worst'!$F$3:$F$32,'Assumption-Worst'!$A$3:$A$32,$B39,'Assumption-Worst'!$B$3:$B$32,$C39)</f>
        <v>1.4999999999999999E-4</v>
      </c>
      <c r="L39" s="19">
        <f t="shared" si="3"/>
        <v>1494.4343516249999</v>
      </c>
      <c r="M39" s="99">
        <f t="shared" si="4"/>
        <v>73825.056970275007</v>
      </c>
      <c r="N39" s="97">
        <f>SUMIFS('Assumption-Worst'!$G$3:$G$32,'Assumption-Worst'!$A$3:$A$32,$B39,'Assumption-Worst'!$B$3:$B$32,$C39)</f>
        <v>0.45</v>
      </c>
      <c r="O39" s="19">
        <f t="shared" si="5"/>
        <v>47074.682076187506</v>
      </c>
      <c r="P39" s="99">
        <f t="shared" si="6"/>
        <v>26750.374894087501</v>
      </c>
    </row>
    <row r="40" spans="1:16" x14ac:dyDescent="0.35">
      <c r="A40" s="96" t="str">
        <f>LEFT('2025 actual v budget'!A40,4)&amp;"26"</f>
        <v>Feb-26</v>
      </c>
      <c r="B40" s="17" t="str">
        <f>'2025 actual v budget'!B40</f>
        <v>Germany</v>
      </c>
      <c r="C40" s="17" t="str">
        <f>'2025 actual v budget'!C40</f>
        <v>Stablecoin Settlement</v>
      </c>
      <c r="D40" s="19">
        <f>'2025 actual v budget'!D40</f>
        <v>14293069.300000001</v>
      </c>
      <c r="E40" s="97">
        <f>SUMIFS('Assumption-Worst'!$C$3:$C$32,'Assumption-Worst'!$A$3:$A$32,$B40,'Assumption-Worst'!$B$3:$B$32,$C40)</f>
        <v>0.06</v>
      </c>
      <c r="F40" s="19">
        <f t="shared" si="0"/>
        <v>15150653.458000002</v>
      </c>
      <c r="G40" s="98">
        <f>SUMIFS('Assumption-Worst'!$D$3:$D$32,'Assumption-Worst'!$A$3:$A$32,$B40,'Assumption-Worst'!$B$3:$B$32,$C40)</f>
        <v>6.4999999999999997E-3</v>
      </c>
      <c r="H40" s="99">
        <f t="shared" si="1"/>
        <v>98479.247477000012</v>
      </c>
      <c r="I40" s="97">
        <f>SUMIFS('Assumption-Worst'!$E$3:$E$32,'Assumption-Worst'!$A$3:$A$32,$B40,'Assumption-Worst'!$B$3:$B$32,$C40)</f>
        <v>0.32</v>
      </c>
      <c r="J40" s="19">
        <f t="shared" si="2"/>
        <v>31513.359192640004</v>
      </c>
      <c r="K40" s="100">
        <f>SUMIFS('Assumption-Worst'!$F$3:$F$32,'Assumption-Worst'!$A$3:$A$32,$B40,'Assumption-Worst'!$B$3:$B$32,$C40)</f>
        <v>1.4999999999999999E-4</v>
      </c>
      <c r="L40" s="19">
        <f t="shared" si="3"/>
        <v>2272.5980187</v>
      </c>
      <c r="M40" s="99">
        <f t="shared" si="4"/>
        <v>64693.290265659998</v>
      </c>
      <c r="N40" s="97">
        <f>SUMIFS('Assumption-Worst'!$G$3:$G$32,'Assumption-Worst'!$A$3:$A$32,$B40,'Assumption-Worst'!$B$3:$B$32,$C40)</f>
        <v>0.45</v>
      </c>
      <c r="O40" s="19">
        <f t="shared" si="5"/>
        <v>44315.661364650005</v>
      </c>
      <c r="P40" s="99">
        <f t="shared" si="6"/>
        <v>20377.628901009994</v>
      </c>
    </row>
    <row r="41" spans="1:16" x14ac:dyDescent="0.35">
      <c r="A41" s="96" t="str">
        <f>LEFT('2025 actual v budget'!A41,4)&amp;"26"</f>
        <v>Feb-26</v>
      </c>
      <c r="B41" s="17" t="str">
        <f>'2025 actual v budget'!B41</f>
        <v>Germany</v>
      </c>
      <c r="C41" s="17" t="str">
        <f>'2025 actual v budget'!C41</f>
        <v>Treasury Yield</v>
      </c>
      <c r="D41" s="19">
        <f>'2025 actual v budget'!D41</f>
        <v>4003398.75</v>
      </c>
      <c r="E41" s="97">
        <f>SUMIFS('Assumption-Worst'!$C$3:$C$32,'Assumption-Worst'!$A$3:$A$32,$B41,'Assumption-Worst'!$B$3:$B$32,$C41)</f>
        <v>0.03</v>
      </c>
      <c r="F41" s="19">
        <f t="shared" si="0"/>
        <v>4123500.7124999999</v>
      </c>
      <c r="G41" s="98">
        <f>SUMIFS('Assumption-Worst'!$D$3:$D$32,'Assumption-Worst'!$A$3:$A$32,$B41,'Assumption-Worst'!$B$3:$B$32,$C41)</f>
        <v>3.0000000000000001E-3</v>
      </c>
      <c r="H41" s="99">
        <f t="shared" si="1"/>
        <v>12370.5021375</v>
      </c>
      <c r="I41" s="97">
        <f>SUMIFS('Assumption-Worst'!$E$3:$E$32,'Assumption-Worst'!$A$3:$A$32,$B41,'Assumption-Worst'!$B$3:$B$32,$C41)</f>
        <v>0.18</v>
      </c>
      <c r="J41" s="19">
        <f t="shared" si="2"/>
        <v>2226.6903847499998</v>
      </c>
      <c r="K41" s="100">
        <f>SUMIFS('Assumption-Worst'!$F$3:$F$32,'Assumption-Worst'!$A$3:$A$32,$B41,'Assumption-Worst'!$B$3:$B$32,$C41)</f>
        <v>1.4999999999999999E-4</v>
      </c>
      <c r="L41" s="19">
        <f t="shared" si="3"/>
        <v>618.52510687499989</v>
      </c>
      <c r="M41" s="99">
        <f t="shared" si="4"/>
        <v>9525.2866458749995</v>
      </c>
      <c r="N41" s="97">
        <f>SUMIFS('Assumption-Worst'!$G$3:$G$32,'Assumption-Worst'!$A$3:$A$32,$B41,'Assumption-Worst'!$B$3:$B$32,$C41)</f>
        <v>0.45</v>
      </c>
      <c r="O41" s="19">
        <f t="shared" si="5"/>
        <v>5566.7259618750004</v>
      </c>
      <c r="P41" s="99">
        <f t="shared" si="6"/>
        <v>3958.5606839999991</v>
      </c>
    </row>
    <row r="42" spans="1:16" x14ac:dyDescent="0.35">
      <c r="A42" s="96" t="str">
        <f>LEFT('2025 actual v budget'!A42,4)&amp;"26"</f>
        <v>Feb-26</v>
      </c>
      <c r="B42" s="17" t="str">
        <f>'2025 actual v budget'!B42</f>
        <v>Germany</v>
      </c>
      <c r="C42" s="17" t="str">
        <f>'2025 actual v budget'!C42</f>
        <v>Virtual Accounts</v>
      </c>
      <c r="D42" s="19">
        <f>'2025 actual v budget'!D42</f>
        <v>5814016.71</v>
      </c>
      <c r="E42" s="97">
        <f>SUMIFS('Assumption-Worst'!$C$3:$C$32,'Assumption-Worst'!$A$3:$A$32,$B42,'Assumption-Worst'!$B$3:$B$32,$C42)</f>
        <v>0.03</v>
      </c>
      <c r="F42" s="19">
        <f t="shared" si="0"/>
        <v>5988437.2113000005</v>
      </c>
      <c r="G42" s="98">
        <f>SUMIFS('Assumption-Worst'!$D$3:$D$32,'Assumption-Worst'!$A$3:$A$32,$B42,'Assumption-Worst'!$B$3:$B$32,$C42)</f>
        <v>4.4999999999999997E-3</v>
      </c>
      <c r="H42" s="99">
        <f t="shared" si="1"/>
        <v>26947.967450849999</v>
      </c>
      <c r="I42" s="97">
        <f>SUMIFS('Assumption-Worst'!$E$3:$E$32,'Assumption-Worst'!$A$3:$A$32,$B42,'Assumption-Worst'!$B$3:$B$32,$C42)</f>
        <v>0.22</v>
      </c>
      <c r="J42" s="19">
        <f t="shared" si="2"/>
        <v>5928.5528391870002</v>
      </c>
      <c r="K42" s="100">
        <f>SUMIFS('Assumption-Worst'!$F$3:$F$32,'Assumption-Worst'!$A$3:$A$32,$B42,'Assumption-Worst'!$B$3:$B$32,$C42)</f>
        <v>1.4999999999999999E-4</v>
      </c>
      <c r="L42" s="19">
        <f t="shared" si="3"/>
        <v>898.26558169500004</v>
      </c>
      <c r="M42" s="99">
        <f t="shared" si="4"/>
        <v>20121.149029968001</v>
      </c>
      <c r="N42" s="97">
        <f>SUMIFS('Assumption-Worst'!$G$3:$G$32,'Assumption-Worst'!$A$3:$A$32,$B42,'Assumption-Worst'!$B$3:$B$32,$C42)</f>
        <v>0.45</v>
      </c>
      <c r="O42" s="19">
        <f t="shared" si="5"/>
        <v>12126.585352882499</v>
      </c>
      <c r="P42" s="99">
        <f t="shared" si="6"/>
        <v>7994.5636770855017</v>
      </c>
    </row>
    <row r="43" spans="1:16" x14ac:dyDescent="0.35">
      <c r="A43" s="96" t="str">
        <f>LEFT('2025 actual v budget'!A43,4)&amp;"26"</f>
        <v>Feb-26</v>
      </c>
      <c r="B43" s="17" t="str">
        <f>'2025 actual v budget'!B43</f>
        <v>India</v>
      </c>
      <c r="C43" s="17" t="str">
        <f>'2025 actual v budget'!C43</f>
        <v>Cross-border Payouts</v>
      </c>
      <c r="D43" s="19">
        <f>'2025 actual v budget'!D43</f>
        <v>7377669.6500000004</v>
      </c>
      <c r="E43" s="97">
        <f>SUMIFS('Assumption-Worst'!$C$3:$C$32,'Assumption-Worst'!$A$3:$A$32,$B43,'Assumption-Worst'!$B$3:$B$32,$C43)</f>
        <v>0.06</v>
      </c>
      <c r="F43" s="19">
        <f t="shared" si="0"/>
        <v>7820329.8290000008</v>
      </c>
      <c r="G43" s="98">
        <f>SUMIFS('Assumption-Worst'!$D$3:$D$32,'Assumption-Worst'!$A$3:$A$32,$B43,'Assumption-Worst'!$B$3:$B$32,$C43)</f>
        <v>7.4999999999999997E-3</v>
      </c>
      <c r="H43" s="99">
        <f t="shared" si="1"/>
        <v>58652.473717500005</v>
      </c>
      <c r="I43" s="97">
        <f>SUMIFS('Assumption-Worst'!$E$3:$E$32,'Assumption-Worst'!$A$3:$A$32,$B43,'Assumption-Worst'!$B$3:$B$32,$C43)</f>
        <v>0.35</v>
      </c>
      <c r="J43" s="19">
        <f t="shared" si="2"/>
        <v>20528.365801125001</v>
      </c>
      <c r="K43" s="100">
        <f>SUMIFS('Assumption-Worst'!$F$3:$F$32,'Assumption-Worst'!$A$3:$A$32,$B43,'Assumption-Worst'!$B$3:$B$32,$C43)</f>
        <v>1.8000000000000001E-4</v>
      </c>
      <c r="L43" s="19">
        <f t="shared" si="3"/>
        <v>1407.6593692200001</v>
      </c>
      <c r="M43" s="99">
        <f t="shared" si="4"/>
        <v>36716.448547155007</v>
      </c>
      <c r="N43" s="97">
        <f>SUMIFS('Assumption-Worst'!$G$3:$G$32,'Assumption-Worst'!$A$3:$A$32,$B43,'Assumption-Worst'!$B$3:$B$32,$C43)</f>
        <v>0.45</v>
      </c>
      <c r="O43" s="19">
        <f t="shared" si="5"/>
        <v>26393.613172875004</v>
      </c>
      <c r="P43" s="99">
        <f t="shared" si="6"/>
        <v>10322.835374280003</v>
      </c>
    </row>
    <row r="44" spans="1:16" x14ac:dyDescent="0.35">
      <c r="A44" s="96" t="str">
        <f>LEFT('2025 actual v budget'!A44,4)&amp;"26"</f>
        <v>Feb-26</v>
      </c>
      <c r="B44" s="17" t="str">
        <f>'2025 actual v budget'!B44</f>
        <v>India</v>
      </c>
      <c r="C44" s="17" t="str">
        <f>'2025 actual v budget'!C44</f>
        <v>FX Conversion</v>
      </c>
      <c r="D44" s="19">
        <f>'2025 actual v budget'!D44</f>
        <v>11784949.17</v>
      </c>
      <c r="E44" s="97">
        <f>SUMIFS('Assumption-Worst'!$C$3:$C$32,'Assumption-Worst'!$A$3:$A$32,$B44,'Assumption-Worst'!$B$3:$B$32,$C44)</f>
        <v>0.06</v>
      </c>
      <c r="F44" s="19">
        <f t="shared" si="0"/>
        <v>12492046.120200001</v>
      </c>
      <c r="G44" s="98">
        <f>SUMIFS('Assumption-Worst'!$D$3:$D$32,'Assumption-Worst'!$A$3:$A$32,$B44,'Assumption-Worst'!$B$3:$B$32,$C44)</f>
        <v>1.0500000000000001E-2</v>
      </c>
      <c r="H44" s="99">
        <f t="shared" si="1"/>
        <v>131166.48426210001</v>
      </c>
      <c r="I44" s="97">
        <f>SUMIFS('Assumption-Worst'!$E$3:$E$32,'Assumption-Worst'!$A$3:$A$32,$B44,'Assumption-Worst'!$B$3:$B$32,$C44)</f>
        <v>0.28000000000000003</v>
      </c>
      <c r="J44" s="19">
        <f t="shared" si="2"/>
        <v>36726.615593388007</v>
      </c>
      <c r="K44" s="100">
        <f>SUMIFS('Assumption-Worst'!$F$3:$F$32,'Assumption-Worst'!$A$3:$A$32,$B44,'Assumption-Worst'!$B$3:$B$32,$C44)</f>
        <v>1.8000000000000001E-4</v>
      </c>
      <c r="L44" s="19">
        <f t="shared" si="3"/>
        <v>2248.5683016360003</v>
      </c>
      <c r="M44" s="99">
        <f t="shared" si="4"/>
        <v>92191.300367076008</v>
      </c>
      <c r="N44" s="97">
        <f>SUMIFS('Assumption-Worst'!$G$3:$G$32,'Assumption-Worst'!$A$3:$A$32,$B44,'Assumption-Worst'!$B$3:$B$32,$C44)</f>
        <v>0.45</v>
      </c>
      <c r="O44" s="19">
        <f t="shared" si="5"/>
        <v>59024.917917945008</v>
      </c>
      <c r="P44" s="99">
        <f t="shared" si="6"/>
        <v>33166.382449131001</v>
      </c>
    </row>
    <row r="45" spans="1:16" x14ac:dyDescent="0.35">
      <c r="A45" s="96" t="str">
        <f>LEFT('2025 actual v budget'!A45,4)&amp;"26"</f>
        <v>Feb-26</v>
      </c>
      <c r="B45" s="17" t="str">
        <f>'2025 actual v budget'!B45</f>
        <v>India</v>
      </c>
      <c r="C45" s="17" t="str">
        <f>'2025 actual v budget'!C45</f>
        <v>Stablecoin Settlement</v>
      </c>
      <c r="D45" s="19">
        <f>'2025 actual v budget'!D45</f>
        <v>17411917.09</v>
      </c>
      <c r="E45" s="97">
        <f>SUMIFS('Assumption-Worst'!$C$3:$C$32,'Assumption-Worst'!$A$3:$A$32,$B45,'Assumption-Worst'!$B$3:$B$32,$C45)</f>
        <v>0.12</v>
      </c>
      <c r="F45" s="19">
        <f t="shared" si="0"/>
        <v>19501347.140800003</v>
      </c>
      <c r="G45" s="98">
        <f>SUMIFS('Assumption-Worst'!$D$3:$D$32,'Assumption-Worst'!$A$3:$A$32,$B45,'Assumption-Worst'!$B$3:$B$32,$C45)</f>
        <v>6.4999999999999997E-3</v>
      </c>
      <c r="H45" s="99">
        <f t="shared" si="1"/>
        <v>126758.75641520001</v>
      </c>
      <c r="I45" s="97">
        <f>SUMIFS('Assumption-Worst'!$E$3:$E$32,'Assumption-Worst'!$A$3:$A$32,$B45,'Assumption-Worst'!$B$3:$B$32,$C45)</f>
        <v>0.32</v>
      </c>
      <c r="J45" s="19">
        <f t="shared" si="2"/>
        <v>40562.802052864005</v>
      </c>
      <c r="K45" s="100">
        <f>SUMIFS('Assumption-Worst'!$F$3:$F$32,'Assumption-Worst'!$A$3:$A$32,$B45,'Assumption-Worst'!$B$3:$B$32,$C45)</f>
        <v>1.8000000000000001E-4</v>
      </c>
      <c r="L45" s="19">
        <f t="shared" si="3"/>
        <v>3510.2424853440007</v>
      </c>
      <c r="M45" s="99">
        <f t="shared" si="4"/>
        <v>82685.711876992005</v>
      </c>
      <c r="N45" s="97">
        <f>SUMIFS('Assumption-Worst'!$G$3:$G$32,'Assumption-Worst'!$A$3:$A$32,$B45,'Assumption-Worst'!$B$3:$B$32,$C45)</f>
        <v>0.45</v>
      </c>
      <c r="O45" s="19">
        <f t="shared" si="5"/>
        <v>57041.440386840004</v>
      </c>
      <c r="P45" s="99">
        <f t="shared" si="6"/>
        <v>25644.271490152001</v>
      </c>
    </row>
    <row r="46" spans="1:16" x14ac:dyDescent="0.35">
      <c r="A46" s="96" t="str">
        <f>LEFT('2025 actual v budget'!A46,4)&amp;"26"</f>
        <v>Feb-26</v>
      </c>
      <c r="B46" s="17" t="str">
        <f>'2025 actual v budget'!B46</f>
        <v>India</v>
      </c>
      <c r="C46" s="17" t="str">
        <f>'2025 actual v budget'!C46</f>
        <v>Treasury Yield</v>
      </c>
      <c r="D46" s="19">
        <f>'2025 actual v budget'!D46</f>
        <v>4877622.72</v>
      </c>
      <c r="E46" s="97">
        <f>SUMIFS('Assumption-Worst'!$C$3:$C$32,'Assumption-Worst'!$A$3:$A$32,$B46,'Assumption-Worst'!$B$3:$B$32,$C46)</f>
        <v>0.06</v>
      </c>
      <c r="F46" s="19">
        <f t="shared" si="0"/>
        <v>5170280.0832000002</v>
      </c>
      <c r="G46" s="98">
        <f>SUMIFS('Assumption-Worst'!$D$3:$D$32,'Assumption-Worst'!$A$3:$A$32,$B46,'Assumption-Worst'!$B$3:$B$32,$C46)</f>
        <v>3.0000000000000001E-3</v>
      </c>
      <c r="H46" s="99">
        <f t="shared" si="1"/>
        <v>15510.840249600002</v>
      </c>
      <c r="I46" s="97">
        <f>SUMIFS('Assumption-Worst'!$E$3:$E$32,'Assumption-Worst'!$A$3:$A$32,$B46,'Assumption-Worst'!$B$3:$B$32,$C46)</f>
        <v>0.18</v>
      </c>
      <c r="J46" s="19">
        <f t="shared" si="2"/>
        <v>2791.9512449280001</v>
      </c>
      <c r="K46" s="100">
        <f>SUMIFS('Assumption-Worst'!$F$3:$F$32,'Assumption-Worst'!$A$3:$A$32,$B46,'Assumption-Worst'!$B$3:$B$32,$C46)</f>
        <v>1.8000000000000001E-4</v>
      </c>
      <c r="L46" s="19">
        <f t="shared" si="3"/>
        <v>930.65041497600009</v>
      </c>
      <c r="M46" s="99">
        <f t="shared" si="4"/>
        <v>11788.238589696</v>
      </c>
      <c r="N46" s="97">
        <f>SUMIFS('Assumption-Worst'!$G$3:$G$32,'Assumption-Worst'!$A$3:$A$32,$B46,'Assumption-Worst'!$B$3:$B$32,$C46)</f>
        <v>0.45</v>
      </c>
      <c r="O46" s="19">
        <f t="shared" si="5"/>
        <v>6979.8781123200006</v>
      </c>
      <c r="P46" s="99">
        <f t="shared" si="6"/>
        <v>4808.3604773759998</v>
      </c>
    </row>
    <row r="47" spans="1:16" x14ac:dyDescent="0.35">
      <c r="A47" s="96" t="str">
        <f>LEFT('2025 actual v budget'!A47,4)&amp;"26"</f>
        <v>Feb-26</v>
      </c>
      <c r="B47" s="17" t="str">
        <f>'2025 actual v budget'!B47</f>
        <v>India</v>
      </c>
      <c r="C47" s="17" t="str">
        <f>'2025 actual v budget'!C47</f>
        <v>Virtual Accounts</v>
      </c>
      <c r="D47" s="19">
        <f>'2025 actual v budget'!D47</f>
        <v>7083626.1299999999</v>
      </c>
      <c r="E47" s="97">
        <f>SUMIFS('Assumption-Worst'!$C$3:$C$32,'Assumption-Worst'!$A$3:$A$32,$B47,'Assumption-Worst'!$B$3:$B$32,$C47)</f>
        <v>0.06</v>
      </c>
      <c r="F47" s="19">
        <f t="shared" si="0"/>
        <v>7508643.6978000002</v>
      </c>
      <c r="G47" s="98">
        <f>SUMIFS('Assumption-Worst'!$D$3:$D$32,'Assumption-Worst'!$A$3:$A$32,$B47,'Assumption-Worst'!$B$3:$B$32,$C47)</f>
        <v>4.4999999999999997E-3</v>
      </c>
      <c r="H47" s="99">
        <f t="shared" si="1"/>
        <v>33788.8966401</v>
      </c>
      <c r="I47" s="97">
        <f>SUMIFS('Assumption-Worst'!$E$3:$E$32,'Assumption-Worst'!$A$3:$A$32,$B47,'Assumption-Worst'!$B$3:$B$32,$C47)</f>
        <v>0.22</v>
      </c>
      <c r="J47" s="19">
        <f t="shared" si="2"/>
        <v>7433.557260822</v>
      </c>
      <c r="K47" s="100">
        <f>SUMIFS('Assumption-Worst'!$F$3:$F$32,'Assumption-Worst'!$A$3:$A$32,$B47,'Assumption-Worst'!$B$3:$B$32,$C47)</f>
        <v>1.8000000000000001E-4</v>
      </c>
      <c r="L47" s="19">
        <f t="shared" si="3"/>
        <v>1351.555865604</v>
      </c>
      <c r="M47" s="99">
        <f t="shared" si="4"/>
        <v>25003.783513674</v>
      </c>
      <c r="N47" s="97">
        <f>SUMIFS('Assumption-Worst'!$G$3:$G$32,'Assumption-Worst'!$A$3:$A$32,$B47,'Assumption-Worst'!$B$3:$B$32,$C47)</f>
        <v>0.45</v>
      </c>
      <c r="O47" s="19">
        <f t="shared" si="5"/>
        <v>15205.003488045</v>
      </c>
      <c r="P47" s="99">
        <f t="shared" si="6"/>
        <v>9798.7800256289993</v>
      </c>
    </row>
    <row r="48" spans="1:16" x14ac:dyDescent="0.35">
      <c r="A48" s="96" t="str">
        <f>LEFT('2025 actual v budget'!A48,4)&amp;"26"</f>
        <v>Feb-26</v>
      </c>
      <c r="B48" s="17" t="str">
        <f>'2025 actual v budget'!B48</f>
        <v>Mexico</v>
      </c>
      <c r="C48" s="17" t="str">
        <f>'2025 actual v budget'!C48</f>
        <v>Cross-border Payouts</v>
      </c>
      <c r="D48" s="19">
        <f>'2025 actual v budget'!D48</f>
        <v>8975211.5500000007</v>
      </c>
      <c r="E48" s="97">
        <f>SUMIFS('Assumption-Worst'!$C$3:$C$32,'Assumption-Worst'!$A$3:$A$32,$B48,'Assumption-Worst'!$B$3:$B$32,$C48)</f>
        <v>7.4999999999999997E-2</v>
      </c>
      <c r="F48" s="19">
        <f t="shared" si="0"/>
        <v>9648352.4162499998</v>
      </c>
      <c r="G48" s="98">
        <f>SUMIFS('Assumption-Worst'!$D$3:$D$32,'Assumption-Worst'!$A$3:$A$32,$B48,'Assumption-Worst'!$B$3:$B$32,$C48)</f>
        <v>7.4999999999999997E-3</v>
      </c>
      <c r="H48" s="99">
        <f t="shared" si="1"/>
        <v>72362.643121874993</v>
      </c>
      <c r="I48" s="97">
        <f>SUMIFS('Assumption-Worst'!$E$3:$E$32,'Assumption-Worst'!$A$3:$A$32,$B48,'Assumption-Worst'!$B$3:$B$32,$C48)</f>
        <v>0.35</v>
      </c>
      <c r="J48" s="19">
        <f t="shared" si="2"/>
        <v>25326.925092656245</v>
      </c>
      <c r="K48" s="100">
        <f>SUMIFS('Assumption-Worst'!$F$3:$F$32,'Assumption-Worst'!$A$3:$A$32,$B48,'Assumption-Worst'!$B$3:$B$32,$C48)</f>
        <v>8.0000000000000007E-5</v>
      </c>
      <c r="L48" s="19">
        <f t="shared" si="3"/>
        <v>771.86819330000003</v>
      </c>
      <c r="M48" s="99">
        <f t="shared" si="4"/>
        <v>46263.849835918751</v>
      </c>
      <c r="N48" s="97">
        <f>SUMIFS('Assumption-Worst'!$G$3:$G$32,'Assumption-Worst'!$A$3:$A$32,$B48,'Assumption-Worst'!$B$3:$B$32,$C48)</f>
        <v>0.45</v>
      </c>
      <c r="O48" s="19">
        <f t="shared" si="5"/>
        <v>32563.189404843746</v>
      </c>
      <c r="P48" s="99">
        <f t="shared" si="6"/>
        <v>13700.660431075004</v>
      </c>
    </row>
    <row r="49" spans="1:16" x14ac:dyDescent="0.35">
      <c r="A49" s="96" t="str">
        <f>LEFT('2025 actual v budget'!A49,4)&amp;"26"</f>
        <v>Feb-26</v>
      </c>
      <c r="B49" s="17" t="str">
        <f>'2025 actual v budget'!B49</f>
        <v>Mexico</v>
      </c>
      <c r="C49" s="17" t="str">
        <f>'2025 actual v budget'!C49</f>
        <v>FX Conversion</v>
      </c>
      <c r="D49" s="19">
        <f>'2025 actual v budget'!D49</f>
        <v>14336519.16</v>
      </c>
      <c r="E49" s="97">
        <f>SUMIFS('Assumption-Worst'!$C$3:$C$32,'Assumption-Worst'!$A$3:$A$32,$B49,'Assumption-Worst'!$B$3:$B$32,$C49)</f>
        <v>7.4999999999999997E-2</v>
      </c>
      <c r="F49" s="19">
        <f t="shared" si="0"/>
        <v>15411758.096999999</v>
      </c>
      <c r="G49" s="98">
        <f>SUMIFS('Assumption-Worst'!$D$3:$D$32,'Assumption-Worst'!$A$3:$A$32,$B49,'Assumption-Worst'!$B$3:$B$32,$C49)</f>
        <v>1.0500000000000001E-2</v>
      </c>
      <c r="H49" s="99">
        <f t="shared" si="1"/>
        <v>161823.46001849999</v>
      </c>
      <c r="I49" s="97">
        <f>SUMIFS('Assumption-Worst'!$E$3:$E$32,'Assumption-Worst'!$A$3:$A$32,$B49,'Assumption-Worst'!$B$3:$B$32,$C49)</f>
        <v>0.28000000000000003</v>
      </c>
      <c r="J49" s="19">
        <f t="shared" si="2"/>
        <v>45310.568805180003</v>
      </c>
      <c r="K49" s="100">
        <f>SUMIFS('Assumption-Worst'!$F$3:$F$32,'Assumption-Worst'!$A$3:$A$32,$B49,'Assumption-Worst'!$B$3:$B$32,$C49)</f>
        <v>8.0000000000000007E-5</v>
      </c>
      <c r="L49" s="19">
        <f t="shared" si="3"/>
        <v>1232.94064776</v>
      </c>
      <c r="M49" s="99">
        <f t="shared" si="4"/>
        <v>115279.95056555999</v>
      </c>
      <c r="N49" s="97">
        <f>SUMIFS('Assumption-Worst'!$G$3:$G$32,'Assumption-Worst'!$A$3:$A$32,$B49,'Assumption-Worst'!$B$3:$B$32,$C49)</f>
        <v>0.45</v>
      </c>
      <c r="O49" s="19">
        <f t="shared" si="5"/>
        <v>72820.557008324991</v>
      </c>
      <c r="P49" s="99">
        <f t="shared" si="6"/>
        <v>42459.393557235002</v>
      </c>
    </row>
    <row r="50" spans="1:16" x14ac:dyDescent="0.35">
      <c r="A50" s="96" t="str">
        <f>LEFT('2025 actual v budget'!A50,4)&amp;"26"</f>
        <v>Feb-26</v>
      </c>
      <c r="B50" s="17" t="str">
        <f>'2025 actual v budget'!B50</f>
        <v>Mexico</v>
      </c>
      <c r="C50" s="17" t="str">
        <f>'2025 actual v budget'!C50</f>
        <v>Stablecoin Settlement</v>
      </c>
      <c r="D50" s="19">
        <f>'2025 actual v budget'!D50</f>
        <v>21182249.52</v>
      </c>
      <c r="E50" s="97">
        <f>SUMIFS('Assumption-Worst'!$C$3:$C$32,'Assumption-Worst'!$A$3:$A$32,$B50,'Assumption-Worst'!$B$3:$B$32,$C50)</f>
        <v>0.15</v>
      </c>
      <c r="F50" s="19">
        <f t="shared" si="0"/>
        <v>24359586.947999999</v>
      </c>
      <c r="G50" s="98">
        <f>SUMIFS('Assumption-Worst'!$D$3:$D$32,'Assumption-Worst'!$A$3:$A$32,$B50,'Assumption-Worst'!$B$3:$B$32,$C50)</f>
        <v>6.4999999999999997E-3</v>
      </c>
      <c r="H50" s="99">
        <f t="shared" si="1"/>
        <v>158337.31516199998</v>
      </c>
      <c r="I50" s="97">
        <f>SUMIFS('Assumption-Worst'!$E$3:$E$32,'Assumption-Worst'!$A$3:$A$32,$B50,'Assumption-Worst'!$B$3:$B$32,$C50)</f>
        <v>0.32</v>
      </c>
      <c r="J50" s="19">
        <f t="shared" si="2"/>
        <v>50667.940851839994</v>
      </c>
      <c r="K50" s="100">
        <f>SUMIFS('Assumption-Worst'!$F$3:$F$32,'Assumption-Worst'!$A$3:$A$32,$B50,'Assumption-Worst'!$B$3:$B$32,$C50)</f>
        <v>8.0000000000000007E-5</v>
      </c>
      <c r="L50" s="19">
        <f t="shared" si="3"/>
        <v>1948.76695584</v>
      </c>
      <c r="M50" s="99">
        <f t="shared" si="4"/>
        <v>105720.60735432</v>
      </c>
      <c r="N50" s="97">
        <f>SUMIFS('Assumption-Worst'!$G$3:$G$32,'Assumption-Worst'!$A$3:$A$32,$B50,'Assumption-Worst'!$B$3:$B$32,$C50)</f>
        <v>0.45</v>
      </c>
      <c r="O50" s="19">
        <f t="shared" si="5"/>
        <v>71251.791822899992</v>
      </c>
      <c r="P50" s="99">
        <f t="shared" si="6"/>
        <v>34468.815531420012</v>
      </c>
    </row>
    <row r="51" spans="1:16" x14ac:dyDescent="0.35">
      <c r="A51" s="96" t="str">
        <f>LEFT('2025 actual v budget'!A51,4)&amp;"26"</f>
        <v>Feb-26</v>
      </c>
      <c r="B51" s="17" t="str">
        <f>'2025 actual v budget'!B51</f>
        <v>Mexico</v>
      </c>
      <c r="C51" s="17" t="str">
        <f>'2025 actual v budget'!C51</f>
        <v>Treasury Yield</v>
      </c>
      <c r="D51" s="19">
        <f>'2025 actual v budget'!D51</f>
        <v>5933681.2199999997</v>
      </c>
      <c r="E51" s="97">
        <f>SUMIFS('Assumption-Worst'!$C$3:$C$32,'Assumption-Worst'!$A$3:$A$32,$B51,'Assumption-Worst'!$B$3:$B$32,$C51)</f>
        <v>7.4999999999999997E-2</v>
      </c>
      <c r="F51" s="19">
        <f t="shared" si="0"/>
        <v>6378707.3114999998</v>
      </c>
      <c r="G51" s="98">
        <f>SUMIFS('Assumption-Worst'!$D$3:$D$32,'Assumption-Worst'!$A$3:$A$32,$B51,'Assumption-Worst'!$B$3:$B$32,$C51)</f>
        <v>3.0000000000000001E-3</v>
      </c>
      <c r="H51" s="99">
        <f t="shared" si="1"/>
        <v>19136.121934499999</v>
      </c>
      <c r="I51" s="97">
        <f>SUMIFS('Assumption-Worst'!$E$3:$E$32,'Assumption-Worst'!$A$3:$A$32,$B51,'Assumption-Worst'!$B$3:$B$32,$C51)</f>
        <v>0.18</v>
      </c>
      <c r="J51" s="19">
        <f t="shared" si="2"/>
        <v>3444.5019482099997</v>
      </c>
      <c r="K51" s="100">
        <f>SUMIFS('Assumption-Worst'!$F$3:$F$32,'Assumption-Worst'!$A$3:$A$32,$B51,'Assumption-Worst'!$B$3:$B$32,$C51)</f>
        <v>8.0000000000000007E-5</v>
      </c>
      <c r="L51" s="19">
        <f t="shared" si="3"/>
        <v>510.29658492000004</v>
      </c>
      <c r="M51" s="99">
        <f t="shared" si="4"/>
        <v>15181.323401369998</v>
      </c>
      <c r="N51" s="97">
        <f>SUMIFS('Assumption-Worst'!$G$3:$G$32,'Assumption-Worst'!$A$3:$A$32,$B51,'Assumption-Worst'!$B$3:$B$32,$C51)</f>
        <v>0.45</v>
      </c>
      <c r="O51" s="19">
        <f t="shared" si="5"/>
        <v>8611.2548705249992</v>
      </c>
      <c r="P51" s="99">
        <f t="shared" si="6"/>
        <v>6570.0685308449993</v>
      </c>
    </row>
    <row r="52" spans="1:16" x14ac:dyDescent="0.35">
      <c r="A52" s="96" t="str">
        <f>LEFT('2025 actual v budget'!A52,4)&amp;"26"</f>
        <v>Feb-26</v>
      </c>
      <c r="B52" s="17" t="str">
        <f>'2025 actual v budget'!B52</f>
        <v>Mexico</v>
      </c>
      <c r="C52" s="17" t="str">
        <f>'2025 actual v budget'!C52</f>
        <v>Virtual Accounts</v>
      </c>
      <c r="D52" s="19">
        <f>'2025 actual v budget'!D52</f>
        <v>8617308.4299999997</v>
      </c>
      <c r="E52" s="97">
        <f>SUMIFS('Assumption-Worst'!$C$3:$C$32,'Assumption-Worst'!$A$3:$A$32,$B52,'Assumption-Worst'!$B$3:$B$32,$C52)</f>
        <v>7.4999999999999997E-2</v>
      </c>
      <c r="F52" s="19">
        <f t="shared" si="0"/>
        <v>9263606.5622499995</v>
      </c>
      <c r="G52" s="98">
        <f>SUMIFS('Assumption-Worst'!$D$3:$D$32,'Assumption-Worst'!$A$3:$A$32,$B52,'Assumption-Worst'!$B$3:$B$32,$C52)</f>
        <v>4.4999999999999997E-3</v>
      </c>
      <c r="H52" s="99">
        <f t="shared" si="1"/>
        <v>41686.229530124998</v>
      </c>
      <c r="I52" s="97">
        <f>SUMIFS('Assumption-Worst'!$E$3:$E$32,'Assumption-Worst'!$A$3:$A$32,$B52,'Assumption-Worst'!$B$3:$B$32,$C52)</f>
        <v>0.22</v>
      </c>
      <c r="J52" s="19">
        <f t="shared" si="2"/>
        <v>9170.9704966275003</v>
      </c>
      <c r="K52" s="100">
        <f>SUMIFS('Assumption-Worst'!$F$3:$F$32,'Assumption-Worst'!$A$3:$A$32,$B52,'Assumption-Worst'!$B$3:$B$32,$C52)</f>
        <v>8.0000000000000007E-5</v>
      </c>
      <c r="L52" s="19">
        <f t="shared" si="3"/>
        <v>741.08852497999999</v>
      </c>
      <c r="M52" s="99">
        <f t="shared" si="4"/>
        <v>31774.170508517494</v>
      </c>
      <c r="N52" s="97">
        <f>SUMIFS('Assumption-Worst'!$G$3:$G$32,'Assumption-Worst'!$A$3:$A$32,$B52,'Assumption-Worst'!$B$3:$B$32,$C52)</f>
        <v>0.45</v>
      </c>
      <c r="O52" s="19">
        <f t="shared" si="5"/>
        <v>18758.80328855625</v>
      </c>
      <c r="P52" s="99">
        <f t="shared" si="6"/>
        <v>13015.367219961245</v>
      </c>
    </row>
    <row r="53" spans="1:16" x14ac:dyDescent="0.35">
      <c r="A53" s="96" t="str">
        <f>LEFT('2025 actual v budget'!A53,4)&amp;"26"</f>
        <v>Feb-26</v>
      </c>
      <c r="B53" s="17" t="str">
        <f>'2025 actual v budget'!B53</f>
        <v>Singapore</v>
      </c>
      <c r="C53" s="17" t="str">
        <f>'2025 actual v budget'!C53</f>
        <v>Cross-border Payouts</v>
      </c>
      <c r="D53" s="19">
        <f>'2025 actual v budget'!D53</f>
        <v>7723104.7199999997</v>
      </c>
      <c r="E53" s="97">
        <f>SUMIFS('Assumption-Worst'!$C$3:$C$32,'Assumption-Worst'!$A$3:$A$32,$B53,'Assumption-Worst'!$B$3:$B$32,$C53)</f>
        <v>2.5000000000000001E-2</v>
      </c>
      <c r="F53" s="19">
        <f t="shared" si="0"/>
        <v>7916182.3379999986</v>
      </c>
      <c r="G53" s="98">
        <f>SUMIFS('Assumption-Worst'!$D$3:$D$32,'Assumption-Worst'!$A$3:$A$32,$B53,'Assumption-Worst'!$B$3:$B$32,$C53)</f>
        <v>7.4999999999999997E-3</v>
      </c>
      <c r="H53" s="99">
        <f t="shared" si="1"/>
        <v>59371.36753499999</v>
      </c>
      <c r="I53" s="97">
        <f>SUMIFS('Assumption-Worst'!$E$3:$E$32,'Assumption-Worst'!$A$3:$A$32,$B53,'Assumption-Worst'!$B$3:$B$32,$C53)</f>
        <v>0.35</v>
      </c>
      <c r="J53" s="19">
        <f t="shared" si="2"/>
        <v>20779.978637249995</v>
      </c>
      <c r="K53" s="100">
        <f>SUMIFS('Assumption-Worst'!$F$3:$F$32,'Assumption-Worst'!$A$3:$A$32,$B53,'Assumption-Worst'!$B$3:$B$32,$C53)</f>
        <v>9.0000000000000006E-5</v>
      </c>
      <c r="L53" s="19">
        <f t="shared" si="3"/>
        <v>712.45641041999988</v>
      </c>
      <c r="M53" s="99">
        <f t="shared" si="4"/>
        <v>37878.932487329992</v>
      </c>
      <c r="N53" s="97">
        <f>SUMIFS('Assumption-Worst'!$G$3:$G$32,'Assumption-Worst'!$A$3:$A$32,$B53,'Assumption-Worst'!$B$3:$B$32,$C53)</f>
        <v>0.45</v>
      </c>
      <c r="O53" s="19">
        <f t="shared" si="5"/>
        <v>26717.115390749997</v>
      </c>
      <c r="P53" s="99">
        <f t="shared" si="6"/>
        <v>11161.817096579995</v>
      </c>
    </row>
    <row r="54" spans="1:16" x14ac:dyDescent="0.35">
      <c r="A54" s="96" t="str">
        <f>LEFT('2025 actual v budget'!A54,4)&amp;"26"</f>
        <v>Feb-26</v>
      </c>
      <c r="B54" s="17" t="str">
        <f>'2025 actual v budget'!B54</f>
        <v>Singapore</v>
      </c>
      <c r="C54" s="17" t="str">
        <f>'2025 actual v budget'!C54</f>
        <v>FX Conversion</v>
      </c>
      <c r="D54" s="19">
        <f>'2025 actual v budget'!D54</f>
        <v>12335647.73</v>
      </c>
      <c r="E54" s="97">
        <f>SUMIFS('Assumption-Worst'!$C$3:$C$32,'Assumption-Worst'!$A$3:$A$32,$B54,'Assumption-Worst'!$B$3:$B$32,$C54)</f>
        <v>2.5000000000000001E-2</v>
      </c>
      <c r="F54" s="19">
        <f t="shared" si="0"/>
        <v>12644038.923249999</v>
      </c>
      <c r="G54" s="98">
        <f>SUMIFS('Assumption-Worst'!$D$3:$D$32,'Assumption-Worst'!$A$3:$A$32,$B54,'Assumption-Worst'!$B$3:$B$32,$C54)</f>
        <v>1.0500000000000001E-2</v>
      </c>
      <c r="H54" s="99">
        <f t="shared" si="1"/>
        <v>132762.40869412498</v>
      </c>
      <c r="I54" s="97">
        <f>SUMIFS('Assumption-Worst'!$E$3:$E$32,'Assumption-Worst'!$A$3:$A$32,$B54,'Assumption-Worst'!$B$3:$B$32,$C54)</f>
        <v>0.28000000000000003</v>
      </c>
      <c r="J54" s="19">
        <f t="shared" si="2"/>
        <v>37173.474434354997</v>
      </c>
      <c r="K54" s="100">
        <f>SUMIFS('Assumption-Worst'!$F$3:$F$32,'Assumption-Worst'!$A$3:$A$32,$B54,'Assumption-Worst'!$B$3:$B$32,$C54)</f>
        <v>9.0000000000000006E-5</v>
      </c>
      <c r="L54" s="19">
        <f t="shared" si="3"/>
        <v>1137.9635030924999</v>
      </c>
      <c r="M54" s="99">
        <f t="shared" si="4"/>
        <v>94450.970756677489</v>
      </c>
      <c r="N54" s="97">
        <f>SUMIFS('Assumption-Worst'!$G$3:$G$32,'Assumption-Worst'!$A$3:$A$32,$B54,'Assumption-Worst'!$B$3:$B$32,$C54)</f>
        <v>0.45</v>
      </c>
      <c r="O54" s="19">
        <f t="shared" si="5"/>
        <v>59743.083912356247</v>
      </c>
      <c r="P54" s="99">
        <f t="shared" si="6"/>
        <v>34707.886844321241</v>
      </c>
    </row>
    <row r="55" spans="1:16" x14ac:dyDescent="0.35">
      <c r="A55" s="96" t="str">
        <f>LEFT('2025 actual v budget'!A55,4)&amp;"26"</f>
        <v>Feb-26</v>
      </c>
      <c r="B55" s="17" t="str">
        <f>'2025 actual v budget'!B55</f>
        <v>Singapore</v>
      </c>
      <c r="C55" s="17" t="str">
        <f>'2025 actual v budget'!C55</f>
        <v>Stablecoin Settlement</v>
      </c>
      <c r="D55" s="19">
        <f>'2025 actual v budget'!D55</f>
        <v>18227172.739999998</v>
      </c>
      <c r="E55" s="97">
        <f>SUMIFS('Assumption-Worst'!$C$3:$C$32,'Assumption-Worst'!$A$3:$A$32,$B55,'Assumption-Worst'!$B$3:$B$32,$C55)</f>
        <v>0.05</v>
      </c>
      <c r="F55" s="19">
        <f t="shared" si="0"/>
        <v>19138531.377</v>
      </c>
      <c r="G55" s="98">
        <f>SUMIFS('Assumption-Worst'!$D$3:$D$32,'Assumption-Worst'!$A$3:$A$32,$B55,'Assumption-Worst'!$B$3:$B$32,$C55)</f>
        <v>6.4999999999999997E-3</v>
      </c>
      <c r="H55" s="99">
        <f t="shared" si="1"/>
        <v>124400.4539505</v>
      </c>
      <c r="I55" s="97">
        <f>SUMIFS('Assumption-Worst'!$E$3:$E$32,'Assumption-Worst'!$A$3:$A$32,$B55,'Assumption-Worst'!$B$3:$B$32,$C55)</f>
        <v>0.32</v>
      </c>
      <c r="J55" s="19">
        <f t="shared" si="2"/>
        <v>39808.145264159997</v>
      </c>
      <c r="K55" s="100">
        <f>SUMIFS('Assumption-Worst'!$F$3:$F$32,'Assumption-Worst'!$A$3:$A$32,$B55,'Assumption-Worst'!$B$3:$B$32,$C55)</f>
        <v>9.0000000000000006E-5</v>
      </c>
      <c r="L55" s="19">
        <f t="shared" si="3"/>
        <v>1722.4678239300001</v>
      </c>
      <c r="M55" s="99">
        <f t="shared" si="4"/>
        <v>82869.840862409997</v>
      </c>
      <c r="N55" s="97">
        <f>SUMIFS('Assumption-Worst'!$G$3:$G$32,'Assumption-Worst'!$A$3:$A$32,$B55,'Assumption-Worst'!$B$3:$B$32,$C55)</f>
        <v>0.45</v>
      </c>
      <c r="O55" s="19">
        <f t="shared" si="5"/>
        <v>55980.204277725003</v>
      </c>
      <c r="P55" s="99">
        <f t="shared" si="6"/>
        <v>26889.636584684995</v>
      </c>
    </row>
    <row r="56" spans="1:16" x14ac:dyDescent="0.35">
      <c r="A56" s="96" t="str">
        <f>LEFT('2025 actual v budget'!A56,4)&amp;"26"</f>
        <v>Feb-26</v>
      </c>
      <c r="B56" s="17" t="str">
        <f>'2025 actual v budget'!B56</f>
        <v>Singapore</v>
      </c>
      <c r="C56" s="17" t="str">
        <f>'2025 actual v budget'!C56</f>
        <v>Treasury Yield</v>
      </c>
      <c r="D56" s="19">
        <f>'2025 actual v budget'!D56</f>
        <v>5105549.01</v>
      </c>
      <c r="E56" s="97">
        <f>SUMIFS('Assumption-Worst'!$C$3:$C$32,'Assumption-Worst'!$A$3:$A$32,$B56,'Assumption-Worst'!$B$3:$B$32,$C56)</f>
        <v>2.5000000000000001E-2</v>
      </c>
      <c r="F56" s="19">
        <f t="shared" si="0"/>
        <v>5233187.735249999</v>
      </c>
      <c r="G56" s="98">
        <f>SUMIFS('Assumption-Worst'!$D$3:$D$32,'Assumption-Worst'!$A$3:$A$32,$B56,'Assumption-Worst'!$B$3:$B$32,$C56)</f>
        <v>3.0000000000000001E-3</v>
      </c>
      <c r="H56" s="99">
        <f t="shared" si="1"/>
        <v>15699.563205749997</v>
      </c>
      <c r="I56" s="97">
        <f>SUMIFS('Assumption-Worst'!$E$3:$E$32,'Assumption-Worst'!$A$3:$A$32,$B56,'Assumption-Worst'!$B$3:$B$32,$C56)</f>
        <v>0.18</v>
      </c>
      <c r="J56" s="19">
        <f t="shared" si="2"/>
        <v>2825.9213770349993</v>
      </c>
      <c r="K56" s="100">
        <f>SUMIFS('Assumption-Worst'!$F$3:$F$32,'Assumption-Worst'!$A$3:$A$32,$B56,'Assumption-Worst'!$B$3:$B$32,$C56)</f>
        <v>9.0000000000000006E-5</v>
      </c>
      <c r="L56" s="19">
        <f t="shared" si="3"/>
        <v>470.98689617249994</v>
      </c>
      <c r="M56" s="99">
        <f t="shared" si="4"/>
        <v>12402.654932542497</v>
      </c>
      <c r="N56" s="97">
        <f>SUMIFS('Assumption-Worst'!$G$3:$G$32,'Assumption-Worst'!$A$3:$A$32,$B56,'Assumption-Worst'!$B$3:$B$32,$C56)</f>
        <v>0.45</v>
      </c>
      <c r="O56" s="19">
        <f t="shared" si="5"/>
        <v>7064.8034425874985</v>
      </c>
      <c r="P56" s="99">
        <f t="shared" si="6"/>
        <v>5337.8514899549982</v>
      </c>
    </row>
    <row r="57" spans="1:16" x14ac:dyDescent="0.35">
      <c r="A57" s="96" t="str">
        <f>LEFT('2025 actual v budget'!A57,4)&amp;"26"</f>
        <v>Feb-26</v>
      </c>
      <c r="B57" s="17" t="str">
        <f>'2025 actual v budget'!B57</f>
        <v>Singapore</v>
      </c>
      <c r="C57" s="17" t="str">
        <f>'2025 actual v budget'!C57</f>
        <v>Virtual Accounts</v>
      </c>
      <c r="D57" s="19">
        <f>'2025 actual v budget'!D57</f>
        <v>7414636.7000000002</v>
      </c>
      <c r="E57" s="97">
        <f>SUMIFS('Assumption-Worst'!$C$3:$C$32,'Assumption-Worst'!$A$3:$A$32,$B57,'Assumption-Worst'!$B$3:$B$32,$C57)</f>
        <v>2.5000000000000001E-2</v>
      </c>
      <c r="F57" s="19">
        <f t="shared" si="0"/>
        <v>7600002.6174999997</v>
      </c>
      <c r="G57" s="98">
        <f>SUMIFS('Assumption-Worst'!$D$3:$D$32,'Assumption-Worst'!$A$3:$A$32,$B57,'Assumption-Worst'!$B$3:$B$32,$C57)</f>
        <v>4.4999999999999997E-3</v>
      </c>
      <c r="H57" s="99">
        <f t="shared" si="1"/>
        <v>34200.011778749998</v>
      </c>
      <c r="I57" s="97">
        <f>SUMIFS('Assumption-Worst'!$E$3:$E$32,'Assumption-Worst'!$A$3:$A$32,$B57,'Assumption-Worst'!$B$3:$B$32,$C57)</f>
        <v>0.22</v>
      </c>
      <c r="J57" s="19">
        <f t="shared" si="2"/>
        <v>7524.0025913250001</v>
      </c>
      <c r="K57" s="100">
        <f>SUMIFS('Assumption-Worst'!$F$3:$F$32,'Assumption-Worst'!$A$3:$A$32,$B57,'Assumption-Worst'!$B$3:$B$32,$C57)</f>
        <v>9.0000000000000006E-5</v>
      </c>
      <c r="L57" s="19">
        <f t="shared" si="3"/>
        <v>684.00023557500003</v>
      </c>
      <c r="M57" s="99">
        <f t="shared" si="4"/>
        <v>25992.008951849999</v>
      </c>
      <c r="N57" s="97">
        <f>SUMIFS('Assumption-Worst'!$G$3:$G$32,'Assumption-Worst'!$A$3:$A$32,$B57,'Assumption-Worst'!$B$3:$B$32,$C57)</f>
        <v>0.45</v>
      </c>
      <c r="O57" s="19">
        <f t="shared" si="5"/>
        <v>15390.0053004375</v>
      </c>
      <c r="P57" s="99">
        <f t="shared" si="6"/>
        <v>10602.003651412499</v>
      </c>
    </row>
    <row r="58" spans="1:16" x14ac:dyDescent="0.35">
      <c r="A58" s="96" t="str">
        <f>LEFT('2025 actual v budget'!A58,4)&amp;"26"</f>
        <v>Feb-26</v>
      </c>
      <c r="B58" s="17" t="str">
        <f>'2025 actual v budget'!B58</f>
        <v>USA</v>
      </c>
      <c r="C58" s="17" t="str">
        <f>'2025 actual v budget'!C58</f>
        <v>Cross-border Payouts</v>
      </c>
      <c r="D58" s="19">
        <f>'2025 actual v budget'!D58</f>
        <v>19216255.829999998</v>
      </c>
      <c r="E58" s="97">
        <f>SUMIFS('Assumption-Worst'!$C$3:$C$32,'Assumption-Worst'!$A$3:$A$32,$B58,'Assumption-Worst'!$B$3:$B$32,$C58)</f>
        <v>0.05</v>
      </c>
      <c r="F58" s="19">
        <f t="shared" si="0"/>
        <v>20177068.6215</v>
      </c>
      <c r="G58" s="98">
        <f>SUMIFS('Assumption-Worst'!$D$3:$D$32,'Assumption-Worst'!$A$3:$A$32,$B58,'Assumption-Worst'!$B$3:$B$32,$C58)</f>
        <v>7.4999999999999997E-3</v>
      </c>
      <c r="H58" s="99">
        <f t="shared" si="1"/>
        <v>151328.01466125</v>
      </c>
      <c r="I58" s="97">
        <f>SUMIFS('Assumption-Worst'!$E$3:$E$32,'Assumption-Worst'!$A$3:$A$32,$B58,'Assumption-Worst'!$B$3:$B$32,$C58)</f>
        <v>0.35</v>
      </c>
      <c r="J58" s="19">
        <f t="shared" si="2"/>
        <v>52964.805131437497</v>
      </c>
      <c r="K58" s="100">
        <f>SUMIFS('Assumption-Worst'!$F$3:$F$32,'Assumption-Worst'!$A$3:$A$32,$B58,'Assumption-Worst'!$B$3:$B$32,$C58)</f>
        <v>2.0000000000000001E-4</v>
      </c>
      <c r="L58" s="19">
        <f t="shared" si="3"/>
        <v>4035.4137243000005</v>
      </c>
      <c r="M58" s="99">
        <f t="shared" si="4"/>
        <v>94327.795805512505</v>
      </c>
      <c r="N58" s="97">
        <f>SUMIFS('Assumption-Worst'!$G$3:$G$32,'Assumption-Worst'!$A$3:$A$32,$B58,'Assumption-Worst'!$B$3:$B$32,$C58)</f>
        <v>0.45</v>
      </c>
      <c r="O58" s="19">
        <f t="shared" si="5"/>
        <v>68097.606597562495</v>
      </c>
      <c r="P58" s="99">
        <f t="shared" si="6"/>
        <v>26230.18920795001</v>
      </c>
    </row>
    <row r="59" spans="1:16" x14ac:dyDescent="0.35">
      <c r="A59" s="96" t="str">
        <f>LEFT('2025 actual v budget'!A59,4)&amp;"26"</f>
        <v>Feb-26</v>
      </c>
      <c r="B59" s="17" t="str">
        <f>'2025 actual v budget'!B59</f>
        <v>USA</v>
      </c>
      <c r="C59" s="17" t="str">
        <f>'2025 actual v budget'!C59</f>
        <v>FX Conversion</v>
      </c>
      <c r="D59" s="19">
        <f>'2025 actual v budget'!D59</f>
        <v>30692266.379999999</v>
      </c>
      <c r="E59" s="97">
        <f>SUMIFS('Assumption-Worst'!$C$3:$C$32,'Assumption-Worst'!$A$3:$A$32,$B59,'Assumption-Worst'!$B$3:$B$32,$C59)</f>
        <v>0.05</v>
      </c>
      <c r="F59" s="19">
        <f t="shared" si="0"/>
        <v>32226879.699000001</v>
      </c>
      <c r="G59" s="98">
        <f>SUMIFS('Assumption-Worst'!$D$3:$D$32,'Assumption-Worst'!$A$3:$A$32,$B59,'Assumption-Worst'!$B$3:$B$32,$C59)</f>
        <v>1.0500000000000001E-2</v>
      </c>
      <c r="H59" s="99">
        <f t="shared" si="1"/>
        <v>338382.23683950002</v>
      </c>
      <c r="I59" s="97">
        <f>SUMIFS('Assumption-Worst'!$E$3:$E$32,'Assumption-Worst'!$A$3:$A$32,$B59,'Assumption-Worst'!$B$3:$B$32,$C59)</f>
        <v>0.28000000000000003</v>
      </c>
      <c r="J59" s="19">
        <f t="shared" si="2"/>
        <v>94747.026315060022</v>
      </c>
      <c r="K59" s="100">
        <f>SUMIFS('Assumption-Worst'!$F$3:$F$32,'Assumption-Worst'!$A$3:$A$32,$B59,'Assumption-Worst'!$B$3:$B$32,$C59)</f>
        <v>2.0000000000000001E-4</v>
      </c>
      <c r="L59" s="19">
        <f t="shared" si="3"/>
        <v>6445.3759398000002</v>
      </c>
      <c r="M59" s="99">
        <f t="shared" si="4"/>
        <v>237189.83458463999</v>
      </c>
      <c r="N59" s="97">
        <f>SUMIFS('Assumption-Worst'!$G$3:$G$32,'Assumption-Worst'!$A$3:$A$32,$B59,'Assumption-Worst'!$B$3:$B$32,$C59)</f>
        <v>0.45</v>
      </c>
      <c r="O59" s="19">
        <f t="shared" si="5"/>
        <v>152272.00657777503</v>
      </c>
      <c r="P59" s="99">
        <f t="shared" si="6"/>
        <v>84917.828006864962</v>
      </c>
    </row>
    <row r="60" spans="1:16" x14ac:dyDescent="0.35">
      <c r="A60" s="96" t="str">
        <f>LEFT('2025 actual v budget'!A60,4)&amp;"26"</f>
        <v>Feb-26</v>
      </c>
      <c r="B60" s="17" t="str">
        <f>'2025 actual v budget'!B60</f>
        <v>USA</v>
      </c>
      <c r="C60" s="17" t="str">
        <f>'2025 actual v budget'!C60</f>
        <v>Stablecoin Settlement</v>
      </c>
      <c r="D60" s="19">
        <f>'2025 actual v budget'!D60</f>
        <v>45351970.090000004</v>
      </c>
      <c r="E60" s="97">
        <f>SUMIFS('Assumption-Worst'!$C$3:$C$32,'Assumption-Worst'!$A$3:$A$32,$B60,'Assumption-Worst'!$B$3:$B$32,$C60)</f>
        <v>0.1</v>
      </c>
      <c r="F60" s="19">
        <f t="shared" si="0"/>
        <v>49887167.099000007</v>
      </c>
      <c r="G60" s="98">
        <f>SUMIFS('Assumption-Worst'!$D$3:$D$32,'Assumption-Worst'!$A$3:$A$32,$B60,'Assumption-Worst'!$B$3:$B$32,$C60)</f>
        <v>6.4999999999999997E-3</v>
      </c>
      <c r="H60" s="99">
        <f t="shared" si="1"/>
        <v>324266.58614350006</v>
      </c>
      <c r="I60" s="97">
        <f>SUMIFS('Assumption-Worst'!$E$3:$E$32,'Assumption-Worst'!$A$3:$A$32,$B60,'Assumption-Worst'!$B$3:$B$32,$C60)</f>
        <v>0.32</v>
      </c>
      <c r="J60" s="19">
        <f t="shared" si="2"/>
        <v>103765.30756592003</v>
      </c>
      <c r="K60" s="100">
        <f>SUMIFS('Assumption-Worst'!$F$3:$F$32,'Assumption-Worst'!$A$3:$A$32,$B60,'Assumption-Worst'!$B$3:$B$32,$C60)</f>
        <v>2.0000000000000001E-4</v>
      </c>
      <c r="L60" s="19">
        <f t="shared" si="3"/>
        <v>9977.4334198000015</v>
      </c>
      <c r="M60" s="99">
        <f t="shared" si="4"/>
        <v>210523.84515778002</v>
      </c>
      <c r="N60" s="97">
        <f>SUMIFS('Assumption-Worst'!$G$3:$G$32,'Assumption-Worst'!$A$3:$A$32,$B60,'Assumption-Worst'!$B$3:$B$32,$C60)</f>
        <v>0.45</v>
      </c>
      <c r="O60" s="19">
        <f t="shared" si="5"/>
        <v>145919.96376457502</v>
      </c>
      <c r="P60" s="99">
        <f t="shared" si="6"/>
        <v>64603.881393204996</v>
      </c>
    </row>
    <row r="61" spans="1:16" x14ac:dyDescent="0.35">
      <c r="A61" s="96" t="str">
        <f>LEFT('2025 actual v budget'!A61,4)&amp;"26"</f>
        <v>Feb-26</v>
      </c>
      <c r="B61" s="17" t="str">
        <f>'2025 actual v budget'!B61</f>
        <v>USA</v>
      </c>
      <c r="C61" s="17" t="str">
        <f>'2025 actual v budget'!C61</f>
        <v>Treasury Yield</v>
      </c>
      <c r="D61" s="19">
        <f>'2025 actual v budget'!D61</f>
        <v>12703092.189999999</v>
      </c>
      <c r="E61" s="97">
        <f>SUMIFS('Assumption-Worst'!$C$3:$C$32,'Assumption-Worst'!$A$3:$A$32,$B61,'Assumption-Worst'!$B$3:$B$32,$C61)</f>
        <v>0.05</v>
      </c>
      <c r="F61" s="19">
        <f t="shared" si="0"/>
        <v>13338246.7995</v>
      </c>
      <c r="G61" s="98">
        <f>SUMIFS('Assumption-Worst'!$D$3:$D$32,'Assumption-Worst'!$A$3:$A$32,$B61,'Assumption-Worst'!$B$3:$B$32,$C61)</f>
        <v>3.0000000000000001E-3</v>
      </c>
      <c r="H61" s="99">
        <f t="shared" si="1"/>
        <v>40014.740398499998</v>
      </c>
      <c r="I61" s="97">
        <f>SUMIFS('Assumption-Worst'!$E$3:$E$32,'Assumption-Worst'!$A$3:$A$32,$B61,'Assumption-Worst'!$B$3:$B$32,$C61)</f>
        <v>0.18</v>
      </c>
      <c r="J61" s="19">
        <f t="shared" si="2"/>
        <v>7202.6532717299997</v>
      </c>
      <c r="K61" s="100">
        <f>SUMIFS('Assumption-Worst'!$F$3:$F$32,'Assumption-Worst'!$A$3:$A$32,$B61,'Assumption-Worst'!$B$3:$B$32,$C61)</f>
        <v>2.0000000000000001E-4</v>
      </c>
      <c r="L61" s="19">
        <f t="shared" si="3"/>
        <v>2667.6493599</v>
      </c>
      <c r="M61" s="99">
        <f t="shared" si="4"/>
        <v>30144.43776687</v>
      </c>
      <c r="N61" s="97">
        <f>SUMIFS('Assumption-Worst'!$G$3:$G$32,'Assumption-Worst'!$A$3:$A$32,$B61,'Assumption-Worst'!$B$3:$B$32,$C61)</f>
        <v>0.45</v>
      </c>
      <c r="O61" s="19">
        <f t="shared" si="5"/>
        <v>18006.633179324999</v>
      </c>
      <c r="P61" s="99">
        <f t="shared" si="6"/>
        <v>12137.804587545001</v>
      </c>
    </row>
    <row r="62" spans="1:16" x14ac:dyDescent="0.35">
      <c r="A62" s="96" t="str">
        <f>LEFT('2025 actual v budget'!A62,4)&amp;"26"</f>
        <v>Feb-26</v>
      </c>
      <c r="B62" s="17" t="str">
        <f>'2025 actual v budget'!B62</f>
        <v>USA</v>
      </c>
      <c r="C62" s="17" t="str">
        <f>'2025 actual v budget'!C62</f>
        <v>Virtual Accounts</v>
      </c>
      <c r="D62" s="19">
        <f>'2025 actual v budget'!D62</f>
        <v>18448322.260000002</v>
      </c>
      <c r="E62" s="97">
        <f>SUMIFS('Assumption-Worst'!$C$3:$C$32,'Assumption-Worst'!$A$3:$A$32,$B62,'Assumption-Worst'!$B$3:$B$32,$C62)</f>
        <v>0.05</v>
      </c>
      <c r="F62" s="19">
        <f t="shared" si="0"/>
        <v>19370738.373000003</v>
      </c>
      <c r="G62" s="98">
        <f>SUMIFS('Assumption-Worst'!$D$3:$D$32,'Assumption-Worst'!$A$3:$A$32,$B62,'Assumption-Worst'!$B$3:$B$32,$C62)</f>
        <v>4.4999999999999997E-3</v>
      </c>
      <c r="H62" s="99">
        <f t="shared" si="1"/>
        <v>87168.322678500015</v>
      </c>
      <c r="I62" s="97">
        <f>SUMIFS('Assumption-Worst'!$E$3:$E$32,'Assumption-Worst'!$A$3:$A$32,$B62,'Assumption-Worst'!$B$3:$B$32,$C62)</f>
        <v>0.22</v>
      </c>
      <c r="J62" s="19">
        <f t="shared" si="2"/>
        <v>19177.030989270002</v>
      </c>
      <c r="K62" s="100">
        <f>SUMIFS('Assumption-Worst'!$F$3:$F$32,'Assumption-Worst'!$A$3:$A$32,$B62,'Assumption-Worst'!$B$3:$B$32,$C62)</f>
        <v>2.0000000000000001E-4</v>
      </c>
      <c r="L62" s="19">
        <f t="shared" si="3"/>
        <v>3874.1476746000008</v>
      </c>
      <c r="M62" s="99">
        <f t="shared" si="4"/>
        <v>64117.144014630016</v>
      </c>
      <c r="N62" s="97">
        <f>SUMIFS('Assumption-Worst'!$G$3:$G$32,'Assumption-Worst'!$A$3:$A$32,$B62,'Assumption-Worst'!$B$3:$B$32,$C62)</f>
        <v>0.45</v>
      </c>
      <c r="O62" s="19">
        <f t="shared" si="5"/>
        <v>39225.745205325009</v>
      </c>
      <c r="P62" s="99">
        <f t="shared" si="6"/>
        <v>24891.398809305007</v>
      </c>
    </row>
    <row r="63" spans="1:16" x14ac:dyDescent="0.35">
      <c r="A63" s="91" t="str">
        <f>LEFT('2025 actual v budget'!A63,4)&amp;"26"</f>
        <v>Mar-26</v>
      </c>
      <c r="B63" s="12" t="str">
        <f>'2025 actual v budget'!B63</f>
        <v>Brazil</v>
      </c>
      <c r="C63" s="12" t="str">
        <f>'2025 actual v budget'!C63</f>
        <v>Cross-border Payouts</v>
      </c>
      <c r="D63" s="14">
        <f>'2025 actual v budget'!D63</f>
        <v>11907254.23</v>
      </c>
      <c r="E63" s="92">
        <f>SUMIFS('Assumption-Worst'!$C$3:$C$32,'Assumption-Worst'!$A$3:$A$32,$B63,'Assumption-Worst'!$B$3:$B$32,$C63)</f>
        <v>0.1</v>
      </c>
      <c r="F63" s="14">
        <f t="shared" si="0"/>
        <v>13097979.653000001</v>
      </c>
      <c r="G63" s="93">
        <f>SUMIFS('Assumption-Worst'!$D$3:$D$32,'Assumption-Worst'!$A$3:$A$32,$B63,'Assumption-Worst'!$B$3:$B$32,$C63)</f>
        <v>7.4999999999999997E-3</v>
      </c>
      <c r="H63" s="94">
        <f t="shared" si="1"/>
        <v>98234.847397500009</v>
      </c>
      <c r="I63" s="92">
        <f>SUMIFS('Assumption-Worst'!$E$3:$E$32,'Assumption-Worst'!$A$3:$A$32,$B63,'Assumption-Worst'!$B$3:$B$32,$C63)</f>
        <v>0.35</v>
      </c>
      <c r="J63" s="14">
        <f t="shared" si="2"/>
        <v>34382.196589125</v>
      </c>
      <c r="K63" s="95">
        <f>SUMIFS('Assumption-Worst'!$F$3:$F$32,'Assumption-Worst'!$A$3:$A$32,$B63,'Assumption-Worst'!$B$3:$B$32,$C63)</f>
        <v>6.9999999999999994E-5</v>
      </c>
      <c r="L63" s="14">
        <f t="shared" si="3"/>
        <v>916.85857570999997</v>
      </c>
      <c r="M63" s="94">
        <f t="shared" si="4"/>
        <v>62935.792232665008</v>
      </c>
      <c r="N63" s="92">
        <f>SUMIFS('Assumption-Worst'!$G$3:$G$32,'Assumption-Worst'!$A$3:$A$32,$B63,'Assumption-Worst'!$B$3:$B$32,$C63)</f>
        <v>0.45</v>
      </c>
      <c r="O63" s="14">
        <f t="shared" si="5"/>
        <v>44205.681328875005</v>
      </c>
      <c r="P63" s="94">
        <f t="shared" si="6"/>
        <v>18730.110903790002</v>
      </c>
    </row>
    <row r="64" spans="1:16" x14ac:dyDescent="0.35">
      <c r="A64" s="91" t="str">
        <f>LEFT('2025 actual v budget'!A64,4)&amp;"26"</f>
        <v>Mar-26</v>
      </c>
      <c r="B64" s="12" t="str">
        <f>'2025 actual v budget'!B64</f>
        <v>Brazil</v>
      </c>
      <c r="C64" s="12" t="str">
        <f>'2025 actual v budget'!C64</f>
        <v>FX Conversion</v>
      </c>
      <c r="D64" s="14">
        <f>'2025 actual v budget'!D64</f>
        <v>19121982.91</v>
      </c>
      <c r="E64" s="92">
        <f>SUMIFS('Assumption-Worst'!$C$3:$C$32,'Assumption-Worst'!$A$3:$A$32,$B64,'Assumption-Worst'!$B$3:$B$32,$C64)</f>
        <v>0.1</v>
      </c>
      <c r="F64" s="14">
        <f t="shared" si="0"/>
        <v>21034181.201000001</v>
      </c>
      <c r="G64" s="93">
        <f>SUMIFS('Assumption-Worst'!$D$3:$D$32,'Assumption-Worst'!$A$3:$A$32,$B64,'Assumption-Worst'!$B$3:$B$32,$C64)</f>
        <v>1.0500000000000001E-2</v>
      </c>
      <c r="H64" s="94">
        <f t="shared" si="1"/>
        <v>220858.90261050002</v>
      </c>
      <c r="I64" s="92">
        <f>SUMIFS('Assumption-Worst'!$E$3:$E$32,'Assumption-Worst'!$A$3:$A$32,$B64,'Assumption-Worst'!$B$3:$B$32,$C64)</f>
        <v>0.28000000000000003</v>
      </c>
      <c r="J64" s="14">
        <f t="shared" si="2"/>
        <v>61840.492730940015</v>
      </c>
      <c r="K64" s="95">
        <f>SUMIFS('Assumption-Worst'!$F$3:$F$32,'Assumption-Worst'!$A$3:$A$32,$B64,'Assumption-Worst'!$B$3:$B$32,$C64)</f>
        <v>6.9999999999999994E-5</v>
      </c>
      <c r="L64" s="14">
        <f t="shared" si="3"/>
        <v>1472.3926840699999</v>
      </c>
      <c r="M64" s="94">
        <f t="shared" si="4"/>
        <v>157546.01719549001</v>
      </c>
      <c r="N64" s="92">
        <f>SUMIFS('Assumption-Worst'!$G$3:$G$32,'Assumption-Worst'!$A$3:$A$32,$B64,'Assumption-Worst'!$B$3:$B$32,$C64)</f>
        <v>0.45</v>
      </c>
      <c r="O64" s="14">
        <f t="shared" si="5"/>
        <v>99386.506174725015</v>
      </c>
      <c r="P64" s="94">
        <f t="shared" si="6"/>
        <v>58159.511020765</v>
      </c>
    </row>
    <row r="65" spans="1:16" x14ac:dyDescent="0.35">
      <c r="A65" s="91" t="str">
        <f>LEFT('2025 actual v budget'!A65,4)&amp;"26"</f>
        <v>Mar-26</v>
      </c>
      <c r="B65" s="12" t="str">
        <f>'2025 actual v budget'!B65</f>
        <v>Brazil</v>
      </c>
      <c r="C65" s="12" t="str">
        <f>'2025 actual v budget'!C65</f>
        <v>Stablecoin Settlement</v>
      </c>
      <c r="D65" s="14">
        <f>'2025 actual v budget'!D65</f>
        <v>28098728.609999999</v>
      </c>
      <c r="E65" s="92">
        <f>SUMIFS('Assumption-Worst'!$C$3:$C$32,'Assumption-Worst'!$A$3:$A$32,$B65,'Assumption-Worst'!$B$3:$B$32,$C65)</f>
        <v>0.2</v>
      </c>
      <c r="F65" s="14">
        <f t="shared" si="0"/>
        <v>33718474.331999995</v>
      </c>
      <c r="G65" s="93">
        <f>SUMIFS('Assumption-Worst'!$D$3:$D$32,'Assumption-Worst'!$A$3:$A$32,$B65,'Assumption-Worst'!$B$3:$B$32,$C65)</f>
        <v>6.4999999999999997E-3</v>
      </c>
      <c r="H65" s="94">
        <f t="shared" si="1"/>
        <v>219170.08315799996</v>
      </c>
      <c r="I65" s="92">
        <f>SUMIFS('Assumption-Worst'!$E$3:$E$32,'Assumption-Worst'!$A$3:$A$32,$B65,'Assumption-Worst'!$B$3:$B$32,$C65)</f>
        <v>0.32</v>
      </c>
      <c r="J65" s="14">
        <f t="shared" si="2"/>
        <v>70134.426610559996</v>
      </c>
      <c r="K65" s="95">
        <f>SUMIFS('Assumption-Worst'!$F$3:$F$32,'Assumption-Worst'!$A$3:$A$32,$B65,'Assumption-Worst'!$B$3:$B$32,$C65)</f>
        <v>6.9999999999999994E-5</v>
      </c>
      <c r="L65" s="14">
        <f t="shared" si="3"/>
        <v>2360.2932032399995</v>
      </c>
      <c r="M65" s="94">
        <f t="shared" si="4"/>
        <v>146675.36334419998</v>
      </c>
      <c r="N65" s="92">
        <f>SUMIFS('Assumption-Worst'!$G$3:$G$32,'Assumption-Worst'!$A$3:$A$32,$B65,'Assumption-Worst'!$B$3:$B$32,$C65)</f>
        <v>0.45</v>
      </c>
      <c r="O65" s="14">
        <f t="shared" si="5"/>
        <v>98626.537421099987</v>
      </c>
      <c r="P65" s="94">
        <f t="shared" si="6"/>
        <v>48048.825923099997</v>
      </c>
    </row>
    <row r="66" spans="1:16" x14ac:dyDescent="0.35">
      <c r="A66" s="91" t="str">
        <f>LEFT('2025 actual v budget'!A66,4)&amp;"26"</f>
        <v>Mar-26</v>
      </c>
      <c r="B66" s="12" t="str">
        <f>'2025 actual v budget'!B66</f>
        <v>Brazil</v>
      </c>
      <c r="C66" s="12" t="str">
        <f>'2025 actual v budget'!C66</f>
        <v>Treasury Yield</v>
      </c>
      <c r="D66" s="14">
        <f>'2025 actual v budget'!D66</f>
        <v>7819911.6600000001</v>
      </c>
      <c r="E66" s="92">
        <f>SUMIFS('Assumption-Worst'!$C$3:$C$32,'Assumption-Worst'!$A$3:$A$32,$B66,'Assumption-Worst'!$B$3:$B$32,$C66)</f>
        <v>0.1</v>
      </c>
      <c r="F66" s="14">
        <f t="shared" si="0"/>
        <v>8601902.8260000013</v>
      </c>
      <c r="G66" s="93">
        <f>SUMIFS('Assumption-Worst'!$D$3:$D$32,'Assumption-Worst'!$A$3:$A$32,$B66,'Assumption-Worst'!$B$3:$B$32,$C66)</f>
        <v>3.0000000000000001E-3</v>
      </c>
      <c r="H66" s="94">
        <f t="shared" si="1"/>
        <v>25805.708478000004</v>
      </c>
      <c r="I66" s="92">
        <f>SUMIFS('Assumption-Worst'!$E$3:$E$32,'Assumption-Worst'!$A$3:$A$32,$B66,'Assumption-Worst'!$B$3:$B$32,$C66)</f>
        <v>0.18</v>
      </c>
      <c r="J66" s="14">
        <f t="shared" si="2"/>
        <v>4645.0275260400003</v>
      </c>
      <c r="K66" s="95">
        <f>SUMIFS('Assumption-Worst'!$F$3:$F$32,'Assumption-Worst'!$A$3:$A$32,$B66,'Assumption-Worst'!$B$3:$B$32,$C66)</f>
        <v>6.9999999999999994E-5</v>
      </c>
      <c r="L66" s="14">
        <f t="shared" si="3"/>
        <v>602.13319782000008</v>
      </c>
      <c r="M66" s="94">
        <f t="shared" si="4"/>
        <v>20558.547754140003</v>
      </c>
      <c r="N66" s="92">
        <f>SUMIFS('Assumption-Worst'!$G$3:$G$32,'Assumption-Worst'!$A$3:$A$32,$B66,'Assumption-Worst'!$B$3:$B$32,$C66)</f>
        <v>0.45</v>
      </c>
      <c r="O66" s="14">
        <f t="shared" si="5"/>
        <v>11612.568815100001</v>
      </c>
      <c r="P66" s="94">
        <f t="shared" si="6"/>
        <v>8945.9789390400019</v>
      </c>
    </row>
    <row r="67" spans="1:16" x14ac:dyDescent="0.35">
      <c r="A67" s="91" t="str">
        <f>LEFT('2025 actual v budget'!A67,4)&amp;"26"</f>
        <v>Mar-26</v>
      </c>
      <c r="B67" s="12" t="str">
        <f>'2025 actual v budget'!B67</f>
        <v>Brazil</v>
      </c>
      <c r="C67" s="12" t="str">
        <f>'2025 actual v budget'!C67</f>
        <v>Virtual Accounts</v>
      </c>
      <c r="D67" s="14">
        <f>'2025 actual v budget'!D67</f>
        <v>11620600.050000001</v>
      </c>
      <c r="E67" s="92">
        <f>SUMIFS('Assumption-Worst'!$C$3:$C$32,'Assumption-Worst'!$A$3:$A$32,$B67,'Assumption-Worst'!$B$3:$B$32,$C67)</f>
        <v>0.1</v>
      </c>
      <c r="F67" s="14">
        <f t="shared" ref="F67:F130" si="7">D67*(1+E67)</f>
        <v>12782660.055000002</v>
      </c>
      <c r="G67" s="93">
        <f>SUMIFS('Assumption-Worst'!$D$3:$D$32,'Assumption-Worst'!$A$3:$A$32,$B67,'Assumption-Worst'!$B$3:$B$32,$C67)</f>
        <v>4.4999999999999997E-3</v>
      </c>
      <c r="H67" s="94">
        <f t="shared" ref="H67:H130" si="8">F67*G67</f>
        <v>57521.970247500001</v>
      </c>
      <c r="I67" s="92">
        <f>SUMIFS('Assumption-Worst'!$E$3:$E$32,'Assumption-Worst'!$A$3:$A$32,$B67,'Assumption-Worst'!$B$3:$B$32,$C67)</f>
        <v>0.22</v>
      </c>
      <c r="J67" s="14">
        <f t="shared" ref="J67:J130" si="9">H67*I67</f>
        <v>12654.833454450001</v>
      </c>
      <c r="K67" s="95">
        <f>SUMIFS('Assumption-Worst'!$F$3:$F$32,'Assumption-Worst'!$A$3:$A$32,$B67,'Assumption-Worst'!$B$3:$B$32,$C67)</f>
        <v>6.9999999999999994E-5</v>
      </c>
      <c r="L67" s="14">
        <f t="shared" ref="L67:L130" si="10">F67*K67</f>
        <v>894.78620384999999</v>
      </c>
      <c r="M67" s="94">
        <f t="shared" ref="M67:M130" si="11">H67-J67-L67</f>
        <v>43972.350589199996</v>
      </c>
      <c r="N67" s="92">
        <f>SUMIFS('Assumption-Worst'!$G$3:$G$32,'Assumption-Worst'!$A$3:$A$32,$B67,'Assumption-Worst'!$B$3:$B$32,$C67)</f>
        <v>0.45</v>
      </c>
      <c r="O67" s="14">
        <f t="shared" ref="O67:O130" si="12">H67*N67</f>
        <v>25884.886611375001</v>
      </c>
      <c r="P67" s="94">
        <f t="shared" ref="P67:P130" si="13">M67-O67</f>
        <v>18087.463977824995</v>
      </c>
    </row>
    <row r="68" spans="1:16" x14ac:dyDescent="0.35">
      <c r="A68" s="91" t="str">
        <f>LEFT('2025 actual v budget'!A68,4)&amp;"26"</f>
        <v>Mar-26</v>
      </c>
      <c r="B68" s="12" t="str">
        <f>'2025 actual v budget'!B68</f>
        <v>Germany</v>
      </c>
      <c r="C68" s="12" t="str">
        <f>'2025 actual v budget'!C68</f>
        <v>Cross-border Payouts</v>
      </c>
      <c r="D68" s="14">
        <f>'2025 actual v budget'!D68</f>
        <v>6223440.5899999999</v>
      </c>
      <c r="E68" s="92">
        <f>SUMIFS('Assumption-Worst'!$C$3:$C$32,'Assumption-Worst'!$A$3:$A$32,$B68,'Assumption-Worst'!$B$3:$B$32,$C68)</f>
        <v>0.03</v>
      </c>
      <c r="F68" s="14">
        <f t="shared" si="7"/>
        <v>6410143.8076999998</v>
      </c>
      <c r="G68" s="93">
        <f>SUMIFS('Assumption-Worst'!$D$3:$D$32,'Assumption-Worst'!$A$3:$A$32,$B68,'Assumption-Worst'!$B$3:$B$32,$C68)</f>
        <v>7.4999999999999997E-3</v>
      </c>
      <c r="H68" s="94">
        <f t="shared" si="8"/>
        <v>48076.078557749999</v>
      </c>
      <c r="I68" s="92">
        <f>SUMIFS('Assumption-Worst'!$E$3:$E$32,'Assumption-Worst'!$A$3:$A$32,$B68,'Assumption-Worst'!$B$3:$B$32,$C68)</f>
        <v>0.35</v>
      </c>
      <c r="J68" s="14">
        <f t="shared" si="9"/>
        <v>16826.627495212499</v>
      </c>
      <c r="K68" s="95">
        <f>SUMIFS('Assumption-Worst'!$F$3:$F$32,'Assumption-Worst'!$A$3:$A$32,$B68,'Assumption-Worst'!$B$3:$B$32,$C68)</f>
        <v>1.4999999999999999E-4</v>
      </c>
      <c r="L68" s="14">
        <f t="shared" si="10"/>
        <v>961.52157115499983</v>
      </c>
      <c r="M68" s="94">
        <f t="shared" si="11"/>
        <v>30287.9294913825</v>
      </c>
      <c r="N68" s="92">
        <f>SUMIFS('Assumption-Worst'!$G$3:$G$32,'Assumption-Worst'!$A$3:$A$32,$B68,'Assumption-Worst'!$B$3:$B$32,$C68)</f>
        <v>0.45</v>
      </c>
      <c r="O68" s="14">
        <f t="shared" si="12"/>
        <v>21634.235350987499</v>
      </c>
      <c r="P68" s="94">
        <f t="shared" si="13"/>
        <v>8653.6941403950004</v>
      </c>
    </row>
    <row r="69" spans="1:16" x14ac:dyDescent="0.35">
      <c r="A69" s="91" t="str">
        <f>LEFT('2025 actual v budget'!A69,4)&amp;"26"</f>
        <v>Mar-26</v>
      </c>
      <c r="B69" s="12" t="str">
        <f>'2025 actual v budget'!B69</f>
        <v>Germany</v>
      </c>
      <c r="C69" s="12" t="str">
        <f>'2025 actual v budget'!C69</f>
        <v>FX Conversion</v>
      </c>
      <c r="D69" s="14">
        <f>'2025 actual v budget'!D69</f>
        <v>9992483.2799999993</v>
      </c>
      <c r="E69" s="92">
        <f>SUMIFS('Assumption-Worst'!$C$3:$C$32,'Assumption-Worst'!$A$3:$A$32,$B69,'Assumption-Worst'!$B$3:$B$32,$C69)</f>
        <v>0.03</v>
      </c>
      <c r="F69" s="14">
        <f t="shared" si="7"/>
        <v>10292257.7784</v>
      </c>
      <c r="G69" s="93">
        <f>SUMIFS('Assumption-Worst'!$D$3:$D$32,'Assumption-Worst'!$A$3:$A$32,$B69,'Assumption-Worst'!$B$3:$B$32,$C69)</f>
        <v>1.0500000000000001E-2</v>
      </c>
      <c r="H69" s="94">
        <f t="shared" si="8"/>
        <v>108068.70667320001</v>
      </c>
      <c r="I69" s="92">
        <f>SUMIFS('Assumption-Worst'!$E$3:$E$32,'Assumption-Worst'!$A$3:$A$32,$B69,'Assumption-Worst'!$B$3:$B$32,$C69)</f>
        <v>0.28000000000000003</v>
      </c>
      <c r="J69" s="14">
        <f t="shared" si="9"/>
        <v>30259.237868496006</v>
      </c>
      <c r="K69" s="95">
        <f>SUMIFS('Assumption-Worst'!$F$3:$F$32,'Assumption-Worst'!$A$3:$A$32,$B69,'Assumption-Worst'!$B$3:$B$32,$C69)</f>
        <v>1.4999999999999999E-4</v>
      </c>
      <c r="L69" s="14">
        <f t="shared" si="10"/>
        <v>1543.8386667599998</v>
      </c>
      <c r="M69" s="94">
        <f t="shared" si="11"/>
        <v>76265.630137943997</v>
      </c>
      <c r="N69" s="92">
        <f>SUMIFS('Assumption-Worst'!$G$3:$G$32,'Assumption-Worst'!$A$3:$A$32,$B69,'Assumption-Worst'!$B$3:$B$32,$C69)</f>
        <v>0.45</v>
      </c>
      <c r="O69" s="14">
        <f t="shared" si="12"/>
        <v>48630.918002940009</v>
      </c>
      <c r="P69" s="94">
        <f t="shared" si="13"/>
        <v>27634.712135003989</v>
      </c>
    </row>
    <row r="70" spans="1:16" x14ac:dyDescent="0.35">
      <c r="A70" s="91" t="str">
        <f>LEFT('2025 actual v budget'!A70,4)&amp;"26"</f>
        <v>Mar-26</v>
      </c>
      <c r="B70" s="12" t="str">
        <f>'2025 actual v budget'!B70</f>
        <v>Germany</v>
      </c>
      <c r="C70" s="12" t="str">
        <f>'2025 actual v budget'!C70</f>
        <v>Stablecoin Settlement</v>
      </c>
      <c r="D70" s="14">
        <f>'2025 actual v budget'!D70</f>
        <v>14686069.93</v>
      </c>
      <c r="E70" s="92">
        <f>SUMIFS('Assumption-Worst'!$C$3:$C$32,'Assumption-Worst'!$A$3:$A$32,$B70,'Assumption-Worst'!$B$3:$B$32,$C70)</f>
        <v>0.06</v>
      </c>
      <c r="F70" s="14">
        <f t="shared" si="7"/>
        <v>15567234.125800001</v>
      </c>
      <c r="G70" s="93">
        <f>SUMIFS('Assumption-Worst'!$D$3:$D$32,'Assumption-Worst'!$A$3:$A$32,$B70,'Assumption-Worst'!$B$3:$B$32,$C70)</f>
        <v>6.4999999999999997E-3</v>
      </c>
      <c r="H70" s="94">
        <f t="shared" si="8"/>
        <v>101187.02181769999</v>
      </c>
      <c r="I70" s="92">
        <f>SUMIFS('Assumption-Worst'!$E$3:$E$32,'Assumption-Worst'!$A$3:$A$32,$B70,'Assumption-Worst'!$B$3:$B$32,$C70)</f>
        <v>0.32</v>
      </c>
      <c r="J70" s="14">
        <f t="shared" si="9"/>
        <v>32379.846981663999</v>
      </c>
      <c r="K70" s="95">
        <f>SUMIFS('Assumption-Worst'!$F$3:$F$32,'Assumption-Worst'!$A$3:$A$32,$B70,'Assumption-Worst'!$B$3:$B$32,$C70)</f>
        <v>1.4999999999999999E-4</v>
      </c>
      <c r="L70" s="14">
        <f t="shared" si="10"/>
        <v>2335.0851188699999</v>
      </c>
      <c r="M70" s="94">
        <f t="shared" si="11"/>
        <v>66472.089717165989</v>
      </c>
      <c r="N70" s="92">
        <f>SUMIFS('Assumption-Worst'!$G$3:$G$32,'Assumption-Worst'!$A$3:$A$32,$B70,'Assumption-Worst'!$B$3:$B$32,$C70)</f>
        <v>0.45</v>
      </c>
      <c r="O70" s="14">
        <f t="shared" si="12"/>
        <v>45534.159817964995</v>
      </c>
      <c r="P70" s="94">
        <f t="shared" si="13"/>
        <v>20937.929899200994</v>
      </c>
    </row>
    <row r="71" spans="1:16" x14ac:dyDescent="0.35">
      <c r="A71" s="91" t="str">
        <f>LEFT('2025 actual v budget'!A71,4)&amp;"26"</f>
        <v>Mar-26</v>
      </c>
      <c r="B71" s="12" t="str">
        <f>'2025 actual v budget'!B71</f>
        <v>Germany</v>
      </c>
      <c r="C71" s="12" t="str">
        <f>'2025 actual v budget'!C71</f>
        <v>Treasury Yield</v>
      </c>
      <c r="D71" s="14">
        <f>'2025 actual v budget'!D71</f>
        <v>4086413.89</v>
      </c>
      <c r="E71" s="92">
        <f>SUMIFS('Assumption-Worst'!$C$3:$C$32,'Assumption-Worst'!$A$3:$A$32,$B71,'Assumption-Worst'!$B$3:$B$32,$C71)</f>
        <v>0.03</v>
      </c>
      <c r="F71" s="14">
        <f t="shared" si="7"/>
        <v>4209006.3067000005</v>
      </c>
      <c r="G71" s="93">
        <f>SUMIFS('Assumption-Worst'!$D$3:$D$32,'Assumption-Worst'!$A$3:$A$32,$B71,'Assumption-Worst'!$B$3:$B$32,$C71)</f>
        <v>3.0000000000000001E-3</v>
      </c>
      <c r="H71" s="94">
        <f t="shared" si="8"/>
        <v>12627.018920100001</v>
      </c>
      <c r="I71" s="92">
        <f>SUMIFS('Assumption-Worst'!$E$3:$E$32,'Assumption-Worst'!$A$3:$A$32,$B71,'Assumption-Worst'!$B$3:$B$32,$C71)</f>
        <v>0.18</v>
      </c>
      <c r="J71" s="14">
        <f t="shared" si="9"/>
        <v>2272.8634056180003</v>
      </c>
      <c r="K71" s="95">
        <f>SUMIFS('Assumption-Worst'!$F$3:$F$32,'Assumption-Worst'!$A$3:$A$32,$B71,'Assumption-Worst'!$B$3:$B$32,$C71)</f>
        <v>1.4999999999999999E-4</v>
      </c>
      <c r="L71" s="14">
        <f t="shared" si="10"/>
        <v>631.35094600499997</v>
      </c>
      <c r="M71" s="94">
        <f t="shared" si="11"/>
        <v>9722.8045684770004</v>
      </c>
      <c r="N71" s="92">
        <f>SUMIFS('Assumption-Worst'!$G$3:$G$32,'Assumption-Worst'!$A$3:$A$32,$B71,'Assumption-Worst'!$B$3:$B$32,$C71)</f>
        <v>0.45</v>
      </c>
      <c r="O71" s="14">
        <f t="shared" si="12"/>
        <v>5682.1585140450006</v>
      </c>
      <c r="P71" s="94">
        <f t="shared" si="13"/>
        <v>4040.6460544319998</v>
      </c>
    </row>
    <row r="72" spans="1:16" x14ac:dyDescent="0.35">
      <c r="A72" s="91" t="str">
        <f>LEFT('2025 actual v budget'!A72,4)&amp;"26"</f>
        <v>Mar-26</v>
      </c>
      <c r="B72" s="12" t="str">
        <f>'2025 actual v budget'!B72</f>
        <v>Germany</v>
      </c>
      <c r="C72" s="12" t="str">
        <f>'2025 actual v budget'!C72</f>
        <v>Virtual Accounts</v>
      </c>
      <c r="D72" s="14">
        <f>'2025 actual v budget'!D72</f>
        <v>6072521.4699999997</v>
      </c>
      <c r="E72" s="92">
        <f>SUMIFS('Assumption-Worst'!$C$3:$C$32,'Assumption-Worst'!$A$3:$A$32,$B72,'Assumption-Worst'!$B$3:$B$32,$C72)</f>
        <v>0.03</v>
      </c>
      <c r="F72" s="14">
        <f t="shared" si="7"/>
        <v>6254697.1140999999</v>
      </c>
      <c r="G72" s="93">
        <f>SUMIFS('Assumption-Worst'!$D$3:$D$32,'Assumption-Worst'!$A$3:$A$32,$B72,'Assumption-Worst'!$B$3:$B$32,$C72)</f>
        <v>4.4999999999999997E-3</v>
      </c>
      <c r="H72" s="94">
        <f t="shared" si="8"/>
        <v>28146.137013449996</v>
      </c>
      <c r="I72" s="92">
        <f>SUMIFS('Assumption-Worst'!$E$3:$E$32,'Assumption-Worst'!$A$3:$A$32,$B72,'Assumption-Worst'!$B$3:$B$32,$C72)</f>
        <v>0.22</v>
      </c>
      <c r="J72" s="14">
        <f t="shared" si="9"/>
        <v>6192.1501429589989</v>
      </c>
      <c r="K72" s="95">
        <f>SUMIFS('Assumption-Worst'!$F$3:$F$32,'Assumption-Worst'!$A$3:$A$32,$B72,'Assumption-Worst'!$B$3:$B$32,$C72)</f>
        <v>1.4999999999999999E-4</v>
      </c>
      <c r="L72" s="14">
        <f t="shared" si="10"/>
        <v>938.20456711499992</v>
      </c>
      <c r="M72" s="94">
        <f t="shared" si="11"/>
        <v>21015.782303375996</v>
      </c>
      <c r="N72" s="92">
        <f>SUMIFS('Assumption-Worst'!$G$3:$G$32,'Assumption-Worst'!$A$3:$A$32,$B72,'Assumption-Worst'!$B$3:$B$32,$C72)</f>
        <v>0.45</v>
      </c>
      <c r="O72" s="14">
        <f t="shared" si="12"/>
        <v>12665.761656052498</v>
      </c>
      <c r="P72" s="94">
        <f t="shared" si="13"/>
        <v>8350.0206473234975</v>
      </c>
    </row>
    <row r="73" spans="1:16" x14ac:dyDescent="0.35">
      <c r="A73" s="91" t="str">
        <f>LEFT('2025 actual v budget'!A73,4)&amp;"26"</f>
        <v>Mar-26</v>
      </c>
      <c r="B73" s="12" t="str">
        <f>'2025 actual v budget'!B73</f>
        <v>India</v>
      </c>
      <c r="C73" s="12" t="str">
        <f>'2025 actual v budget'!C73</f>
        <v>Cross-border Payouts</v>
      </c>
      <c r="D73" s="14">
        <f>'2025 actual v budget'!D73</f>
        <v>7799087.8600000003</v>
      </c>
      <c r="E73" s="92">
        <f>SUMIFS('Assumption-Worst'!$C$3:$C$32,'Assumption-Worst'!$A$3:$A$32,$B73,'Assumption-Worst'!$B$3:$B$32,$C73)</f>
        <v>0.06</v>
      </c>
      <c r="F73" s="14">
        <f t="shared" si="7"/>
        <v>8267033.1316000009</v>
      </c>
      <c r="G73" s="93">
        <f>SUMIFS('Assumption-Worst'!$D$3:$D$32,'Assumption-Worst'!$A$3:$A$32,$B73,'Assumption-Worst'!$B$3:$B$32,$C73)</f>
        <v>7.4999999999999997E-3</v>
      </c>
      <c r="H73" s="94">
        <f t="shared" si="8"/>
        <v>62002.748487000004</v>
      </c>
      <c r="I73" s="92">
        <f>SUMIFS('Assumption-Worst'!$E$3:$E$32,'Assumption-Worst'!$A$3:$A$32,$B73,'Assumption-Worst'!$B$3:$B$32,$C73)</f>
        <v>0.35</v>
      </c>
      <c r="J73" s="14">
        <f t="shared" si="9"/>
        <v>21700.96197045</v>
      </c>
      <c r="K73" s="95">
        <f>SUMIFS('Assumption-Worst'!$F$3:$F$32,'Assumption-Worst'!$A$3:$A$32,$B73,'Assumption-Worst'!$B$3:$B$32,$C73)</f>
        <v>1.8000000000000001E-4</v>
      </c>
      <c r="L73" s="14">
        <f t="shared" si="10"/>
        <v>1488.0659636880002</v>
      </c>
      <c r="M73" s="94">
        <f t="shared" si="11"/>
        <v>38813.720552862003</v>
      </c>
      <c r="N73" s="92">
        <f>SUMIFS('Assumption-Worst'!$G$3:$G$32,'Assumption-Worst'!$A$3:$A$32,$B73,'Assumption-Worst'!$B$3:$B$32,$C73)</f>
        <v>0.45</v>
      </c>
      <c r="O73" s="14">
        <f t="shared" si="12"/>
        <v>27901.236819150003</v>
      </c>
      <c r="P73" s="94">
        <f t="shared" si="13"/>
        <v>10912.483733712001</v>
      </c>
    </row>
    <row r="74" spans="1:16" x14ac:dyDescent="0.35">
      <c r="A74" s="91" t="str">
        <f>LEFT('2025 actual v budget'!A74,4)&amp;"26"</f>
        <v>Mar-26</v>
      </c>
      <c r="B74" s="12" t="str">
        <f>'2025 actual v budget'!B74</f>
        <v>India</v>
      </c>
      <c r="C74" s="12" t="str">
        <f>'2025 actual v budget'!C74</f>
        <v>FX Conversion</v>
      </c>
      <c r="D74" s="14">
        <f>'2025 actual v budget'!D74</f>
        <v>12525735.140000001</v>
      </c>
      <c r="E74" s="92">
        <f>SUMIFS('Assumption-Worst'!$C$3:$C$32,'Assumption-Worst'!$A$3:$A$32,$B74,'Assumption-Worst'!$B$3:$B$32,$C74)</f>
        <v>0.06</v>
      </c>
      <c r="F74" s="14">
        <f t="shared" si="7"/>
        <v>13277279.248400001</v>
      </c>
      <c r="G74" s="93">
        <f>SUMIFS('Assumption-Worst'!$D$3:$D$32,'Assumption-Worst'!$A$3:$A$32,$B74,'Assumption-Worst'!$B$3:$B$32,$C74)</f>
        <v>1.0500000000000001E-2</v>
      </c>
      <c r="H74" s="94">
        <f t="shared" si="8"/>
        <v>139411.43210820001</v>
      </c>
      <c r="I74" s="92">
        <f>SUMIFS('Assumption-Worst'!$E$3:$E$32,'Assumption-Worst'!$A$3:$A$32,$B74,'Assumption-Worst'!$B$3:$B$32,$C74)</f>
        <v>0.28000000000000003</v>
      </c>
      <c r="J74" s="14">
        <f t="shared" si="9"/>
        <v>39035.200990296005</v>
      </c>
      <c r="K74" s="95">
        <f>SUMIFS('Assumption-Worst'!$F$3:$F$32,'Assumption-Worst'!$A$3:$A$32,$B74,'Assumption-Worst'!$B$3:$B$32,$C74)</f>
        <v>1.8000000000000001E-4</v>
      </c>
      <c r="L74" s="14">
        <f t="shared" si="10"/>
        <v>2389.9102647120003</v>
      </c>
      <c r="M74" s="94">
        <f t="shared" si="11"/>
        <v>97986.32085319201</v>
      </c>
      <c r="N74" s="92">
        <f>SUMIFS('Assumption-Worst'!$G$3:$G$32,'Assumption-Worst'!$A$3:$A$32,$B74,'Assumption-Worst'!$B$3:$B$32,$C74)</f>
        <v>0.45</v>
      </c>
      <c r="O74" s="14">
        <f t="shared" si="12"/>
        <v>62735.144448690007</v>
      </c>
      <c r="P74" s="94">
        <f t="shared" si="13"/>
        <v>35251.176404502003</v>
      </c>
    </row>
    <row r="75" spans="1:16" x14ac:dyDescent="0.35">
      <c r="A75" s="91" t="str">
        <f>LEFT('2025 actual v budget'!A75,4)&amp;"26"</f>
        <v>Mar-26</v>
      </c>
      <c r="B75" s="12" t="str">
        <f>'2025 actual v budget'!B75</f>
        <v>India</v>
      </c>
      <c r="C75" s="12" t="str">
        <f>'2025 actual v budget'!C75</f>
        <v>Stablecoin Settlement</v>
      </c>
      <c r="D75" s="14">
        <f>'2025 actual v budget'!D75</f>
        <v>18404281.039999999</v>
      </c>
      <c r="E75" s="92">
        <f>SUMIFS('Assumption-Worst'!$C$3:$C$32,'Assumption-Worst'!$A$3:$A$32,$B75,'Assumption-Worst'!$B$3:$B$32,$C75)</f>
        <v>0.12</v>
      </c>
      <c r="F75" s="14">
        <f t="shared" si="7"/>
        <v>20612794.764800001</v>
      </c>
      <c r="G75" s="93">
        <f>SUMIFS('Assumption-Worst'!$D$3:$D$32,'Assumption-Worst'!$A$3:$A$32,$B75,'Assumption-Worst'!$B$3:$B$32,$C75)</f>
        <v>6.4999999999999997E-3</v>
      </c>
      <c r="H75" s="94">
        <f t="shared" si="8"/>
        <v>133983.16597120001</v>
      </c>
      <c r="I75" s="92">
        <f>SUMIFS('Assumption-Worst'!$E$3:$E$32,'Assumption-Worst'!$A$3:$A$32,$B75,'Assumption-Worst'!$B$3:$B$32,$C75)</f>
        <v>0.32</v>
      </c>
      <c r="J75" s="14">
        <f t="shared" si="9"/>
        <v>42874.613110784005</v>
      </c>
      <c r="K75" s="95">
        <f>SUMIFS('Assumption-Worst'!$F$3:$F$32,'Assumption-Worst'!$A$3:$A$32,$B75,'Assumption-Worst'!$B$3:$B$32,$C75)</f>
        <v>1.8000000000000001E-4</v>
      </c>
      <c r="L75" s="14">
        <f t="shared" si="10"/>
        <v>3710.3030576640003</v>
      </c>
      <c r="M75" s="94">
        <f t="shared" si="11"/>
        <v>87398.249802752005</v>
      </c>
      <c r="N75" s="92">
        <f>SUMIFS('Assumption-Worst'!$G$3:$G$32,'Assumption-Worst'!$A$3:$A$32,$B75,'Assumption-Worst'!$B$3:$B$32,$C75)</f>
        <v>0.45</v>
      </c>
      <c r="O75" s="14">
        <f t="shared" si="12"/>
        <v>60292.424687040009</v>
      </c>
      <c r="P75" s="94">
        <f t="shared" si="13"/>
        <v>27105.825115711996</v>
      </c>
    </row>
    <row r="76" spans="1:16" x14ac:dyDescent="0.35">
      <c r="A76" s="91" t="str">
        <f>LEFT('2025 actual v budget'!A76,4)&amp;"26"</f>
        <v>Mar-26</v>
      </c>
      <c r="B76" s="12" t="str">
        <f>'2025 actual v budget'!B76</f>
        <v>India</v>
      </c>
      <c r="C76" s="12" t="str">
        <f>'2025 actual v budget'!C76</f>
        <v>Treasury Yield</v>
      </c>
      <c r="D76" s="14">
        <f>'2025 actual v budget'!D76</f>
        <v>5122384.1500000004</v>
      </c>
      <c r="E76" s="92">
        <f>SUMIFS('Assumption-Worst'!$C$3:$C$32,'Assumption-Worst'!$A$3:$A$32,$B76,'Assumption-Worst'!$B$3:$B$32,$C76)</f>
        <v>0.06</v>
      </c>
      <c r="F76" s="14">
        <f t="shared" si="7"/>
        <v>5429727.199000001</v>
      </c>
      <c r="G76" s="93">
        <f>SUMIFS('Assumption-Worst'!$D$3:$D$32,'Assumption-Worst'!$A$3:$A$32,$B76,'Assumption-Worst'!$B$3:$B$32,$C76)</f>
        <v>3.0000000000000001E-3</v>
      </c>
      <c r="H76" s="94">
        <f t="shared" si="8"/>
        <v>16289.181597000003</v>
      </c>
      <c r="I76" s="92">
        <f>SUMIFS('Assumption-Worst'!$E$3:$E$32,'Assumption-Worst'!$A$3:$A$32,$B76,'Assumption-Worst'!$B$3:$B$32,$C76)</f>
        <v>0.18</v>
      </c>
      <c r="J76" s="14">
        <f t="shared" si="9"/>
        <v>2932.0526874600005</v>
      </c>
      <c r="K76" s="95">
        <f>SUMIFS('Assumption-Worst'!$F$3:$F$32,'Assumption-Worst'!$A$3:$A$32,$B76,'Assumption-Worst'!$B$3:$B$32,$C76)</f>
        <v>1.8000000000000001E-4</v>
      </c>
      <c r="L76" s="14">
        <f t="shared" si="10"/>
        <v>977.35089582000023</v>
      </c>
      <c r="M76" s="94">
        <f t="shared" si="11"/>
        <v>12379.778013720002</v>
      </c>
      <c r="N76" s="92">
        <f>SUMIFS('Assumption-Worst'!$G$3:$G$32,'Assumption-Worst'!$A$3:$A$32,$B76,'Assumption-Worst'!$B$3:$B$32,$C76)</f>
        <v>0.45</v>
      </c>
      <c r="O76" s="14">
        <f t="shared" si="12"/>
        <v>7330.1317186500009</v>
      </c>
      <c r="P76" s="94">
        <f t="shared" si="13"/>
        <v>5049.6462950700015</v>
      </c>
    </row>
    <row r="77" spans="1:16" x14ac:dyDescent="0.35">
      <c r="A77" s="91" t="str">
        <f>LEFT('2025 actual v budget'!A77,4)&amp;"26"</f>
        <v>Mar-26</v>
      </c>
      <c r="B77" s="12" t="str">
        <f>'2025 actual v budget'!B77</f>
        <v>India</v>
      </c>
      <c r="C77" s="12" t="str">
        <f>'2025 actual v budget'!C77</f>
        <v>Virtual Accounts</v>
      </c>
      <c r="D77" s="14">
        <f>'2025 actual v budget'!D77</f>
        <v>7612001.2800000003</v>
      </c>
      <c r="E77" s="92">
        <f>SUMIFS('Assumption-Worst'!$C$3:$C$32,'Assumption-Worst'!$A$3:$A$32,$B77,'Assumption-Worst'!$B$3:$B$32,$C77)</f>
        <v>0.06</v>
      </c>
      <c r="F77" s="14">
        <f t="shared" si="7"/>
        <v>8068721.3568000011</v>
      </c>
      <c r="G77" s="93">
        <f>SUMIFS('Assumption-Worst'!$D$3:$D$32,'Assumption-Worst'!$A$3:$A$32,$B77,'Assumption-Worst'!$B$3:$B$32,$C77)</f>
        <v>4.4999999999999997E-3</v>
      </c>
      <c r="H77" s="94">
        <f t="shared" si="8"/>
        <v>36309.246105600003</v>
      </c>
      <c r="I77" s="92">
        <f>SUMIFS('Assumption-Worst'!$E$3:$E$32,'Assumption-Worst'!$A$3:$A$32,$B77,'Assumption-Worst'!$B$3:$B$32,$C77)</f>
        <v>0.22</v>
      </c>
      <c r="J77" s="14">
        <f t="shared" si="9"/>
        <v>7988.034143232001</v>
      </c>
      <c r="K77" s="95">
        <f>SUMIFS('Assumption-Worst'!$F$3:$F$32,'Assumption-Worst'!$A$3:$A$32,$B77,'Assumption-Worst'!$B$3:$B$32,$C77)</f>
        <v>1.8000000000000001E-4</v>
      </c>
      <c r="L77" s="14">
        <f t="shared" si="10"/>
        <v>1452.3698442240002</v>
      </c>
      <c r="M77" s="94">
        <f t="shared" si="11"/>
        <v>26868.842118143999</v>
      </c>
      <c r="N77" s="92">
        <f>SUMIFS('Assumption-Worst'!$G$3:$G$32,'Assumption-Worst'!$A$3:$A$32,$B77,'Assumption-Worst'!$B$3:$B$32,$C77)</f>
        <v>0.45</v>
      </c>
      <c r="O77" s="14">
        <f t="shared" si="12"/>
        <v>16339.160747520002</v>
      </c>
      <c r="P77" s="94">
        <f t="shared" si="13"/>
        <v>10529.681370623997</v>
      </c>
    </row>
    <row r="78" spans="1:16" x14ac:dyDescent="0.35">
      <c r="A78" s="91" t="str">
        <f>LEFT('2025 actual v budget'!A78,4)&amp;"26"</f>
        <v>Mar-26</v>
      </c>
      <c r="B78" s="12" t="str">
        <f>'2025 actual v budget'!B78</f>
        <v>Mexico</v>
      </c>
      <c r="C78" s="12" t="str">
        <f>'2025 actual v budget'!C78</f>
        <v>Cross-border Payouts</v>
      </c>
      <c r="D78" s="14">
        <f>'2025 actual v budget'!D78</f>
        <v>9443752.9100000001</v>
      </c>
      <c r="E78" s="92">
        <f>SUMIFS('Assumption-Worst'!$C$3:$C$32,'Assumption-Worst'!$A$3:$A$32,$B78,'Assumption-Worst'!$B$3:$B$32,$C78)</f>
        <v>7.4999999999999997E-2</v>
      </c>
      <c r="F78" s="14">
        <f t="shared" si="7"/>
        <v>10152034.378249999</v>
      </c>
      <c r="G78" s="93">
        <f>SUMIFS('Assumption-Worst'!$D$3:$D$32,'Assumption-Worst'!$A$3:$A$32,$B78,'Assumption-Worst'!$B$3:$B$32,$C78)</f>
        <v>7.4999999999999997E-3</v>
      </c>
      <c r="H78" s="94">
        <f t="shared" si="8"/>
        <v>76140.257836874996</v>
      </c>
      <c r="I78" s="92">
        <f>SUMIFS('Assumption-Worst'!$E$3:$E$32,'Assumption-Worst'!$A$3:$A$32,$B78,'Assumption-Worst'!$B$3:$B$32,$C78)</f>
        <v>0.35</v>
      </c>
      <c r="J78" s="14">
        <f t="shared" si="9"/>
        <v>26649.090242906248</v>
      </c>
      <c r="K78" s="95">
        <f>SUMIFS('Assumption-Worst'!$F$3:$F$32,'Assumption-Worst'!$A$3:$A$32,$B78,'Assumption-Worst'!$B$3:$B$32,$C78)</f>
        <v>8.0000000000000007E-5</v>
      </c>
      <c r="L78" s="14">
        <f t="shared" si="10"/>
        <v>812.16275026000005</v>
      </c>
      <c r="M78" s="94">
        <f t="shared" si="11"/>
        <v>48679.004843708746</v>
      </c>
      <c r="N78" s="92">
        <f>SUMIFS('Assumption-Worst'!$G$3:$G$32,'Assumption-Worst'!$A$3:$A$32,$B78,'Assumption-Worst'!$B$3:$B$32,$C78)</f>
        <v>0.45</v>
      </c>
      <c r="O78" s="14">
        <f t="shared" si="12"/>
        <v>34263.116026593751</v>
      </c>
      <c r="P78" s="94">
        <f t="shared" si="13"/>
        <v>14415.888817114996</v>
      </c>
    </row>
    <row r="79" spans="1:16" x14ac:dyDescent="0.35">
      <c r="A79" s="91" t="str">
        <f>LEFT('2025 actual v budget'!A79,4)&amp;"26"</f>
        <v>Mar-26</v>
      </c>
      <c r="B79" s="12" t="str">
        <f>'2025 actual v budget'!B79</f>
        <v>Mexico</v>
      </c>
      <c r="C79" s="12" t="str">
        <f>'2025 actual v budget'!C79</f>
        <v>FX Conversion</v>
      </c>
      <c r="D79" s="14">
        <f>'2025 actual v budget'!D79</f>
        <v>15166489.199999999</v>
      </c>
      <c r="E79" s="92">
        <f>SUMIFS('Assumption-Worst'!$C$3:$C$32,'Assumption-Worst'!$A$3:$A$32,$B79,'Assumption-Worst'!$B$3:$B$32,$C79)</f>
        <v>7.4999999999999997E-2</v>
      </c>
      <c r="F79" s="14">
        <f t="shared" si="7"/>
        <v>16303975.889999999</v>
      </c>
      <c r="G79" s="93">
        <f>SUMIFS('Assumption-Worst'!$D$3:$D$32,'Assumption-Worst'!$A$3:$A$32,$B79,'Assumption-Worst'!$B$3:$B$32,$C79)</f>
        <v>1.0500000000000001E-2</v>
      </c>
      <c r="H79" s="94">
        <f t="shared" si="8"/>
        <v>171191.74684499999</v>
      </c>
      <c r="I79" s="92">
        <f>SUMIFS('Assumption-Worst'!$E$3:$E$32,'Assumption-Worst'!$A$3:$A$32,$B79,'Assumption-Worst'!$B$3:$B$32,$C79)</f>
        <v>0.28000000000000003</v>
      </c>
      <c r="J79" s="14">
        <f t="shared" si="9"/>
        <v>47933.689116599999</v>
      </c>
      <c r="K79" s="95">
        <f>SUMIFS('Assumption-Worst'!$F$3:$F$32,'Assumption-Worst'!$A$3:$A$32,$B79,'Assumption-Worst'!$B$3:$B$32,$C79)</f>
        <v>8.0000000000000007E-5</v>
      </c>
      <c r="L79" s="14">
        <f t="shared" si="10"/>
        <v>1304.3180712000001</v>
      </c>
      <c r="M79" s="94">
        <f t="shared" si="11"/>
        <v>121953.73965719999</v>
      </c>
      <c r="N79" s="92">
        <f>SUMIFS('Assumption-Worst'!$G$3:$G$32,'Assumption-Worst'!$A$3:$A$32,$B79,'Assumption-Worst'!$B$3:$B$32,$C79)</f>
        <v>0.45</v>
      </c>
      <c r="O79" s="14">
        <f t="shared" si="12"/>
        <v>77036.286080249993</v>
      </c>
      <c r="P79" s="94">
        <f t="shared" si="13"/>
        <v>44917.453576949993</v>
      </c>
    </row>
    <row r="80" spans="1:16" x14ac:dyDescent="0.35">
      <c r="A80" s="91" t="str">
        <f>LEFT('2025 actual v budget'!A80,4)&amp;"26"</f>
        <v>Mar-26</v>
      </c>
      <c r="B80" s="12" t="str">
        <f>'2025 actual v budget'!B80</f>
        <v>Mexico</v>
      </c>
      <c r="C80" s="12" t="str">
        <f>'2025 actual v budget'!C80</f>
        <v>Stablecoin Settlement</v>
      </c>
      <c r="D80" s="14">
        <f>'2025 actual v budget'!D80</f>
        <v>22285360.25</v>
      </c>
      <c r="E80" s="92">
        <f>SUMIFS('Assumption-Worst'!$C$3:$C$32,'Assumption-Worst'!$A$3:$A$32,$B80,'Assumption-Worst'!$B$3:$B$32,$C80)</f>
        <v>0.15</v>
      </c>
      <c r="F80" s="14">
        <f t="shared" si="7"/>
        <v>25628164.287499998</v>
      </c>
      <c r="G80" s="93">
        <f>SUMIFS('Assumption-Worst'!$D$3:$D$32,'Assumption-Worst'!$A$3:$A$32,$B80,'Assumption-Worst'!$B$3:$B$32,$C80)</f>
        <v>6.4999999999999997E-3</v>
      </c>
      <c r="H80" s="94">
        <f t="shared" si="8"/>
        <v>166583.06786874999</v>
      </c>
      <c r="I80" s="92">
        <f>SUMIFS('Assumption-Worst'!$E$3:$E$32,'Assumption-Worst'!$A$3:$A$32,$B80,'Assumption-Worst'!$B$3:$B$32,$C80)</f>
        <v>0.32</v>
      </c>
      <c r="J80" s="14">
        <f t="shared" si="9"/>
        <v>53306.581718000001</v>
      </c>
      <c r="K80" s="95">
        <f>SUMIFS('Assumption-Worst'!$F$3:$F$32,'Assumption-Worst'!$A$3:$A$32,$B80,'Assumption-Worst'!$B$3:$B$32,$C80)</f>
        <v>8.0000000000000007E-5</v>
      </c>
      <c r="L80" s="14">
        <f t="shared" si="10"/>
        <v>2050.2531429999999</v>
      </c>
      <c r="M80" s="94">
        <f t="shared" si="11"/>
        <v>111226.23300774999</v>
      </c>
      <c r="N80" s="92">
        <f>SUMIFS('Assumption-Worst'!$G$3:$G$32,'Assumption-Worst'!$A$3:$A$32,$B80,'Assumption-Worst'!$B$3:$B$32,$C80)</f>
        <v>0.45</v>
      </c>
      <c r="O80" s="14">
        <f t="shared" si="12"/>
        <v>74962.380540937491</v>
      </c>
      <c r="P80" s="94">
        <f t="shared" si="13"/>
        <v>36263.852466812503</v>
      </c>
    </row>
    <row r="81" spans="1:16" x14ac:dyDescent="0.35">
      <c r="A81" s="91" t="str">
        <f>LEFT('2025 actual v budget'!A81,4)&amp;"26"</f>
        <v>Mar-26</v>
      </c>
      <c r="B81" s="12" t="str">
        <f>'2025 actual v budget'!B81</f>
        <v>Mexico</v>
      </c>
      <c r="C81" s="12" t="str">
        <f>'2025 actual v budget'!C81</f>
        <v>Treasury Yield</v>
      </c>
      <c r="D81" s="14">
        <f>'2025 actual v budget'!D81</f>
        <v>6202317.3099999996</v>
      </c>
      <c r="E81" s="92">
        <f>SUMIFS('Assumption-Worst'!$C$3:$C$32,'Assumption-Worst'!$A$3:$A$32,$B81,'Assumption-Worst'!$B$3:$B$32,$C81)</f>
        <v>7.4999999999999997E-2</v>
      </c>
      <c r="F81" s="14">
        <f t="shared" si="7"/>
        <v>6667491.1082499996</v>
      </c>
      <c r="G81" s="93">
        <f>SUMIFS('Assumption-Worst'!$D$3:$D$32,'Assumption-Worst'!$A$3:$A$32,$B81,'Assumption-Worst'!$B$3:$B$32,$C81)</f>
        <v>3.0000000000000001E-3</v>
      </c>
      <c r="H81" s="94">
        <f t="shared" si="8"/>
        <v>20002.473324750001</v>
      </c>
      <c r="I81" s="92">
        <f>SUMIFS('Assumption-Worst'!$E$3:$E$32,'Assumption-Worst'!$A$3:$A$32,$B81,'Assumption-Worst'!$B$3:$B$32,$C81)</f>
        <v>0.18</v>
      </c>
      <c r="J81" s="14">
        <f t="shared" si="9"/>
        <v>3600.4451984550001</v>
      </c>
      <c r="K81" s="95">
        <f>SUMIFS('Assumption-Worst'!$F$3:$F$32,'Assumption-Worst'!$A$3:$A$32,$B81,'Assumption-Worst'!$B$3:$B$32,$C81)</f>
        <v>8.0000000000000007E-5</v>
      </c>
      <c r="L81" s="14">
        <f t="shared" si="10"/>
        <v>533.39928866000002</v>
      </c>
      <c r="M81" s="94">
        <f t="shared" si="11"/>
        <v>15868.628837635</v>
      </c>
      <c r="N81" s="92">
        <f>SUMIFS('Assumption-Worst'!$G$3:$G$32,'Assumption-Worst'!$A$3:$A$32,$B81,'Assumption-Worst'!$B$3:$B$32,$C81)</f>
        <v>0.45</v>
      </c>
      <c r="O81" s="14">
        <f t="shared" si="12"/>
        <v>9001.1129961375009</v>
      </c>
      <c r="P81" s="94">
        <f t="shared" si="13"/>
        <v>6867.5158414974994</v>
      </c>
    </row>
    <row r="82" spans="1:16" x14ac:dyDescent="0.35">
      <c r="A82" s="91" t="str">
        <f>LEFT('2025 actual v budget'!A82,4)&amp;"26"</f>
        <v>Mar-26</v>
      </c>
      <c r="B82" s="12" t="str">
        <f>'2025 actual v budget'!B82</f>
        <v>Mexico</v>
      </c>
      <c r="C82" s="12" t="str">
        <f>'2025 actual v budget'!C82</f>
        <v>Virtual Accounts</v>
      </c>
      <c r="D82" s="14">
        <f>'2025 actual v budget'!D82</f>
        <v>9216811.1500000004</v>
      </c>
      <c r="E82" s="92">
        <f>SUMIFS('Assumption-Worst'!$C$3:$C$32,'Assumption-Worst'!$A$3:$A$32,$B82,'Assumption-Worst'!$B$3:$B$32,$C82)</f>
        <v>7.4999999999999997E-2</v>
      </c>
      <c r="F82" s="14">
        <f t="shared" si="7"/>
        <v>9908071.9862500001</v>
      </c>
      <c r="G82" s="93">
        <f>SUMIFS('Assumption-Worst'!$D$3:$D$32,'Assumption-Worst'!$A$3:$A$32,$B82,'Assumption-Worst'!$B$3:$B$32,$C82)</f>
        <v>4.4999999999999997E-3</v>
      </c>
      <c r="H82" s="94">
        <f t="shared" si="8"/>
        <v>44586.323938124995</v>
      </c>
      <c r="I82" s="92">
        <f>SUMIFS('Assumption-Worst'!$E$3:$E$32,'Assumption-Worst'!$A$3:$A$32,$B82,'Assumption-Worst'!$B$3:$B$32,$C82)</f>
        <v>0.22</v>
      </c>
      <c r="J82" s="14">
        <f t="shared" si="9"/>
        <v>9808.9912663874984</v>
      </c>
      <c r="K82" s="95">
        <f>SUMIFS('Assumption-Worst'!$F$3:$F$32,'Assumption-Worst'!$A$3:$A$32,$B82,'Assumption-Worst'!$B$3:$B$32,$C82)</f>
        <v>8.0000000000000007E-5</v>
      </c>
      <c r="L82" s="14">
        <f t="shared" si="10"/>
        <v>792.64575890000003</v>
      </c>
      <c r="M82" s="94">
        <f t="shared" si="11"/>
        <v>33984.686912837496</v>
      </c>
      <c r="N82" s="92">
        <f>SUMIFS('Assumption-Worst'!$G$3:$G$32,'Assumption-Worst'!$A$3:$A$32,$B82,'Assumption-Worst'!$B$3:$B$32,$C82)</f>
        <v>0.45</v>
      </c>
      <c r="O82" s="14">
        <f t="shared" si="12"/>
        <v>20063.845772156248</v>
      </c>
      <c r="P82" s="94">
        <f t="shared" si="13"/>
        <v>13920.841140681248</v>
      </c>
    </row>
    <row r="83" spans="1:16" x14ac:dyDescent="0.35">
      <c r="A83" s="91" t="str">
        <f>LEFT('2025 actual v budget'!A83,4)&amp;"26"</f>
        <v>Mar-26</v>
      </c>
      <c r="B83" s="12" t="str">
        <f>'2025 actual v budget'!B83</f>
        <v>Singapore</v>
      </c>
      <c r="C83" s="12" t="str">
        <f>'2025 actual v budget'!C83</f>
        <v>Cross-border Payouts</v>
      </c>
      <c r="D83" s="14">
        <f>'2025 actual v budget'!D83</f>
        <v>8012361.3499999996</v>
      </c>
      <c r="E83" s="92">
        <f>SUMIFS('Assumption-Worst'!$C$3:$C$32,'Assumption-Worst'!$A$3:$A$32,$B83,'Assumption-Worst'!$B$3:$B$32,$C83)</f>
        <v>2.5000000000000001E-2</v>
      </c>
      <c r="F83" s="14">
        <f t="shared" si="7"/>
        <v>8212670.3837499991</v>
      </c>
      <c r="G83" s="93">
        <f>SUMIFS('Assumption-Worst'!$D$3:$D$32,'Assumption-Worst'!$A$3:$A$32,$B83,'Assumption-Worst'!$B$3:$B$32,$C83)</f>
        <v>7.4999999999999997E-3</v>
      </c>
      <c r="H83" s="94">
        <f t="shared" si="8"/>
        <v>61595.027878124994</v>
      </c>
      <c r="I83" s="92">
        <f>SUMIFS('Assumption-Worst'!$E$3:$E$32,'Assumption-Worst'!$A$3:$A$32,$B83,'Assumption-Worst'!$B$3:$B$32,$C83)</f>
        <v>0.35</v>
      </c>
      <c r="J83" s="14">
        <f t="shared" si="9"/>
        <v>21558.259757343745</v>
      </c>
      <c r="K83" s="95">
        <f>SUMIFS('Assumption-Worst'!$F$3:$F$32,'Assumption-Worst'!$A$3:$A$32,$B83,'Assumption-Worst'!$B$3:$B$32,$C83)</f>
        <v>9.0000000000000006E-5</v>
      </c>
      <c r="L83" s="14">
        <f t="shared" si="10"/>
        <v>739.14033453749994</v>
      </c>
      <c r="M83" s="94">
        <f t="shared" si="11"/>
        <v>39297.627786243749</v>
      </c>
      <c r="N83" s="92">
        <f>SUMIFS('Assumption-Worst'!$G$3:$G$32,'Assumption-Worst'!$A$3:$A$32,$B83,'Assumption-Worst'!$B$3:$B$32,$C83)</f>
        <v>0.45</v>
      </c>
      <c r="O83" s="14">
        <f t="shared" si="12"/>
        <v>27717.762545156249</v>
      </c>
      <c r="P83" s="94">
        <f t="shared" si="13"/>
        <v>11579.8652410875</v>
      </c>
    </row>
    <row r="84" spans="1:16" x14ac:dyDescent="0.35">
      <c r="A84" s="91" t="str">
        <f>LEFT('2025 actual v budget'!A84,4)&amp;"26"</f>
        <v>Mar-26</v>
      </c>
      <c r="B84" s="12" t="str">
        <f>'2025 actual v budget'!B84</f>
        <v>Singapore</v>
      </c>
      <c r="C84" s="12" t="str">
        <f>'2025 actual v budget'!C84</f>
        <v>FX Conversion</v>
      </c>
      <c r="D84" s="14">
        <f>'2025 actual v budget'!D84</f>
        <v>12865983.52</v>
      </c>
      <c r="E84" s="92">
        <f>SUMIFS('Assumption-Worst'!$C$3:$C$32,'Assumption-Worst'!$A$3:$A$32,$B84,'Assumption-Worst'!$B$3:$B$32,$C84)</f>
        <v>2.5000000000000001E-2</v>
      </c>
      <c r="F84" s="14">
        <f t="shared" si="7"/>
        <v>13187633.107999999</v>
      </c>
      <c r="G84" s="93">
        <f>SUMIFS('Assumption-Worst'!$D$3:$D$32,'Assumption-Worst'!$A$3:$A$32,$B84,'Assumption-Worst'!$B$3:$B$32,$C84)</f>
        <v>1.0500000000000001E-2</v>
      </c>
      <c r="H84" s="94">
        <f t="shared" si="8"/>
        <v>138470.14763399999</v>
      </c>
      <c r="I84" s="92">
        <f>SUMIFS('Assumption-Worst'!$E$3:$E$32,'Assumption-Worst'!$A$3:$A$32,$B84,'Assumption-Worst'!$B$3:$B$32,$C84)</f>
        <v>0.28000000000000003</v>
      </c>
      <c r="J84" s="14">
        <f t="shared" si="9"/>
        <v>38771.641337519999</v>
      </c>
      <c r="K84" s="95">
        <f>SUMIFS('Assumption-Worst'!$F$3:$F$32,'Assumption-Worst'!$A$3:$A$32,$B84,'Assumption-Worst'!$B$3:$B$32,$C84)</f>
        <v>9.0000000000000006E-5</v>
      </c>
      <c r="L84" s="14">
        <f t="shared" si="10"/>
        <v>1186.88697972</v>
      </c>
      <c r="M84" s="94">
        <f t="shared" si="11"/>
        <v>98511.619316759985</v>
      </c>
      <c r="N84" s="92">
        <f>SUMIFS('Assumption-Worst'!$G$3:$G$32,'Assumption-Worst'!$A$3:$A$32,$B84,'Assumption-Worst'!$B$3:$B$32,$C84)</f>
        <v>0.45</v>
      </c>
      <c r="O84" s="14">
        <f t="shared" si="12"/>
        <v>62311.566435299996</v>
      </c>
      <c r="P84" s="94">
        <f t="shared" si="13"/>
        <v>36200.052881459989</v>
      </c>
    </row>
    <row r="85" spans="1:16" x14ac:dyDescent="0.35">
      <c r="A85" s="91" t="str">
        <f>LEFT('2025 actual v budget'!A85,4)&amp;"26"</f>
        <v>Mar-26</v>
      </c>
      <c r="B85" s="12" t="str">
        <f>'2025 actual v budget'!B85</f>
        <v>Singapore</v>
      </c>
      <c r="C85" s="12" t="str">
        <f>'2025 actual v budget'!C85</f>
        <v>Stablecoin Settlement</v>
      </c>
      <c r="D85" s="14">
        <f>'2025 actual v budget'!D85</f>
        <v>18907563.640000001</v>
      </c>
      <c r="E85" s="92">
        <f>SUMIFS('Assumption-Worst'!$C$3:$C$32,'Assumption-Worst'!$A$3:$A$32,$B85,'Assumption-Worst'!$B$3:$B$32,$C85)</f>
        <v>0.05</v>
      </c>
      <c r="F85" s="14">
        <f t="shared" si="7"/>
        <v>19852941.822000001</v>
      </c>
      <c r="G85" s="93">
        <f>SUMIFS('Assumption-Worst'!$D$3:$D$32,'Assumption-Worst'!$A$3:$A$32,$B85,'Assumption-Worst'!$B$3:$B$32,$C85)</f>
        <v>6.4999999999999997E-3</v>
      </c>
      <c r="H85" s="94">
        <f t="shared" si="8"/>
        <v>129044.121843</v>
      </c>
      <c r="I85" s="92">
        <f>SUMIFS('Assumption-Worst'!$E$3:$E$32,'Assumption-Worst'!$A$3:$A$32,$B85,'Assumption-Worst'!$B$3:$B$32,$C85)</f>
        <v>0.32</v>
      </c>
      <c r="J85" s="14">
        <f t="shared" si="9"/>
        <v>41294.118989759998</v>
      </c>
      <c r="K85" s="95">
        <f>SUMIFS('Assumption-Worst'!$F$3:$F$32,'Assumption-Worst'!$A$3:$A$32,$B85,'Assumption-Worst'!$B$3:$B$32,$C85)</f>
        <v>9.0000000000000006E-5</v>
      </c>
      <c r="L85" s="14">
        <f t="shared" si="10"/>
        <v>1786.7647639800002</v>
      </c>
      <c r="M85" s="94">
        <f t="shared" si="11"/>
        <v>85963.238089260005</v>
      </c>
      <c r="N85" s="92">
        <f>SUMIFS('Assumption-Worst'!$G$3:$G$32,'Assumption-Worst'!$A$3:$A$32,$B85,'Assumption-Worst'!$B$3:$B$32,$C85)</f>
        <v>0.45</v>
      </c>
      <c r="O85" s="14">
        <f t="shared" si="12"/>
        <v>58069.854829349999</v>
      </c>
      <c r="P85" s="94">
        <f t="shared" si="13"/>
        <v>27893.383259910006</v>
      </c>
    </row>
    <row r="86" spans="1:16" x14ac:dyDescent="0.35">
      <c r="A86" s="91" t="str">
        <f>LEFT('2025 actual v budget'!A86,4)&amp;"26"</f>
        <v>Mar-26</v>
      </c>
      <c r="B86" s="12" t="str">
        <f>'2025 actual v budget'!B86</f>
        <v>Singapore</v>
      </c>
      <c r="C86" s="12" t="str">
        <f>'2025 actual v budget'!C86</f>
        <v>Treasury Yield</v>
      </c>
      <c r="D86" s="14">
        <f>'2025 actual v budget'!D86</f>
        <v>5261528.3099999996</v>
      </c>
      <c r="E86" s="92">
        <f>SUMIFS('Assumption-Worst'!$C$3:$C$32,'Assumption-Worst'!$A$3:$A$32,$B86,'Assumption-Worst'!$B$3:$B$32,$C86)</f>
        <v>2.5000000000000001E-2</v>
      </c>
      <c r="F86" s="14">
        <f t="shared" si="7"/>
        <v>5393066.5177499987</v>
      </c>
      <c r="G86" s="93">
        <f>SUMIFS('Assumption-Worst'!$D$3:$D$32,'Assumption-Worst'!$A$3:$A$32,$B86,'Assumption-Worst'!$B$3:$B$32,$C86)</f>
        <v>3.0000000000000001E-3</v>
      </c>
      <c r="H86" s="94">
        <f t="shared" si="8"/>
        <v>16179.199553249997</v>
      </c>
      <c r="I86" s="92">
        <f>SUMIFS('Assumption-Worst'!$E$3:$E$32,'Assumption-Worst'!$A$3:$A$32,$B86,'Assumption-Worst'!$B$3:$B$32,$C86)</f>
        <v>0.18</v>
      </c>
      <c r="J86" s="14">
        <f t="shared" si="9"/>
        <v>2912.2559195849994</v>
      </c>
      <c r="K86" s="95">
        <f>SUMIFS('Assumption-Worst'!$F$3:$F$32,'Assumption-Worst'!$A$3:$A$32,$B86,'Assumption-Worst'!$B$3:$B$32,$C86)</f>
        <v>9.0000000000000006E-5</v>
      </c>
      <c r="L86" s="14">
        <f t="shared" si="10"/>
        <v>485.37598659749989</v>
      </c>
      <c r="M86" s="94">
        <f t="shared" si="11"/>
        <v>12781.567647067497</v>
      </c>
      <c r="N86" s="92">
        <f>SUMIFS('Assumption-Worst'!$G$3:$G$32,'Assumption-Worst'!$A$3:$A$32,$B86,'Assumption-Worst'!$B$3:$B$32,$C86)</f>
        <v>0.45</v>
      </c>
      <c r="O86" s="14">
        <f t="shared" si="12"/>
        <v>7280.6397989624984</v>
      </c>
      <c r="P86" s="94">
        <f t="shared" si="13"/>
        <v>5500.9278481049987</v>
      </c>
    </row>
    <row r="87" spans="1:16" x14ac:dyDescent="0.35">
      <c r="A87" s="91" t="str">
        <f>LEFT('2025 actual v budget'!A87,4)&amp;"26"</f>
        <v>Mar-26</v>
      </c>
      <c r="B87" s="12" t="str">
        <f>'2025 actual v budget'!B87</f>
        <v>Singapore</v>
      </c>
      <c r="C87" s="12" t="str">
        <f>'2025 actual v budget'!C87</f>
        <v>Virtual Accounts</v>
      </c>
      <c r="D87" s="14">
        <f>'2025 actual v budget'!D87</f>
        <v>7818773.2599999998</v>
      </c>
      <c r="E87" s="92">
        <f>SUMIFS('Assumption-Worst'!$C$3:$C$32,'Assumption-Worst'!$A$3:$A$32,$B87,'Assumption-Worst'!$B$3:$B$32,$C87)</f>
        <v>2.5000000000000001E-2</v>
      </c>
      <c r="F87" s="14">
        <f t="shared" si="7"/>
        <v>8014242.5914999992</v>
      </c>
      <c r="G87" s="93">
        <f>SUMIFS('Assumption-Worst'!$D$3:$D$32,'Assumption-Worst'!$A$3:$A$32,$B87,'Assumption-Worst'!$B$3:$B$32,$C87)</f>
        <v>4.4999999999999997E-3</v>
      </c>
      <c r="H87" s="94">
        <f t="shared" si="8"/>
        <v>36064.091661749997</v>
      </c>
      <c r="I87" s="92">
        <f>SUMIFS('Assumption-Worst'!$E$3:$E$32,'Assumption-Worst'!$A$3:$A$32,$B87,'Assumption-Worst'!$B$3:$B$32,$C87)</f>
        <v>0.22</v>
      </c>
      <c r="J87" s="14">
        <f t="shared" si="9"/>
        <v>7934.1001655849996</v>
      </c>
      <c r="K87" s="95">
        <f>SUMIFS('Assumption-Worst'!$F$3:$F$32,'Assumption-Worst'!$A$3:$A$32,$B87,'Assumption-Worst'!$B$3:$B$32,$C87)</f>
        <v>9.0000000000000006E-5</v>
      </c>
      <c r="L87" s="14">
        <f t="shared" si="10"/>
        <v>721.28183323500002</v>
      </c>
      <c r="M87" s="94">
        <f t="shared" si="11"/>
        <v>27408.709662929999</v>
      </c>
      <c r="N87" s="92">
        <f>SUMIFS('Assumption-Worst'!$G$3:$G$32,'Assumption-Worst'!$A$3:$A$32,$B87,'Assumption-Worst'!$B$3:$B$32,$C87)</f>
        <v>0.45</v>
      </c>
      <c r="O87" s="14">
        <f t="shared" si="12"/>
        <v>16228.841247787499</v>
      </c>
      <c r="P87" s="94">
        <f t="shared" si="13"/>
        <v>11179.8684151425</v>
      </c>
    </row>
    <row r="88" spans="1:16" x14ac:dyDescent="0.35">
      <c r="A88" s="91" t="str">
        <f>LEFT('2025 actual v budget'!A88,4)&amp;"26"</f>
        <v>Mar-26</v>
      </c>
      <c r="B88" s="12" t="str">
        <f>'2025 actual v budget'!B88</f>
        <v>USA</v>
      </c>
      <c r="C88" s="12" t="str">
        <f>'2025 actual v budget'!C88</f>
        <v>Cross-border Payouts</v>
      </c>
      <c r="D88" s="14">
        <f>'2025 actual v budget'!D88</f>
        <v>19841486.920000002</v>
      </c>
      <c r="E88" s="92">
        <f>SUMIFS('Assumption-Worst'!$C$3:$C$32,'Assumption-Worst'!$A$3:$A$32,$B88,'Assumption-Worst'!$B$3:$B$32,$C88)</f>
        <v>0.05</v>
      </c>
      <c r="F88" s="14">
        <f t="shared" si="7"/>
        <v>20833561.266000003</v>
      </c>
      <c r="G88" s="93">
        <f>SUMIFS('Assumption-Worst'!$D$3:$D$32,'Assumption-Worst'!$A$3:$A$32,$B88,'Assumption-Worst'!$B$3:$B$32,$C88)</f>
        <v>7.4999999999999997E-3</v>
      </c>
      <c r="H88" s="94">
        <f t="shared" si="8"/>
        <v>156251.70949500002</v>
      </c>
      <c r="I88" s="92">
        <f>SUMIFS('Assumption-Worst'!$E$3:$E$32,'Assumption-Worst'!$A$3:$A$32,$B88,'Assumption-Worst'!$B$3:$B$32,$C88)</f>
        <v>0.35</v>
      </c>
      <c r="J88" s="14">
        <f t="shared" si="9"/>
        <v>54688.09832325</v>
      </c>
      <c r="K88" s="95">
        <f>SUMIFS('Assumption-Worst'!$F$3:$F$32,'Assumption-Worst'!$A$3:$A$32,$B88,'Assumption-Worst'!$B$3:$B$32,$C88)</f>
        <v>2.0000000000000001E-4</v>
      </c>
      <c r="L88" s="14">
        <f t="shared" si="10"/>
        <v>4166.7122532000003</v>
      </c>
      <c r="M88" s="94">
        <f t="shared" si="11"/>
        <v>97396.89891855001</v>
      </c>
      <c r="N88" s="92">
        <f>SUMIFS('Assumption-Worst'!$G$3:$G$32,'Assumption-Worst'!$A$3:$A$32,$B88,'Assumption-Worst'!$B$3:$B$32,$C88)</f>
        <v>0.45</v>
      </c>
      <c r="O88" s="14">
        <f t="shared" si="12"/>
        <v>70313.269272750011</v>
      </c>
      <c r="P88" s="94">
        <f t="shared" si="13"/>
        <v>27083.6296458</v>
      </c>
    </row>
    <row r="89" spans="1:16" x14ac:dyDescent="0.35">
      <c r="A89" s="91" t="str">
        <f>LEFT('2025 actual v budget'!A89,4)&amp;"26"</f>
        <v>Mar-26</v>
      </c>
      <c r="B89" s="12" t="str">
        <f>'2025 actual v budget'!B89</f>
        <v>USA</v>
      </c>
      <c r="C89" s="12" t="str">
        <f>'2025 actual v budget'!C89</f>
        <v>FX Conversion</v>
      </c>
      <c r="D89" s="14">
        <f>'2025 actual v budget'!D89</f>
        <v>31859355.210000001</v>
      </c>
      <c r="E89" s="92">
        <f>SUMIFS('Assumption-Worst'!$C$3:$C$32,'Assumption-Worst'!$A$3:$A$32,$B89,'Assumption-Worst'!$B$3:$B$32,$C89)</f>
        <v>0.05</v>
      </c>
      <c r="F89" s="14">
        <f t="shared" si="7"/>
        <v>33452322.970500004</v>
      </c>
      <c r="G89" s="93">
        <f>SUMIFS('Assumption-Worst'!$D$3:$D$32,'Assumption-Worst'!$A$3:$A$32,$B89,'Assumption-Worst'!$B$3:$B$32,$C89)</f>
        <v>1.0500000000000001E-2</v>
      </c>
      <c r="H89" s="94">
        <f t="shared" si="8"/>
        <v>351249.39119025005</v>
      </c>
      <c r="I89" s="92">
        <f>SUMIFS('Assumption-Worst'!$E$3:$E$32,'Assumption-Worst'!$A$3:$A$32,$B89,'Assumption-Worst'!$B$3:$B$32,$C89)</f>
        <v>0.28000000000000003</v>
      </c>
      <c r="J89" s="14">
        <f t="shared" si="9"/>
        <v>98349.829533270022</v>
      </c>
      <c r="K89" s="95">
        <f>SUMIFS('Assumption-Worst'!$F$3:$F$32,'Assumption-Worst'!$A$3:$A$32,$B89,'Assumption-Worst'!$B$3:$B$32,$C89)</f>
        <v>2.0000000000000001E-4</v>
      </c>
      <c r="L89" s="14">
        <f t="shared" si="10"/>
        <v>6690.4645941000008</v>
      </c>
      <c r="M89" s="94">
        <f t="shared" si="11"/>
        <v>246209.09706288003</v>
      </c>
      <c r="N89" s="92">
        <f>SUMIFS('Assumption-Worst'!$G$3:$G$32,'Assumption-Worst'!$A$3:$A$32,$B89,'Assumption-Worst'!$B$3:$B$32,$C89)</f>
        <v>0.45</v>
      </c>
      <c r="O89" s="14">
        <f t="shared" si="12"/>
        <v>158062.22603561252</v>
      </c>
      <c r="P89" s="94">
        <f t="shared" si="13"/>
        <v>88146.871027267509</v>
      </c>
    </row>
    <row r="90" spans="1:16" x14ac:dyDescent="0.35">
      <c r="A90" s="91" t="str">
        <f>LEFT('2025 actual v budget'!A90,4)&amp;"26"</f>
        <v>Mar-26</v>
      </c>
      <c r="B90" s="12" t="str">
        <f>'2025 actual v budget'!B90</f>
        <v>USA</v>
      </c>
      <c r="C90" s="12" t="str">
        <f>'2025 actual v budget'!C90</f>
        <v>Stablecoin Settlement</v>
      </c>
      <c r="D90" s="14">
        <f>'2025 actual v budget'!D90</f>
        <v>46821924.289999999</v>
      </c>
      <c r="E90" s="92">
        <f>SUMIFS('Assumption-Worst'!$C$3:$C$32,'Assumption-Worst'!$A$3:$A$32,$B90,'Assumption-Worst'!$B$3:$B$32,$C90)</f>
        <v>0.1</v>
      </c>
      <c r="F90" s="14">
        <f t="shared" si="7"/>
        <v>51504116.719000004</v>
      </c>
      <c r="G90" s="93">
        <f>SUMIFS('Assumption-Worst'!$D$3:$D$32,'Assumption-Worst'!$A$3:$A$32,$B90,'Assumption-Worst'!$B$3:$B$32,$C90)</f>
        <v>6.4999999999999997E-3</v>
      </c>
      <c r="H90" s="94">
        <f t="shared" si="8"/>
        <v>334776.75867350004</v>
      </c>
      <c r="I90" s="92">
        <f>SUMIFS('Assumption-Worst'!$E$3:$E$32,'Assumption-Worst'!$A$3:$A$32,$B90,'Assumption-Worst'!$B$3:$B$32,$C90)</f>
        <v>0.32</v>
      </c>
      <c r="J90" s="14">
        <f t="shared" si="9"/>
        <v>107128.56277552001</v>
      </c>
      <c r="K90" s="95">
        <f>SUMIFS('Assumption-Worst'!$F$3:$F$32,'Assumption-Worst'!$A$3:$A$32,$B90,'Assumption-Worst'!$B$3:$B$32,$C90)</f>
        <v>2.0000000000000001E-4</v>
      </c>
      <c r="L90" s="14">
        <f t="shared" si="10"/>
        <v>10300.823343800001</v>
      </c>
      <c r="M90" s="94">
        <f t="shared" si="11"/>
        <v>217347.37255418001</v>
      </c>
      <c r="N90" s="92">
        <f>SUMIFS('Assumption-Worst'!$G$3:$G$32,'Assumption-Worst'!$A$3:$A$32,$B90,'Assumption-Worst'!$B$3:$B$32,$C90)</f>
        <v>0.45</v>
      </c>
      <c r="O90" s="14">
        <f t="shared" si="12"/>
        <v>150649.54140307501</v>
      </c>
      <c r="P90" s="94">
        <f t="shared" si="13"/>
        <v>66697.831151104998</v>
      </c>
    </row>
    <row r="91" spans="1:16" x14ac:dyDescent="0.35">
      <c r="A91" s="91" t="str">
        <f>LEFT('2025 actual v budget'!A91,4)&amp;"26"</f>
        <v>Mar-26</v>
      </c>
      <c r="B91" s="12" t="str">
        <f>'2025 actual v budget'!B91</f>
        <v>USA</v>
      </c>
      <c r="C91" s="12" t="str">
        <f>'2025 actual v budget'!C91</f>
        <v>Treasury Yield</v>
      </c>
      <c r="D91" s="14">
        <f>'2025 actual v budget'!D91</f>
        <v>13028844.57</v>
      </c>
      <c r="E91" s="92">
        <f>SUMIFS('Assumption-Worst'!$C$3:$C$32,'Assumption-Worst'!$A$3:$A$32,$B91,'Assumption-Worst'!$B$3:$B$32,$C91)</f>
        <v>0.05</v>
      </c>
      <c r="F91" s="14">
        <f t="shared" si="7"/>
        <v>13680286.798500001</v>
      </c>
      <c r="G91" s="93">
        <f>SUMIFS('Assumption-Worst'!$D$3:$D$32,'Assumption-Worst'!$A$3:$A$32,$B91,'Assumption-Worst'!$B$3:$B$32,$C91)</f>
        <v>3.0000000000000001E-3</v>
      </c>
      <c r="H91" s="94">
        <f t="shared" si="8"/>
        <v>41040.860395500007</v>
      </c>
      <c r="I91" s="92">
        <f>SUMIFS('Assumption-Worst'!$E$3:$E$32,'Assumption-Worst'!$A$3:$A$32,$B91,'Assumption-Worst'!$B$3:$B$32,$C91)</f>
        <v>0.18</v>
      </c>
      <c r="J91" s="14">
        <f t="shared" si="9"/>
        <v>7387.3548711900012</v>
      </c>
      <c r="K91" s="95">
        <f>SUMIFS('Assumption-Worst'!$F$3:$F$32,'Assumption-Worst'!$A$3:$A$32,$B91,'Assumption-Worst'!$B$3:$B$32,$C91)</f>
        <v>2.0000000000000001E-4</v>
      </c>
      <c r="L91" s="14">
        <f t="shared" si="10"/>
        <v>2736.0573597000002</v>
      </c>
      <c r="M91" s="94">
        <f t="shared" si="11"/>
        <v>30917.448164610007</v>
      </c>
      <c r="N91" s="92">
        <f>SUMIFS('Assumption-Worst'!$G$3:$G$32,'Assumption-Worst'!$A$3:$A$32,$B91,'Assumption-Worst'!$B$3:$B$32,$C91)</f>
        <v>0.45</v>
      </c>
      <c r="O91" s="14">
        <f t="shared" si="12"/>
        <v>18468.387177975004</v>
      </c>
      <c r="P91" s="94">
        <f t="shared" si="13"/>
        <v>12449.060986635002</v>
      </c>
    </row>
    <row r="92" spans="1:16" x14ac:dyDescent="0.35">
      <c r="A92" s="91" t="str">
        <f>LEFT('2025 actual v budget'!A92,4)&amp;"26"</f>
        <v>Mar-26</v>
      </c>
      <c r="B92" s="12" t="str">
        <f>'2025 actual v budget'!B92</f>
        <v>USA</v>
      </c>
      <c r="C92" s="12" t="str">
        <f>'2025 actual v budget'!C92</f>
        <v>Virtual Accounts</v>
      </c>
      <c r="D92" s="14">
        <f>'2025 actual v budget'!D92</f>
        <v>19361215.129999999</v>
      </c>
      <c r="E92" s="92">
        <f>SUMIFS('Assumption-Worst'!$C$3:$C$32,'Assumption-Worst'!$A$3:$A$32,$B92,'Assumption-Worst'!$B$3:$B$32,$C92)</f>
        <v>0.05</v>
      </c>
      <c r="F92" s="14">
        <f t="shared" si="7"/>
        <v>20329275.886500001</v>
      </c>
      <c r="G92" s="93">
        <f>SUMIFS('Assumption-Worst'!$D$3:$D$32,'Assumption-Worst'!$A$3:$A$32,$B92,'Assumption-Worst'!$B$3:$B$32,$C92)</f>
        <v>4.4999999999999997E-3</v>
      </c>
      <c r="H92" s="94">
        <f t="shared" si="8"/>
        <v>91481.741489249995</v>
      </c>
      <c r="I92" s="92">
        <f>SUMIFS('Assumption-Worst'!$E$3:$E$32,'Assumption-Worst'!$A$3:$A$32,$B92,'Assumption-Worst'!$B$3:$B$32,$C92)</f>
        <v>0.22</v>
      </c>
      <c r="J92" s="14">
        <f t="shared" si="9"/>
        <v>20125.983127634998</v>
      </c>
      <c r="K92" s="95">
        <f>SUMIFS('Assumption-Worst'!$F$3:$F$32,'Assumption-Worst'!$A$3:$A$32,$B92,'Assumption-Worst'!$B$3:$B$32,$C92)</f>
        <v>2.0000000000000001E-4</v>
      </c>
      <c r="L92" s="14">
        <f t="shared" si="10"/>
        <v>4065.8551773000004</v>
      </c>
      <c r="M92" s="94">
        <f t="shared" si="11"/>
        <v>67289.903184314986</v>
      </c>
      <c r="N92" s="92">
        <f>SUMIFS('Assumption-Worst'!$G$3:$G$32,'Assumption-Worst'!$A$3:$A$32,$B92,'Assumption-Worst'!$B$3:$B$32,$C92)</f>
        <v>0.45</v>
      </c>
      <c r="O92" s="14">
        <f t="shared" si="12"/>
        <v>41166.783670162498</v>
      </c>
      <c r="P92" s="94">
        <f t="shared" si="13"/>
        <v>26123.119514152488</v>
      </c>
    </row>
    <row r="93" spans="1:16" x14ac:dyDescent="0.35">
      <c r="A93" s="96" t="str">
        <f>LEFT('2025 actual v budget'!A93,4)&amp;"26"</f>
        <v>Apr-26</v>
      </c>
      <c r="B93" s="17" t="str">
        <f>'2025 actual v budget'!B93</f>
        <v>Brazil</v>
      </c>
      <c r="C93" s="17" t="str">
        <f>'2025 actual v budget'!C93</f>
        <v>Cross-border Payouts</v>
      </c>
      <c r="D93" s="19">
        <f>'2025 actual v budget'!D93</f>
        <v>12468810.82</v>
      </c>
      <c r="E93" s="97">
        <f>SUMIFS('Assumption-Worst'!$C$3:$C$32,'Assumption-Worst'!$A$3:$A$32,$B93,'Assumption-Worst'!$B$3:$B$32,$C93)</f>
        <v>0.1</v>
      </c>
      <c r="F93" s="19">
        <f t="shared" si="7"/>
        <v>13715691.902000001</v>
      </c>
      <c r="G93" s="98">
        <f>SUMIFS('Assumption-Worst'!$D$3:$D$32,'Assumption-Worst'!$A$3:$A$32,$B93,'Assumption-Worst'!$B$3:$B$32,$C93)</f>
        <v>7.4999999999999997E-3</v>
      </c>
      <c r="H93" s="99">
        <f t="shared" si="8"/>
        <v>102867.68926500001</v>
      </c>
      <c r="I93" s="97">
        <f>SUMIFS('Assumption-Worst'!$E$3:$E$32,'Assumption-Worst'!$A$3:$A$32,$B93,'Assumption-Worst'!$B$3:$B$32,$C93)</f>
        <v>0.35</v>
      </c>
      <c r="J93" s="19">
        <f t="shared" si="9"/>
        <v>36003.691242749999</v>
      </c>
      <c r="K93" s="100">
        <f>SUMIFS('Assumption-Worst'!$F$3:$F$32,'Assumption-Worst'!$A$3:$A$32,$B93,'Assumption-Worst'!$B$3:$B$32,$C93)</f>
        <v>6.9999999999999994E-5</v>
      </c>
      <c r="L93" s="19">
        <f t="shared" si="10"/>
        <v>960.09843314</v>
      </c>
      <c r="M93" s="99">
        <f t="shared" si="11"/>
        <v>65903.89958911002</v>
      </c>
      <c r="N93" s="97">
        <f>SUMIFS('Assumption-Worst'!$G$3:$G$32,'Assumption-Worst'!$A$3:$A$32,$B93,'Assumption-Worst'!$B$3:$B$32,$C93)</f>
        <v>0.45</v>
      </c>
      <c r="O93" s="19">
        <f t="shared" si="12"/>
        <v>46290.460169250007</v>
      </c>
      <c r="P93" s="99">
        <f t="shared" si="13"/>
        <v>19613.439419860013</v>
      </c>
    </row>
    <row r="94" spans="1:16" x14ac:dyDescent="0.35">
      <c r="A94" s="96" t="str">
        <f>LEFT('2025 actual v budget'!A94,4)&amp;"26"</f>
        <v>Apr-26</v>
      </c>
      <c r="B94" s="17" t="str">
        <f>'2025 actual v budget'!B94</f>
        <v>Brazil</v>
      </c>
      <c r="C94" s="17" t="str">
        <f>'2025 actual v budget'!C94</f>
        <v>FX Conversion</v>
      </c>
      <c r="D94" s="19">
        <f>'2025 actual v budget'!D94</f>
        <v>19893855.25</v>
      </c>
      <c r="E94" s="97">
        <f>SUMIFS('Assumption-Worst'!$C$3:$C$32,'Assumption-Worst'!$A$3:$A$32,$B94,'Assumption-Worst'!$B$3:$B$32,$C94)</f>
        <v>0.1</v>
      </c>
      <c r="F94" s="19">
        <f t="shared" si="7"/>
        <v>21883240.775000002</v>
      </c>
      <c r="G94" s="98">
        <f>SUMIFS('Assumption-Worst'!$D$3:$D$32,'Assumption-Worst'!$A$3:$A$32,$B94,'Assumption-Worst'!$B$3:$B$32,$C94)</f>
        <v>1.0500000000000001E-2</v>
      </c>
      <c r="H94" s="99">
        <f t="shared" si="8"/>
        <v>229774.02813750005</v>
      </c>
      <c r="I94" s="97">
        <f>SUMIFS('Assumption-Worst'!$E$3:$E$32,'Assumption-Worst'!$A$3:$A$32,$B94,'Assumption-Worst'!$B$3:$B$32,$C94)</f>
        <v>0.28000000000000003</v>
      </c>
      <c r="J94" s="19">
        <f t="shared" si="9"/>
        <v>64336.727878500016</v>
      </c>
      <c r="K94" s="100">
        <f>SUMIFS('Assumption-Worst'!$F$3:$F$32,'Assumption-Worst'!$A$3:$A$32,$B94,'Assumption-Worst'!$B$3:$B$32,$C94)</f>
        <v>6.9999999999999994E-5</v>
      </c>
      <c r="L94" s="19">
        <f t="shared" si="10"/>
        <v>1531.82685425</v>
      </c>
      <c r="M94" s="99">
        <f t="shared" si="11"/>
        <v>163905.47340475005</v>
      </c>
      <c r="N94" s="97">
        <f>SUMIFS('Assumption-Worst'!$G$3:$G$32,'Assumption-Worst'!$A$3:$A$32,$B94,'Assumption-Worst'!$B$3:$B$32,$C94)</f>
        <v>0.45</v>
      </c>
      <c r="O94" s="19">
        <f t="shared" si="12"/>
        <v>103398.31266187502</v>
      </c>
      <c r="P94" s="99">
        <f t="shared" si="13"/>
        <v>60507.160742875029</v>
      </c>
    </row>
    <row r="95" spans="1:16" x14ac:dyDescent="0.35">
      <c r="A95" s="96" t="str">
        <f>LEFT('2025 actual v budget'!A95,4)&amp;"26"</f>
        <v>Apr-26</v>
      </c>
      <c r="B95" s="17" t="str">
        <f>'2025 actual v budget'!B95</f>
        <v>Brazil</v>
      </c>
      <c r="C95" s="17" t="str">
        <f>'2025 actual v budget'!C95</f>
        <v>Stablecoin Settlement</v>
      </c>
      <c r="D95" s="19">
        <f>'2025 actual v budget'!D95</f>
        <v>29889008.460000001</v>
      </c>
      <c r="E95" s="97">
        <f>SUMIFS('Assumption-Worst'!$C$3:$C$32,'Assumption-Worst'!$A$3:$A$32,$B95,'Assumption-Worst'!$B$3:$B$32,$C95)</f>
        <v>0.2</v>
      </c>
      <c r="F95" s="19">
        <f t="shared" si="7"/>
        <v>35866810.152000003</v>
      </c>
      <c r="G95" s="98">
        <f>SUMIFS('Assumption-Worst'!$D$3:$D$32,'Assumption-Worst'!$A$3:$A$32,$B95,'Assumption-Worst'!$B$3:$B$32,$C95)</f>
        <v>6.4999999999999997E-3</v>
      </c>
      <c r="H95" s="99">
        <f t="shared" si="8"/>
        <v>233134.265988</v>
      </c>
      <c r="I95" s="97">
        <f>SUMIFS('Assumption-Worst'!$E$3:$E$32,'Assumption-Worst'!$A$3:$A$32,$B95,'Assumption-Worst'!$B$3:$B$32,$C95)</f>
        <v>0.32</v>
      </c>
      <c r="J95" s="19">
        <f t="shared" si="9"/>
        <v>74602.965116160005</v>
      </c>
      <c r="K95" s="100">
        <f>SUMIFS('Assumption-Worst'!$F$3:$F$32,'Assumption-Worst'!$A$3:$A$32,$B95,'Assumption-Worst'!$B$3:$B$32,$C95)</f>
        <v>6.9999999999999994E-5</v>
      </c>
      <c r="L95" s="19">
        <f t="shared" si="10"/>
        <v>2510.6767106399998</v>
      </c>
      <c r="M95" s="99">
        <f t="shared" si="11"/>
        <v>156020.62416119999</v>
      </c>
      <c r="N95" s="97">
        <f>SUMIFS('Assumption-Worst'!$G$3:$G$32,'Assumption-Worst'!$A$3:$A$32,$B95,'Assumption-Worst'!$B$3:$B$32,$C95)</f>
        <v>0.45</v>
      </c>
      <c r="O95" s="19">
        <f t="shared" si="12"/>
        <v>104910.4196946</v>
      </c>
      <c r="P95" s="99">
        <f t="shared" si="13"/>
        <v>51110.204466599986</v>
      </c>
    </row>
    <row r="96" spans="1:16" x14ac:dyDescent="0.35">
      <c r="A96" s="96" t="str">
        <f>LEFT('2025 actual v budget'!A96,4)&amp;"26"</f>
        <v>Apr-26</v>
      </c>
      <c r="B96" s="17" t="str">
        <f>'2025 actual v budget'!B96</f>
        <v>Brazil</v>
      </c>
      <c r="C96" s="17" t="str">
        <f>'2025 actual v budget'!C96</f>
        <v>Treasury Yield</v>
      </c>
      <c r="D96" s="19">
        <f>'2025 actual v budget'!D96</f>
        <v>8176806.4299999997</v>
      </c>
      <c r="E96" s="97">
        <f>SUMIFS('Assumption-Worst'!$C$3:$C$32,'Assumption-Worst'!$A$3:$A$32,$B96,'Assumption-Worst'!$B$3:$B$32,$C96)</f>
        <v>0.1</v>
      </c>
      <c r="F96" s="19">
        <f t="shared" si="7"/>
        <v>8994487.0730000008</v>
      </c>
      <c r="G96" s="98">
        <f>SUMIFS('Assumption-Worst'!$D$3:$D$32,'Assumption-Worst'!$A$3:$A$32,$B96,'Assumption-Worst'!$B$3:$B$32,$C96)</f>
        <v>3.0000000000000001E-3</v>
      </c>
      <c r="H96" s="99">
        <f t="shared" si="8"/>
        <v>26983.461219000004</v>
      </c>
      <c r="I96" s="97">
        <f>SUMIFS('Assumption-Worst'!$E$3:$E$32,'Assumption-Worst'!$A$3:$A$32,$B96,'Assumption-Worst'!$B$3:$B$32,$C96)</f>
        <v>0.18</v>
      </c>
      <c r="J96" s="19">
        <f t="shared" si="9"/>
        <v>4857.0230194200003</v>
      </c>
      <c r="K96" s="100">
        <f>SUMIFS('Assumption-Worst'!$F$3:$F$32,'Assumption-Worst'!$A$3:$A$32,$B96,'Assumption-Worst'!$B$3:$B$32,$C96)</f>
        <v>6.9999999999999994E-5</v>
      </c>
      <c r="L96" s="19">
        <f t="shared" si="10"/>
        <v>629.61409510999999</v>
      </c>
      <c r="M96" s="99">
        <f t="shared" si="11"/>
        <v>21496.824104470004</v>
      </c>
      <c r="N96" s="97">
        <f>SUMIFS('Assumption-Worst'!$G$3:$G$32,'Assumption-Worst'!$A$3:$A$32,$B96,'Assumption-Worst'!$B$3:$B$32,$C96)</f>
        <v>0.45</v>
      </c>
      <c r="O96" s="19">
        <f t="shared" si="12"/>
        <v>12142.557548550003</v>
      </c>
      <c r="P96" s="99">
        <f t="shared" si="13"/>
        <v>9354.2665559200013</v>
      </c>
    </row>
    <row r="97" spans="1:16" x14ac:dyDescent="0.35">
      <c r="A97" s="96" t="str">
        <f>LEFT('2025 actual v budget'!A97,4)&amp;"26"</f>
        <v>Apr-26</v>
      </c>
      <c r="B97" s="17" t="str">
        <f>'2025 actual v budget'!B97</f>
        <v>Brazil</v>
      </c>
      <c r="C97" s="17" t="str">
        <f>'2025 actual v budget'!C97</f>
        <v>Virtual Accounts</v>
      </c>
      <c r="D97" s="19">
        <f>'2025 actual v budget'!D97</f>
        <v>12543154.289999999</v>
      </c>
      <c r="E97" s="97">
        <f>SUMIFS('Assumption-Worst'!$C$3:$C$32,'Assumption-Worst'!$A$3:$A$32,$B97,'Assumption-Worst'!$B$3:$B$32,$C97)</f>
        <v>0.1</v>
      </c>
      <c r="F97" s="19">
        <f t="shared" si="7"/>
        <v>13797469.719000001</v>
      </c>
      <c r="G97" s="98">
        <f>SUMIFS('Assumption-Worst'!$D$3:$D$32,'Assumption-Worst'!$A$3:$A$32,$B97,'Assumption-Worst'!$B$3:$B$32,$C97)</f>
        <v>4.4999999999999997E-3</v>
      </c>
      <c r="H97" s="99">
        <f t="shared" si="8"/>
        <v>62088.613735499996</v>
      </c>
      <c r="I97" s="97">
        <f>SUMIFS('Assumption-Worst'!$E$3:$E$32,'Assumption-Worst'!$A$3:$A$32,$B97,'Assumption-Worst'!$B$3:$B$32,$C97)</f>
        <v>0.22</v>
      </c>
      <c r="J97" s="19">
        <f t="shared" si="9"/>
        <v>13659.495021809998</v>
      </c>
      <c r="K97" s="100">
        <f>SUMIFS('Assumption-Worst'!$F$3:$F$32,'Assumption-Worst'!$A$3:$A$32,$B97,'Assumption-Worst'!$B$3:$B$32,$C97)</f>
        <v>6.9999999999999994E-5</v>
      </c>
      <c r="L97" s="19">
        <f t="shared" si="10"/>
        <v>965.82288032999998</v>
      </c>
      <c r="M97" s="99">
        <f t="shared" si="11"/>
        <v>47463.295833359996</v>
      </c>
      <c r="N97" s="97">
        <f>SUMIFS('Assumption-Worst'!$G$3:$G$32,'Assumption-Worst'!$A$3:$A$32,$B97,'Assumption-Worst'!$B$3:$B$32,$C97)</f>
        <v>0.45</v>
      </c>
      <c r="O97" s="19">
        <f t="shared" si="12"/>
        <v>27939.876180974999</v>
      </c>
      <c r="P97" s="99">
        <f t="shared" si="13"/>
        <v>19523.419652384997</v>
      </c>
    </row>
    <row r="98" spans="1:16" x14ac:dyDescent="0.35">
      <c r="A98" s="96" t="str">
        <f>LEFT('2025 actual v budget'!A98,4)&amp;"26"</f>
        <v>Apr-26</v>
      </c>
      <c r="B98" s="17" t="str">
        <f>'2025 actual v budget'!B98</f>
        <v>Germany</v>
      </c>
      <c r="C98" s="17" t="str">
        <f>'2025 actual v budget'!C98</f>
        <v>Cross-border Payouts</v>
      </c>
      <c r="D98" s="19">
        <f>'2025 actual v budget'!D98</f>
        <v>6394559.6100000003</v>
      </c>
      <c r="E98" s="97">
        <f>SUMIFS('Assumption-Worst'!$C$3:$C$32,'Assumption-Worst'!$A$3:$A$32,$B98,'Assumption-Worst'!$B$3:$B$32,$C98)</f>
        <v>0.03</v>
      </c>
      <c r="F98" s="19">
        <f t="shared" si="7"/>
        <v>6586396.3983000005</v>
      </c>
      <c r="G98" s="98">
        <f>SUMIFS('Assumption-Worst'!$D$3:$D$32,'Assumption-Worst'!$A$3:$A$32,$B98,'Assumption-Worst'!$B$3:$B$32,$C98)</f>
        <v>7.4999999999999997E-3</v>
      </c>
      <c r="H98" s="99">
        <f t="shared" si="8"/>
        <v>49397.972987250003</v>
      </c>
      <c r="I98" s="97">
        <f>SUMIFS('Assumption-Worst'!$E$3:$E$32,'Assumption-Worst'!$A$3:$A$32,$B98,'Assumption-Worst'!$B$3:$B$32,$C98)</f>
        <v>0.35</v>
      </c>
      <c r="J98" s="19">
        <f t="shared" si="9"/>
        <v>17289.2905455375</v>
      </c>
      <c r="K98" s="100">
        <f>SUMIFS('Assumption-Worst'!$F$3:$F$32,'Assumption-Worst'!$A$3:$A$32,$B98,'Assumption-Worst'!$B$3:$B$32,$C98)</f>
        <v>1.4999999999999999E-4</v>
      </c>
      <c r="L98" s="19">
        <f t="shared" si="10"/>
        <v>987.959459745</v>
      </c>
      <c r="M98" s="99">
        <f t="shared" si="11"/>
        <v>31120.722981967501</v>
      </c>
      <c r="N98" s="97">
        <f>SUMIFS('Assumption-Worst'!$G$3:$G$32,'Assumption-Worst'!$A$3:$A$32,$B98,'Assumption-Worst'!$B$3:$B$32,$C98)</f>
        <v>0.45</v>
      </c>
      <c r="O98" s="19">
        <f t="shared" si="12"/>
        <v>22229.087844262503</v>
      </c>
      <c r="P98" s="99">
        <f t="shared" si="13"/>
        <v>8891.6351377049978</v>
      </c>
    </row>
    <row r="99" spans="1:16" x14ac:dyDescent="0.35">
      <c r="A99" s="96" t="str">
        <f>LEFT('2025 actual v budget'!A99,4)&amp;"26"</f>
        <v>Apr-26</v>
      </c>
      <c r="B99" s="17" t="str">
        <f>'2025 actual v budget'!B99</f>
        <v>Germany</v>
      </c>
      <c r="C99" s="17" t="str">
        <f>'2025 actual v budget'!C99</f>
        <v>FX Conversion</v>
      </c>
      <c r="D99" s="19">
        <f>'2025 actual v budget'!D99</f>
        <v>10199689.060000001</v>
      </c>
      <c r="E99" s="97">
        <f>SUMIFS('Assumption-Worst'!$C$3:$C$32,'Assumption-Worst'!$A$3:$A$32,$B99,'Assumption-Worst'!$B$3:$B$32,$C99)</f>
        <v>0.03</v>
      </c>
      <c r="F99" s="19">
        <f t="shared" si="7"/>
        <v>10505679.731800001</v>
      </c>
      <c r="G99" s="98">
        <f>SUMIFS('Assumption-Worst'!$D$3:$D$32,'Assumption-Worst'!$A$3:$A$32,$B99,'Assumption-Worst'!$B$3:$B$32,$C99)</f>
        <v>1.0500000000000001E-2</v>
      </c>
      <c r="H99" s="99">
        <f t="shared" si="8"/>
        <v>110309.63718390002</v>
      </c>
      <c r="I99" s="97">
        <f>SUMIFS('Assumption-Worst'!$E$3:$E$32,'Assumption-Worst'!$A$3:$A$32,$B99,'Assumption-Worst'!$B$3:$B$32,$C99)</f>
        <v>0.28000000000000003</v>
      </c>
      <c r="J99" s="19">
        <f t="shared" si="9"/>
        <v>30886.698411492009</v>
      </c>
      <c r="K99" s="100">
        <f>SUMIFS('Assumption-Worst'!$F$3:$F$32,'Assumption-Worst'!$A$3:$A$32,$B99,'Assumption-Worst'!$B$3:$B$32,$C99)</f>
        <v>1.4999999999999999E-4</v>
      </c>
      <c r="L99" s="19">
        <f t="shared" si="10"/>
        <v>1575.8519597700001</v>
      </c>
      <c r="M99" s="99">
        <f t="shared" si="11"/>
        <v>77847.086812638008</v>
      </c>
      <c r="N99" s="97">
        <f>SUMIFS('Assumption-Worst'!$G$3:$G$32,'Assumption-Worst'!$A$3:$A$32,$B99,'Assumption-Worst'!$B$3:$B$32,$C99)</f>
        <v>0.45</v>
      </c>
      <c r="O99" s="19">
        <f t="shared" si="12"/>
        <v>49639.336732755008</v>
      </c>
      <c r="P99" s="99">
        <f t="shared" si="13"/>
        <v>28207.750079883001</v>
      </c>
    </row>
    <row r="100" spans="1:16" x14ac:dyDescent="0.35">
      <c r="A100" s="96" t="str">
        <f>LEFT('2025 actual v budget'!A100,4)&amp;"26"</f>
        <v>Apr-26</v>
      </c>
      <c r="B100" s="17" t="str">
        <f>'2025 actual v budget'!B100</f>
        <v>Germany</v>
      </c>
      <c r="C100" s="17" t="str">
        <f>'2025 actual v budget'!C100</f>
        <v>Stablecoin Settlement</v>
      </c>
      <c r="D100" s="19">
        <f>'2025 actual v budget'!D100</f>
        <v>15328410.15</v>
      </c>
      <c r="E100" s="97">
        <f>SUMIFS('Assumption-Worst'!$C$3:$C$32,'Assumption-Worst'!$A$3:$A$32,$B100,'Assumption-Worst'!$B$3:$B$32,$C100)</f>
        <v>0.06</v>
      </c>
      <c r="F100" s="19">
        <f t="shared" si="7"/>
        <v>16248114.759000001</v>
      </c>
      <c r="G100" s="98">
        <f>SUMIFS('Assumption-Worst'!$D$3:$D$32,'Assumption-Worst'!$A$3:$A$32,$B100,'Assumption-Worst'!$B$3:$B$32,$C100)</f>
        <v>6.4999999999999997E-3</v>
      </c>
      <c r="H100" s="99">
        <f t="shared" si="8"/>
        <v>105612.7459335</v>
      </c>
      <c r="I100" s="97">
        <f>SUMIFS('Assumption-Worst'!$E$3:$E$32,'Assumption-Worst'!$A$3:$A$32,$B100,'Assumption-Worst'!$B$3:$B$32,$C100)</f>
        <v>0.32</v>
      </c>
      <c r="J100" s="19">
        <f t="shared" si="9"/>
        <v>33796.078698720004</v>
      </c>
      <c r="K100" s="100">
        <f>SUMIFS('Assumption-Worst'!$F$3:$F$32,'Assumption-Worst'!$A$3:$A$32,$B100,'Assumption-Worst'!$B$3:$B$32,$C100)</f>
        <v>1.4999999999999999E-4</v>
      </c>
      <c r="L100" s="19">
        <f t="shared" si="10"/>
        <v>2437.21721385</v>
      </c>
      <c r="M100" s="99">
        <f t="shared" si="11"/>
        <v>69379.450020930002</v>
      </c>
      <c r="N100" s="97">
        <f>SUMIFS('Assumption-Worst'!$G$3:$G$32,'Assumption-Worst'!$A$3:$A$32,$B100,'Assumption-Worst'!$B$3:$B$32,$C100)</f>
        <v>0.45</v>
      </c>
      <c r="O100" s="19">
        <f t="shared" si="12"/>
        <v>47525.735670075002</v>
      </c>
      <c r="P100" s="99">
        <f t="shared" si="13"/>
        <v>21853.714350855</v>
      </c>
    </row>
    <row r="101" spans="1:16" x14ac:dyDescent="0.35">
      <c r="A101" s="96" t="str">
        <f>LEFT('2025 actual v budget'!A101,4)&amp;"26"</f>
        <v>Apr-26</v>
      </c>
      <c r="B101" s="17" t="str">
        <f>'2025 actual v budget'!B101</f>
        <v>Germany</v>
      </c>
      <c r="C101" s="17" t="str">
        <f>'2025 actual v budget'!C101</f>
        <v>Treasury Yield</v>
      </c>
      <c r="D101" s="19">
        <f>'2025 actual v budget'!D101</f>
        <v>4192293.65</v>
      </c>
      <c r="E101" s="97">
        <f>SUMIFS('Assumption-Worst'!$C$3:$C$32,'Assumption-Worst'!$A$3:$A$32,$B101,'Assumption-Worst'!$B$3:$B$32,$C101)</f>
        <v>0.03</v>
      </c>
      <c r="F101" s="19">
        <f t="shared" si="7"/>
        <v>4318062.4594999999</v>
      </c>
      <c r="G101" s="98">
        <f>SUMIFS('Assumption-Worst'!$D$3:$D$32,'Assumption-Worst'!$A$3:$A$32,$B101,'Assumption-Worst'!$B$3:$B$32,$C101)</f>
        <v>3.0000000000000001E-3</v>
      </c>
      <c r="H101" s="99">
        <f t="shared" si="8"/>
        <v>12954.187378500001</v>
      </c>
      <c r="I101" s="97">
        <f>SUMIFS('Assumption-Worst'!$E$3:$E$32,'Assumption-Worst'!$A$3:$A$32,$B101,'Assumption-Worst'!$B$3:$B$32,$C101)</f>
        <v>0.18</v>
      </c>
      <c r="J101" s="19">
        <f t="shared" si="9"/>
        <v>2331.7537281300001</v>
      </c>
      <c r="K101" s="100">
        <f>SUMIFS('Assumption-Worst'!$F$3:$F$32,'Assumption-Worst'!$A$3:$A$32,$B101,'Assumption-Worst'!$B$3:$B$32,$C101)</f>
        <v>1.4999999999999999E-4</v>
      </c>
      <c r="L101" s="19">
        <f t="shared" si="10"/>
        <v>647.70936892499992</v>
      </c>
      <c r="M101" s="99">
        <f t="shared" si="11"/>
        <v>9974.7242814450001</v>
      </c>
      <c r="N101" s="97">
        <f>SUMIFS('Assumption-Worst'!$G$3:$G$32,'Assumption-Worst'!$A$3:$A$32,$B101,'Assumption-Worst'!$B$3:$B$32,$C101)</f>
        <v>0.45</v>
      </c>
      <c r="O101" s="19">
        <f t="shared" si="12"/>
        <v>5829.3843203250008</v>
      </c>
      <c r="P101" s="99">
        <f t="shared" si="13"/>
        <v>4145.3399611199993</v>
      </c>
    </row>
    <row r="102" spans="1:16" x14ac:dyDescent="0.35">
      <c r="A102" s="96" t="str">
        <f>LEFT('2025 actual v budget'!A102,4)&amp;"26"</f>
        <v>Apr-26</v>
      </c>
      <c r="B102" s="17" t="str">
        <f>'2025 actual v budget'!B102</f>
        <v>Germany</v>
      </c>
      <c r="C102" s="17" t="str">
        <f>'2025 actual v budget'!C102</f>
        <v>Virtual Accounts</v>
      </c>
      <c r="D102" s="19">
        <f>'2025 actual v budget'!D102</f>
        <v>6430944.2300000004</v>
      </c>
      <c r="E102" s="97">
        <f>SUMIFS('Assumption-Worst'!$C$3:$C$32,'Assumption-Worst'!$A$3:$A$32,$B102,'Assumption-Worst'!$B$3:$B$32,$C102)</f>
        <v>0.03</v>
      </c>
      <c r="F102" s="19">
        <f t="shared" si="7"/>
        <v>6623872.5569000002</v>
      </c>
      <c r="G102" s="98">
        <f>SUMIFS('Assumption-Worst'!$D$3:$D$32,'Assumption-Worst'!$A$3:$A$32,$B102,'Assumption-Worst'!$B$3:$B$32,$C102)</f>
        <v>4.4999999999999997E-3</v>
      </c>
      <c r="H102" s="99">
        <f t="shared" si="8"/>
        <v>29807.42650605</v>
      </c>
      <c r="I102" s="97">
        <f>SUMIFS('Assumption-Worst'!$E$3:$E$32,'Assumption-Worst'!$A$3:$A$32,$B102,'Assumption-Worst'!$B$3:$B$32,$C102)</f>
        <v>0.22</v>
      </c>
      <c r="J102" s="19">
        <f t="shared" si="9"/>
        <v>6557.6338313309998</v>
      </c>
      <c r="K102" s="100">
        <f>SUMIFS('Assumption-Worst'!$F$3:$F$32,'Assumption-Worst'!$A$3:$A$32,$B102,'Assumption-Worst'!$B$3:$B$32,$C102)</f>
        <v>1.4999999999999999E-4</v>
      </c>
      <c r="L102" s="19">
        <f t="shared" si="10"/>
        <v>993.580883535</v>
      </c>
      <c r="M102" s="99">
        <f t="shared" si="11"/>
        <v>22256.211791184</v>
      </c>
      <c r="N102" s="97">
        <f>SUMIFS('Assumption-Worst'!$G$3:$G$32,'Assumption-Worst'!$A$3:$A$32,$B102,'Assumption-Worst'!$B$3:$B$32,$C102)</f>
        <v>0.45</v>
      </c>
      <c r="O102" s="19">
        <f t="shared" si="12"/>
        <v>13413.3419277225</v>
      </c>
      <c r="P102" s="99">
        <f t="shared" si="13"/>
        <v>8842.8698634614993</v>
      </c>
    </row>
    <row r="103" spans="1:16" x14ac:dyDescent="0.35">
      <c r="A103" s="96" t="str">
        <f>LEFT('2025 actual v budget'!A103,4)&amp;"26"</f>
        <v>Apr-26</v>
      </c>
      <c r="B103" s="17" t="str">
        <f>'2025 actual v budget'!B103</f>
        <v>India</v>
      </c>
      <c r="C103" s="17" t="str">
        <f>'2025 actual v budget'!C103</f>
        <v>Cross-border Payouts</v>
      </c>
      <c r="D103" s="19">
        <f>'2025 actual v budget'!D103</f>
        <v>8243584.2199999997</v>
      </c>
      <c r="E103" s="97">
        <f>SUMIFS('Assumption-Worst'!$C$3:$C$32,'Assumption-Worst'!$A$3:$A$32,$B103,'Assumption-Worst'!$B$3:$B$32,$C103)</f>
        <v>0.06</v>
      </c>
      <c r="F103" s="19">
        <f t="shared" si="7"/>
        <v>8738199.2731999997</v>
      </c>
      <c r="G103" s="98">
        <f>SUMIFS('Assumption-Worst'!$D$3:$D$32,'Assumption-Worst'!$A$3:$A$32,$B103,'Assumption-Worst'!$B$3:$B$32,$C103)</f>
        <v>7.4999999999999997E-3</v>
      </c>
      <c r="H103" s="99">
        <f t="shared" si="8"/>
        <v>65536.494548999995</v>
      </c>
      <c r="I103" s="97">
        <f>SUMIFS('Assumption-Worst'!$E$3:$E$32,'Assumption-Worst'!$A$3:$A$32,$B103,'Assumption-Worst'!$B$3:$B$32,$C103)</f>
        <v>0.35</v>
      </c>
      <c r="J103" s="19">
        <f t="shared" si="9"/>
        <v>22937.773092149997</v>
      </c>
      <c r="K103" s="100">
        <f>SUMIFS('Assumption-Worst'!$F$3:$F$32,'Assumption-Worst'!$A$3:$A$32,$B103,'Assumption-Worst'!$B$3:$B$32,$C103)</f>
        <v>1.8000000000000001E-4</v>
      </c>
      <c r="L103" s="19">
        <f t="shared" si="10"/>
        <v>1572.8758691760002</v>
      </c>
      <c r="M103" s="99">
        <f t="shared" si="11"/>
        <v>41025.845587673997</v>
      </c>
      <c r="N103" s="97">
        <f>SUMIFS('Assumption-Worst'!$G$3:$G$32,'Assumption-Worst'!$A$3:$A$32,$B103,'Assumption-Worst'!$B$3:$B$32,$C103)</f>
        <v>0.45</v>
      </c>
      <c r="O103" s="19">
        <f t="shared" si="12"/>
        <v>29491.422547049999</v>
      </c>
      <c r="P103" s="99">
        <f t="shared" si="13"/>
        <v>11534.423040623999</v>
      </c>
    </row>
    <row r="104" spans="1:16" x14ac:dyDescent="0.35">
      <c r="A104" s="96" t="str">
        <f>LEFT('2025 actual v budget'!A104,4)&amp;"26"</f>
        <v>Apr-26</v>
      </c>
      <c r="B104" s="17" t="str">
        <f>'2025 actual v budget'!B104</f>
        <v>India</v>
      </c>
      <c r="C104" s="17" t="str">
        <f>'2025 actual v budget'!C104</f>
        <v>FX Conversion</v>
      </c>
      <c r="D104" s="19">
        <f>'2025 actual v budget'!D104</f>
        <v>13154282.51</v>
      </c>
      <c r="E104" s="97">
        <f>SUMIFS('Assumption-Worst'!$C$3:$C$32,'Assumption-Worst'!$A$3:$A$32,$B104,'Assumption-Worst'!$B$3:$B$32,$C104)</f>
        <v>0.06</v>
      </c>
      <c r="F104" s="19">
        <f t="shared" si="7"/>
        <v>13943539.4606</v>
      </c>
      <c r="G104" s="98">
        <f>SUMIFS('Assumption-Worst'!$D$3:$D$32,'Assumption-Worst'!$A$3:$A$32,$B104,'Assumption-Worst'!$B$3:$B$32,$C104)</f>
        <v>1.0500000000000001E-2</v>
      </c>
      <c r="H104" s="99">
        <f t="shared" si="8"/>
        <v>146407.16433630002</v>
      </c>
      <c r="I104" s="97">
        <f>SUMIFS('Assumption-Worst'!$E$3:$E$32,'Assumption-Worst'!$A$3:$A$32,$B104,'Assumption-Worst'!$B$3:$B$32,$C104)</f>
        <v>0.28000000000000003</v>
      </c>
      <c r="J104" s="19">
        <f t="shared" si="9"/>
        <v>40994.006014164006</v>
      </c>
      <c r="K104" s="100">
        <f>SUMIFS('Assumption-Worst'!$F$3:$F$32,'Assumption-Worst'!$A$3:$A$32,$B104,'Assumption-Worst'!$B$3:$B$32,$C104)</f>
        <v>1.8000000000000001E-4</v>
      </c>
      <c r="L104" s="19">
        <f t="shared" si="10"/>
        <v>2509.8371029080004</v>
      </c>
      <c r="M104" s="99">
        <f t="shared" si="11"/>
        <v>102903.321219228</v>
      </c>
      <c r="N104" s="97">
        <f>SUMIFS('Assumption-Worst'!$G$3:$G$32,'Assumption-Worst'!$A$3:$A$32,$B104,'Assumption-Worst'!$B$3:$B$32,$C104)</f>
        <v>0.45</v>
      </c>
      <c r="O104" s="19">
        <f t="shared" si="12"/>
        <v>65883.223951335007</v>
      </c>
      <c r="P104" s="99">
        <f t="shared" si="13"/>
        <v>37020.097267892997</v>
      </c>
    </row>
    <row r="105" spans="1:16" x14ac:dyDescent="0.35">
      <c r="A105" s="96" t="str">
        <f>LEFT('2025 actual v budget'!A105,4)&amp;"26"</f>
        <v>Apr-26</v>
      </c>
      <c r="B105" s="17" t="str">
        <f>'2025 actual v budget'!B105</f>
        <v>India</v>
      </c>
      <c r="C105" s="17" t="str">
        <f>'2025 actual v budget'!C105</f>
        <v>Stablecoin Settlement</v>
      </c>
      <c r="D105" s="19">
        <f>'2025 actual v budget'!D105</f>
        <v>19760710.289999999</v>
      </c>
      <c r="E105" s="97">
        <f>SUMIFS('Assumption-Worst'!$C$3:$C$32,'Assumption-Worst'!$A$3:$A$32,$B105,'Assumption-Worst'!$B$3:$B$32,$C105)</f>
        <v>0.12</v>
      </c>
      <c r="F105" s="19">
        <f t="shared" si="7"/>
        <v>22131995.524800003</v>
      </c>
      <c r="G105" s="98">
        <f>SUMIFS('Assumption-Worst'!$D$3:$D$32,'Assumption-Worst'!$A$3:$A$32,$B105,'Assumption-Worst'!$B$3:$B$32,$C105)</f>
        <v>6.4999999999999997E-3</v>
      </c>
      <c r="H105" s="99">
        <f t="shared" si="8"/>
        <v>143857.97091120001</v>
      </c>
      <c r="I105" s="97">
        <f>SUMIFS('Assumption-Worst'!$E$3:$E$32,'Assumption-Worst'!$A$3:$A$32,$B105,'Assumption-Worst'!$B$3:$B$32,$C105)</f>
        <v>0.32</v>
      </c>
      <c r="J105" s="19">
        <f t="shared" si="9"/>
        <v>46034.550691584001</v>
      </c>
      <c r="K105" s="100">
        <f>SUMIFS('Assumption-Worst'!$F$3:$F$32,'Assumption-Worst'!$A$3:$A$32,$B105,'Assumption-Worst'!$B$3:$B$32,$C105)</f>
        <v>1.8000000000000001E-4</v>
      </c>
      <c r="L105" s="19">
        <f t="shared" si="10"/>
        <v>3983.7591944640008</v>
      </c>
      <c r="M105" s="99">
        <f t="shared" si="11"/>
        <v>93839.661025152003</v>
      </c>
      <c r="N105" s="97">
        <f>SUMIFS('Assumption-Worst'!$G$3:$G$32,'Assumption-Worst'!$A$3:$A$32,$B105,'Assumption-Worst'!$B$3:$B$32,$C105)</f>
        <v>0.45</v>
      </c>
      <c r="O105" s="19">
        <f t="shared" si="12"/>
        <v>64736.086910040009</v>
      </c>
      <c r="P105" s="99">
        <f t="shared" si="13"/>
        <v>29103.574115111995</v>
      </c>
    </row>
    <row r="106" spans="1:16" x14ac:dyDescent="0.35">
      <c r="A106" s="96" t="str">
        <f>LEFT('2025 actual v budget'!A106,4)&amp;"26"</f>
        <v>Apr-26</v>
      </c>
      <c r="B106" s="17" t="str">
        <f>'2025 actual v budget'!B106</f>
        <v>India</v>
      </c>
      <c r="C106" s="17" t="str">
        <f>'2025 actual v budget'!C106</f>
        <v>Treasury Yield</v>
      </c>
      <c r="D106" s="19">
        <f>'2025 actual v budget'!D106</f>
        <v>5406695.71</v>
      </c>
      <c r="E106" s="97">
        <f>SUMIFS('Assumption-Worst'!$C$3:$C$32,'Assumption-Worst'!$A$3:$A$32,$B106,'Assumption-Worst'!$B$3:$B$32,$C106)</f>
        <v>0.06</v>
      </c>
      <c r="F106" s="19">
        <f t="shared" si="7"/>
        <v>5731097.4526000004</v>
      </c>
      <c r="G106" s="98">
        <f>SUMIFS('Assumption-Worst'!$D$3:$D$32,'Assumption-Worst'!$A$3:$A$32,$B106,'Assumption-Worst'!$B$3:$B$32,$C106)</f>
        <v>3.0000000000000001E-3</v>
      </c>
      <c r="H106" s="99">
        <f t="shared" si="8"/>
        <v>17193.292357800001</v>
      </c>
      <c r="I106" s="97">
        <f>SUMIFS('Assumption-Worst'!$E$3:$E$32,'Assumption-Worst'!$A$3:$A$32,$B106,'Assumption-Worst'!$B$3:$B$32,$C106)</f>
        <v>0.18</v>
      </c>
      <c r="J106" s="19">
        <f t="shared" si="9"/>
        <v>3094.792624404</v>
      </c>
      <c r="K106" s="100">
        <f>SUMIFS('Assumption-Worst'!$F$3:$F$32,'Assumption-Worst'!$A$3:$A$32,$B106,'Assumption-Worst'!$B$3:$B$32,$C106)</f>
        <v>1.8000000000000001E-4</v>
      </c>
      <c r="L106" s="19">
        <f t="shared" si="10"/>
        <v>1031.5975414680001</v>
      </c>
      <c r="M106" s="99">
        <f t="shared" si="11"/>
        <v>13066.902191928002</v>
      </c>
      <c r="N106" s="97">
        <f>SUMIFS('Assumption-Worst'!$G$3:$G$32,'Assumption-Worst'!$A$3:$A$32,$B106,'Assumption-Worst'!$B$3:$B$32,$C106)</f>
        <v>0.45</v>
      </c>
      <c r="O106" s="19">
        <f t="shared" si="12"/>
        <v>7736.9815610100004</v>
      </c>
      <c r="P106" s="99">
        <f t="shared" si="13"/>
        <v>5329.9206309180017</v>
      </c>
    </row>
    <row r="107" spans="1:16" x14ac:dyDescent="0.35">
      <c r="A107" s="96" t="str">
        <f>LEFT('2025 actual v budget'!A107,4)&amp;"26"</f>
        <v>Apr-26</v>
      </c>
      <c r="B107" s="17" t="str">
        <f>'2025 actual v budget'!B107</f>
        <v>India</v>
      </c>
      <c r="C107" s="17" t="str">
        <f>'2025 actual v budget'!C107</f>
        <v>Virtual Accounts</v>
      </c>
      <c r="D107" s="19">
        <f>'2025 actual v budget'!D107</f>
        <v>8293827.0599999996</v>
      </c>
      <c r="E107" s="97">
        <f>SUMIFS('Assumption-Worst'!$C$3:$C$32,'Assumption-Worst'!$A$3:$A$32,$B107,'Assumption-Worst'!$B$3:$B$32,$C107)</f>
        <v>0.06</v>
      </c>
      <c r="F107" s="19">
        <f t="shared" si="7"/>
        <v>8791456.6835999992</v>
      </c>
      <c r="G107" s="98">
        <f>SUMIFS('Assumption-Worst'!$D$3:$D$32,'Assumption-Worst'!$A$3:$A$32,$B107,'Assumption-Worst'!$B$3:$B$32,$C107)</f>
        <v>4.4999999999999997E-3</v>
      </c>
      <c r="H107" s="99">
        <f t="shared" si="8"/>
        <v>39561.555076199991</v>
      </c>
      <c r="I107" s="97">
        <f>SUMIFS('Assumption-Worst'!$E$3:$E$32,'Assumption-Worst'!$A$3:$A$32,$B107,'Assumption-Worst'!$B$3:$B$32,$C107)</f>
        <v>0.22</v>
      </c>
      <c r="J107" s="19">
        <f t="shared" si="9"/>
        <v>8703.5421167639979</v>
      </c>
      <c r="K107" s="100">
        <f>SUMIFS('Assumption-Worst'!$F$3:$F$32,'Assumption-Worst'!$A$3:$A$32,$B107,'Assumption-Worst'!$B$3:$B$32,$C107)</f>
        <v>1.8000000000000001E-4</v>
      </c>
      <c r="L107" s="19">
        <f t="shared" si="10"/>
        <v>1582.462203048</v>
      </c>
      <c r="M107" s="99">
        <f t="shared" si="11"/>
        <v>29275.550756387995</v>
      </c>
      <c r="N107" s="97">
        <f>SUMIFS('Assumption-Worst'!$G$3:$G$32,'Assumption-Worst'!$A$3:$A$32,$B107,'Assumption-Worst'!$B$3:$B$32,$C107)</f>
        <v>0.45</v>
      </c>
      <c r="O107" s="19">
        <f t="shared" si="12"/>
        <v>17802.699784289998</v>
      </c>
      <c r="P107" s="99">
        <f t="shared" si="13"/>
        <v>11472.850972097996</v>
      </c>
    </row>
    <row r="108" spans="1:16" x14ac:dyDescent="0.35">
      <c r="A108" s="96" t="str">
        <f>LEFT('2025 actual v budget'!A108,4)&amp;"26"</f>
        <v>Apr-26</v>
      </c>
      <c r="B108" s="17" t="str">
        <f>'2025 actual v budget'!B108</f>
        <v>Mexico</v>
      </c>
      <c r="C108" s="17" t="str">
        <f>'2025 actual v budget'!C108</f>
        <v>Cross-border Payouts</v>
      </c>
      <c r="D108" s="19">
        <f>'2025 actual v budget'!D108</f>
        <v>9935556.4499999993</v>
      </c>
      <c r="E108" s="97">
        <f>SUMIFS('Assumption-Worst'!$C$3:$C$32,'Assumption-Worst'!$A$3:$A$32,$B108,'Assumption-Worst'!$B$3:$B$32,$C108)</f>
        <v>7.4999999999999997E-2</v>
      </c>
      <c r="F108" s="19">
        <f t="shared" si="7"/>
        <v>10680723.183749998</v>
      </c>
      <c r="G108" s="98">
        <f>SUMIFS('Assumption-Worst'!$D$3:$D$32,'Assumption-Worst'!$A$3:$A$32,$B108,'Assumption-Worst'!$B$3:$B$32,$C108)</f>
        <v>7.4999999999999997E-3</v>
      </c>
      <c r="H108" s="99">
        <f t="shared" si="8"/>
        <v>80105.423878124988</v>
      </c>
      <c r="I108" s="97">
        <f>SUMIFS('Assumption-Worst'!$E$3:$E$32,'Assumption-Worst'!$A$3:$A$32,$B108,'Assumption-Worst'!$B$3:$B$32,$C108)</f>
        <v>0.35</v>
      </c>
      <c r="J108" s="19">
        <f t="shared" si="9"/>
        <v>28036.898357343744</v>
      </c>
      <c r="K108" s="100">
        <f>SUMIFS('Assumption-Worst'!$F$3:$F$32,'Assumption-Worst'!$A$3:$A$32,$B108,'Assumption-Worst'!$B$3:$B$32,$C108)</f>
        <v>8.0000000000000007E-5</v>
      </c>
      <c r="L108" s="19">
        <f t="shared" si="10"/>
        <v>854.45785469999987</v>
      </c>
      <c r="M108" s="99">
        <f t="shared" si="11"/>
        <v>51214.067666081246</v>
      </c>
      <c r="N108" s="97">
        <f>SUMIFS('Assumption-Worst'!$G$3:$G$32,'Assumption-Worst'!$A$3:$A$32,$B108,'Assumption-Worst'!$B$3:$B$32,$C108)</f>
        <v>0.45</v>
      </c>
      <c r="O108" s="19">
        <f t="shared" si="12"/>
        <v>36047.440745156244</v>
      </c>
      <c r="P108" s="99">
        <f t="shared" si="13"/>
        <v>15166.626920925002</v>
      </c>
    </row>
    <row r="109" spans="1:16" x14ac:dyDescent="0.35">
      <c r="A109" s="96" t="str">
        <f>LEFT('2025 actual v budget'!A109,4)&amp;"26"</f>
        <v>Apr-26</v>
      </c>
      <c r="B109" s="17" t="str">
        <f>'2025 actual v budget'!B109</f>
        <v>Mexico</v>
      </c>
      <c r="C109" s="17" t="str">
        <f>'2025 actual v budget'!C109</f>
        <v>FX Conversion</v>
      </c>
      <c r="D109" s="19">
        <f>'2025 actual v budget'!D109</f>
        <v>15853123.060000001</v>
      </c>
      <c r="E109" s="97">
        <f>SUMIFS('Assumption-Worst'!$C$3:$C$32,'Assumption-Worst'!$A$3:$A$32,$B109,'Assumption-Worst'!$B$3:$B$32,$C109)</f>
        <v>7.4999999999999997E-2</v>
      </c>
      <c r="F109" s="19">
        <f t="shared" si="7"/>
        <v>17042107.289499998</v>
      </c>
      <c r="G109" s="98">
        <f>SUMIFS('Assumption-Worst'!$D$3:$D$32,'Assumption-Worst'!$A$3:$A$32,$B109,'Assumption-Worst'!$B$3:$B$32,$C109)</f>
        <v>1.0500000000000001E-2</v>
      </c>
      <c r="H109" s="99">
        <f t="shared" si="8"/>
        <v>178942.12653975</v>
      </c>
      <c r="I109" s="97">
        <f>SUMIFS('Assumption-Worst'!$E$3:$E$32,'Assumption-Worst'!$A$3:$A$32,$B109,'Assumption-Worst'!$B$3:$B$32,$C109)</f>
        <v>0.28000000000000003</v>
      </c>
      <c r="J109" s="19">
        <f t="shared" si="9"/>
        <v>50103.795431130005</v>
      </c>
      <c r="K109" s="100">
        <f>SUMIFS('Assumption-Worst'!$F$3:$F$32,'Assumption-Worst'!$A$3:$A$32,$B109,'Assumption-Worst'!$B$3:$B$32,$C109)</f>
        <v>8.0000000000000007E-5</v>
      </c>
      <c r="L109" s="19">
        <f t="shared" si="10"/>
        <v>1363.3685831600001</v>
      </c>
      <c r="M109" s="99">
        <f t="shared" si="11"/>
        <v>127474.96252545998</v>
      </c>
      <c r="N109" s="97">
        <f>SUMIFS('Assumption-Worst'!$G$3:$G$32,'Assumption-Worst'!$A$3:$A$32,$B109,'Assumption-Worst'!$B$3:$B$32,$C109)</f>
        <v>0.45</v>
      </c>
      <c r="O109" s="19">
        <f t="shared" si="12"/>
        <v>80523.956942887497</v>
      </c>
      <c r="P109" s="99">
        <f t="shared" si="13"/>
        <v>46951.005582572485</v>
      </c>
    </row>
    <row r="110" spans="1:16" x14ac:dyDescent="0.35">
      <c r="A110" s="96" t="str">
        <f>LEFT('2025 actual v budget'!A110,4)&amp;"26"</f>
        <v>Apr-26</v>
      </c>
      <c r="B110" s="17" t="str">
        <f>'2025 actual v budget'!B110</f>
        <v>Mexico</v>
      </c>
      <c r="C110" s="17" t="str">
        <f>'2025 actual v budget'!C110</f>
        <v>Stablecoin Settlement</v>
      </c>
      <c r="D110" s="19">
        <f>'2025 actual v budget'!D110</f>
        <v>23816539.920000002</v>
      </c>
      <c r="E110" s="97">
        <f>SUMIFS('Assumption-Worst'!$C$3:$C$32,'Assumption-Worst'!$A$3:$A$32,$B110,'Assumption-Worst'!$B$3:$B$32,$C110)</f>
        <v>0.15</v>
      </c>
      <c r="F110" s="19">
        <f t="shared" si="7"/>
        <v>27389020.908</v>
      </c>
      <c r="G110" s="98">
        <f>SUMIFS('Assumption-Worst'!$D$3:$D$32,'Assumption-Worst'!$A$3:$A$32,$B110,'Assumption-Worst'!$B$3:$B$32,$C110)</f>
        <v>6.4999999999999997E-3</v>
      </c>
      <c r="H110" s="99">
        <f t="shared" si="8"/>
        <v>178028.63590199998</v>
      </c>
      <c r="I110" s="97">
        <f>SUMIFS('Assumption-Worst'!$E$3:$E$32,'Assumption-Worst'!$A$3:$A$32,$B110,'Assumption-Worst'!$B$3:$B$32,$C110)</f>
        <v>0.32</v>
      </c>
      <c r="J110" s="19">
        <f t="shared" si="9"/>
        <v>56969.163488639992</v>
      </c>
      <c r="K110" s="100">
        <f>SUMIFS('Assumption-Worst'!$F$3:$F$32,'Assumption-Worst'!$A$3:$A$32,$B110,'Assumption-Worst'!$B$3:$B$32,$C110)</f>
        <v>8.0000000000000007E-5</v>
      </c>
      <c r="L110" s="19">
        <f t="shared" si="10"/>
        <v>2191.1216726400003</v>
      </c>
      <c r="M110" s="99">
        <f t="shared" si="11"/>
        <v>118868.35074071999</v>
      </c>
      <c r="N110" s="97">
        <f>SUMIFS('Assumption-Worst'!$G$3:$G$32,'Assumption-Worst'!$A$3:$A$32,$B110,'Assumption-Worst'!$B$3:$B$32,$C110)</f>
        <v>0.45</v>
      </c>
      <c r="O110" s="19">
        <f t="shared" si="12"/>
        <v>80112.886155899992</v>
      </c>
      <c r="P110" s="99">
        <f t="shared" si="13"/>
        <v>38755.464584820002</v>
      </c>
    </row>
    <row r="111" spans="1:16" x14ac:dyDescent="0.35">
      <c r="A111" s="96" t="str">
        <f>LEFT('2025 actual v budget'!A111,4)&amp;"26"</f>
        <v>Apr-26</v>
      </c>
      <c r="B111" s="17" t="str">
        <f>'2025 actual v budget'!B111</f>
        <v>Mexico</v>
      </c>
      <c r="C111" s="17" t="str">
        <f>'2025 actual v budget'!C111</f>
        <v>Treasury Yield</v>
      </c>
      <c r="D111" s="19">
        <f>'2025 actual v budget'!D111</f>
        <v>6515977.7699999996</v>
      </c>
      <c r="E111" s="97">
        <f>SUMIFS('Assumption-Worst'!$C$3:$C$32,'Assumption-Worst'!$A$3:$A$32,$B111,'Assumption-Worst'!$B$3:$B$32,$C111)</f>
        <v>7.4999999999999997E-2</v>
      </c>
      <c r="F111" s="19">
        <f t="shared" si="7"/>
        <v>7004676.1027499996</v>
      </c>
      <c r="G111" s="98">
        <f>SUMIFS('Assumption-Worst'!$D$3:$D$32,'Assumption-Worst'!$A$3:$A$32,$B111,'Assumption-Worst'!$B$3:$B$32,$C111)</f>
        <v>3.0000000000000001E-3</v>
      </c>
      <c r="H111" s="99">
        <f t="shared" si="8"/>
        <v>21014.028308249999</v>
      </c>
      <c r="I111" s="97">
        <f>SUMIFS('Assumption-Worst'!$E$3:$E$32,'Assumption-Worst'!$A$3:$A$32,$B111,'Assumption-Worst'!$B$3:$B$32,$C111)</f>
        <v>0.18</v>
      </c>
      <c r="J111" s="19">
        <f t="shared" si="9"/>
        <v>3782.5250954849998</v>
      </c>
      <c r="K111" s="100">
        <f>SUMIFS('Assumption-Worst'!$F$3:$F$32,'Assumption-Worst'!$A$3:$A$32,$B111,'Assumption-Worst'!$B$3:$B$32,$C111)</f>
        <v>8.0000000000000007E-5</v>
      </c>
      <c r="L111" s="19">
        <f t="shared" si="10"/>
        <v>560.37408821999998</v>
      </c>
      <c r="M111" s="99">
        <f t="shared" si="11"/>
        <v>16671.129124544997</v>
      </c>
      <c r="N111" s="97">
        <f>SUMIFS('Assumption-Worst'!$G$3:$G$32,'Assumption-Worst'!$A$3:$A$32,$B111,'Assumption-Worst'!$B$3:$B$32,$C111)</f>
        <v>0.45</v>
      </c>
      <c r="O111" s="19">
        <f t="shared" si="12"/>
        <v>9456.3127387125005</v>
      </c>
      <c r="P111" s="99">
        <f t="shared" si="13"/>
        <v>7214.816385832497</v>
      </c>
    </row>
    <row r="112" spans="1:16" x14ac:dyDescent="0.35">
      <c r="A112" s="96" t="str">
        <f>LEFT('2025 actual v budget'!A112,4)&amp;"26"</f>
        <v>Apr-26</v>
      </c>
      <c r="B112" s="17" t="str">
        <f>'2025 actual v budget'!B112</f>
        <v>Mexico</v>
      </c>
      <c r="C112" s="17" t="str">
        <f>'2025 actual v budget'!C112</f>
        <v>Virtual Accounts</v>
      </c>
      <c r="D112" s="19">
        <f>'2025 actual v budget'!D112</f>
        <v>9995456.6899999995</v>
      </c>
      <c r="E112" s="97">
        <f>SUMIFS('Assumption-Worst'!$C$3:$C$32,'Assumption-Worst'!$A$3:$A$32,$B112,'Assumption-Worst'!$B$3:$B$32,$C112)</f>
        <v>7.4999999999999997E-2</v>
      </c>
      <c r="F112" s="19">
        <f t="shared" si="7"/>
        <v>10745115.941749999</v>
      </c>
      <c r="G112" s="98">
        <f>SUMIFS('Assumption-Worst'!$D$3:$D$32,'Assumption-Worst'!$A$3:$A$32,$B112,'Assumption-Worst'!$B$3:$B$32,$C112)</f>
        <v>4.4999999999999997E-3</v>
      </c>
      <c r="H112" s="99">
        <f t="shared" si="8"/>
        <v>48353.021737874995</v>
      </c>
      <c r="I112" s="97">
        <f>SUMIFS('Assumption-Worst'!$E$3:$E$32,'Assumption-Worst'!$A$3:$A$32,$B112,'Assumption-Worst'!$B$3:$B$32,$C112)</f>
        <v>0.22</v>
      </c>
      <c r="J112" s="19">
        <f t="shared" si="9"/>
        <v>10637.664782332498</v>
      </c>
      <c r="K112" s="100">
        <f>SUMIFS('Assumption-Worst'!$F$3:$F$32,'Assumption-Worst'!$A$3:$A$32,$B112,'Assumption-Worst'!$B$3:$B$32,$C112)</f>
        <v>8.0000000000000007E-5</v>
      </c>
      <c r="L112" s="19">
        <f t="shared" si="10"/>
        <v>859.60927534000007</v>
      </c>
      <c r="M112" s="99">
        <f t="shared" si="11"/>
        <v>36855.747680202498</v>
      </c>
      <c r="N112" s="97">
        <f>SUMIFS('Assumption-Worst'!$G$3:$G$32,'Assumption-Worst'!$A$3:$A$32,$B112,'Assumption-Worst'!$B$3:$B$32,$C112)</f>
        <v>0.45</v>
      </c>
      <c r="O112" s="19">
        <f t="shared" si="12"/>
        <v>21758.85978204375</v>
      </c>
      <c r="P112" s="99">
        <f t="shared" si="13"/>
        <v>15096.887898158748</v>
      </c>
    </row>
    <row r="113" spans="1:16" x14ac:dyDescent="0.35">
      <c r="A113" s="96" t="str">
        <f>LEFT('2025 actual v budget'!A113,4)&amp;"26"</f>
        <v>Apr-26</v>
      </c>
      <c r="B113" s="17" t="str">
        <f>'2025 actual v budget'!B113</f>
        <v>Singapore</v>
      </c>
      <c r="C113" s="17" t="str">
        <f>'2025 actual v budget'!C113</f>
        <v>Cross-border Payouts</v>
      </c>
      <c r="D113" s="19">
        <f>'2025 actual v budget'!D113</f>
        <v>8311449.8499999996</v>
      </c>
      <c r="E113" s="97">
        <f>SUMIFS('Assumption-Worst'!$C$3:$C$32,'Assumption-Worst'!$A$3:$A$32,$B113,'Assumption-Worst'!$B$3:$B$32,$C113)</f>
        <v>2.5000000000000001E-2</v>
      </c>
      <c r="F113" s="19">
        <f t="shared" si="7"/>
        <v>8519236.0962499995</v>
      </c>
      <c r="G113" s="98">
        <f>SUMIFS('Assumption-Worst'!$D$3:$D$32,'Assumption-Worst'!$A$3:$A$32,$B113,'Assumption-Worst'!$B$3:$B$32,$C113)</f>
        <v>7.4999999999999997E-3</v>
      </c>
      <c r="H113" s="99">
        <f t="shared" si="8"/>
        <v>63894.270721874993</v>
      </c>
      <c r="I113" s="97">
        <f>SUMIFS('Assumption-Worst'!$E$3:$E$32,'Assumption-Worst'!$A$3:$A$32,$B113,'Assumption-Worst'!$B$3:$B$32,$C113)</f>
        <v>0.35</v>
      </c>
      <c r="J113" s="19">
        <f t="shared" si="9"/>
        <v>22362.994752656246</v>
      </c>
      <c r="K113" s="100">
        <f>SUMIFS('Assumption-Worst'!$F$3:$F$32,'Assumption-Worst'!$A$3:$A$32,$B113,'Assumption-Worst'!$B$3:$B$32,$C113)</f>
        <v>9.0000000000000006E-5</v>
      </c>
      <c r="L113" s="19">
        <f t="shared" si="10"/>
        <v>766.73124866249998</v>
      </c>
      <c r="M113" s="99">
        <f t="shared" si="11"/>
        <v>40764.544720556245</v>
      </c>
      <c r="N113" s="97">
        <f>SUMIFS('Assumption-Worst'!$G$3:$G$32,'Assumption-Worst'!$A$3:$A$32,$B113,'Assumption-Worst'!$B$3:$B$32,$C113)</f>
        <v>0.45</v>
      </c>
      <c r="O113" s="19">
        <f t="shared" si="12"/>
        <v>28752.421824843746</v>
      </c>
      <c r="P113" s="99">
        <f t="shared" si="13"/>
        <v>12012.122895712499</v>
      </c>
    </row>
    <row r="114" spans="1:16" x14ac:dyDescent="0.35">
      <c r="A114" s="96" t="str">
        <f>LEFT('2025 actual v budget'!A114,4)&amp;"26"</f>
        <v>Apr-26</v>
      </c>
      <c r="B114" s="17" t="str">
        <f>'2025 actual v budget'!B114</f>
        <v>Singapore</v>
      </c>
      <c r="C114" s="17" t="str">
        <f>'2025 actual v budget'!C114</f>
        <v>FX Conversion</v>
      </c>
      <c r="D114" s="19">
        <f>'2025 actual v budget'!D114</f>
        <v>13259051.35</v>
      </c>
      <c r="E114" s="97">
        <f>SUMIFS('Assumption-Worst'!$C$3:$C$32,'Assumption-Worst'!$A$3:$A$32,$B114,'Assumption-Worst'!$B$3:$B$32,$C114)</f>
        <v>2.5000000000000001E-2</v>
      </c>
      <c r="F114" s="19">
        <f t="shared" si="7"/>
        <v>13590527.633749999</v>
      </c>
      <c r="G114" s="98">
        <f>SUMIFS('Assumption-Worst'!$D$3:$D$32,'Assumption-Worst'!$A$3:$A$32,$B114,'Assumption-Worst'!$B$3:$B$32,$C114)</f>
        <v>1.0500000000000001E-2</v>
      </c>
      <c r="H114" s="99">
        <f t="shared" si="8"/>
        <v>142700.54015437499</v>
      </c>
      <c r="I114" s="97">
        <f>SUMIFS('Assumption-Worst'!$E$3:$E$32,'Assumption-Worst'!$A$3:$A$32,$B114,'Assumption-Worst'!$B$3:$B$32,$C114)</f>
        <v>0.28000000000000003</v>
      </c>
      <c r="J114" s="19">
        <f t="shared" si="9"/>
        <v>39956.151243225002</v>
      </c>
      <c r="K114" s="100">
        <f>SUMIFS('Assumption-Worst'!$F$3:$F$32,'Assumption-Worst'!$A$3:$A$32,$B114,'Assumption-Worst'!$B$3:$B$32,$C114)</f>
        <v>9.0000000000000006E-5</v>
      </c>
      <c r="L114" s="19">
        <f t="shared" si="10"/>
        <v>1223.1474870375</v>
      </c>
      <c r="M114" s="99">
        <f t="shared" si="11"/>
        <v>101521.24142411249</v>
      </c>
      <c r="N114" s="97">
        <f>SUMIFS('Assumption-Worst'!$G$3:$G$32,'Assumption-Worst'!$A$3:$A$32,$B114,'Assumption-Worst'!$B$3:$B$32,$C114)</f>
        <v>0.45</v>
      </c>
      <c r="O114" s="19">
        <f t="shared" si="12"/>
        <v>64215.24306946875</v>
      </c>
      <c r="P114" s="99">
        <f t="shared" si="13"/>
        <v>37305.998354643743</v>
      </c>
    </row>
    <row r="115" spans="1:16" x14ac:dyDescent="0.35">
      <c r="A115" s="96" t="str">
        <f>LEFT('2025 actual v budget'!A115,4)&amp;"26"</f>
        <v>Apr-26</v>
      </c>
      <c r="B115" s="17" t="str">
        <f>'2025 actual v budget'!B115</f>
        <v>Singapore</v>
      </c>
      <c r="C115" s="17" t="str">
        <f>'2025 actual v budget'!C115</f>
        <v>Stablecoin Settlement</v>
      </c>
      <c r="D115" s="19">
        <f>'2025 actual v budget'!D115</f>
        <v>19923391.120000001</v>
      </c>
      <c r="E115" s="97">
        <f>SUMIFS('Assumption-Worst'!$C$3:$C$32,'Assumption-Worst'!$A$3:$A$32,$B115,'Assumption-Worst'!$B$3:$B$32,$C115)</f>
        <v>0.05</v>
      </c>
      <c r="F115" s="19">
        <f t="shared" si="7"/>
        <v>20919560.676000003</v>
      </c>
      <c r="G115" s="98">
        <f>SUMIFS('Assumption-Worst'!$D$3:$D$32,'Assumption-Worst'!$A$3:$A$32,$B115,'Assumption-Worst'!$B$3:$B$32,$C115)</f>
        <v>6.4999999999999997E-3</v>
      </c>
      <c r="H115" s="99">
        <f t="shared" si="8"/>
        <v>135977.144394</v>
      </c>
      <c r="I115" s="97">
        <f>SUMIFS('Assumption-Worst'!$E$3:$E$32,'Assumption-Worst'!$A$3:$A$32,$B115,'Assumption-Worst'!$B$3:$B$32,$C115)</f>
        <v>0.32</v>
      </c>
      <c r="J115" s="19">
        <f t="shared" si="9"/>
        <v>43512.686206080005</v>
      </c>
      <c r="K115" s="100">
        <f>SUMIFS('Assumption-Worst'!$F$3:$F$32,'Assumption-Worst'!$A$3:$A$32,$B115,'Assumption-Worst'!$B$3:$B$32,$C115)</f>
        <v>9.0000000000000006E-5</v>
      </c>
      <c r="L115" s="19">
        <f t="shared" si="10"/>
        <v>1882.7604608400004</v>
      </c>
      <c r="M115" s="99">
        <f t="shared" si="11"/>
        <v>90581.697727079998</v>
      </c>
      <c r="N115" s="97">
        <f>SUMIFS('Assumption-Worst'!$G$3:$G$32,'Assumption-Worst'!$A$3:$A$32,$B115,'Assumption-Worst'!$B$3:$B$32,$C115)</f>
        <v>0.45</v>
      </c>
      <c r="O115" s="19">
        <f t="shared" si="12"/>
        <v>61189.714977300006</v>
      </c>
      <c r="P115" s="99">
        <f t="shared" si="13"/>
        <v>29391.982749779992</v>
      </c>
    </row>
    <row r="116" spans="1:16" x14ac:dyDescent="0.35">
      <c r="A116" s="96" t="str">
        <f>LEFT('2025 actual v budget'!A116,4)&amp;"26"</f>
        <v>Apr-26</v>
      </c>
      <c r="B116" s="17" t="str">
        <f>'2025 actual v budget'!B116</f>
        <v>Singapore</v>
      </c>
      <c r="C116" s="17" t="str">
        <f>'2025 actual v budget'!C116</f>
        <v>Treasury Yield</v>
      </c>
      <c r="D116" s="19">
        <f>'2025 actual v budget'!D116</f>
        <v>5449757.9699999997</v>
      </c>
      <c r="E116" s="97">
        <f>SUMIFS('Assumption-Worst'!$C$3:$C$32,'Assumption-Worst'!$A$3:$A$32,$B116,'Assumption-Worst'!$B$3:$B$32,$C116)</f>
        <v>2.5000000000000001E-2</v>
      </c>
      <c r="F116" s="19">
        <f t="shared" si="7"/>
        <v>5586001.9192499993</v>
      </c>
      <c r="G116" s="98">
        <f>SUMIFS('Assumption-Worst'!$D$3:$D$32,'Assumption-Worst'!$A$3:$A$32,$B116,'Assumption-Worst'!$B$3:$B$32,$C116)</f>
        <v>3.0000000000000001E-3</v>
      </c>
      <c r="H116" s="99">
        <f t="shared" si="8"/>
        <v>16758.005757749997</v>
      </c>
      <c r="I116" s="97">
        <f>SUMIFS('Assumption-Worst'!$E$3:$E$32,'Assumption-Worst'!$A$3:$A$32,$B116,'Assumption-Worst'!$B$3:$B$32,$C116)</f>
        <v>0.18</v>
      </c>
      <c r="J116" s="19">
        <f t="shared" si="9"/>
        <v>3016.4410363949996</v>
      </c>
      <c r="K116" s="100">
        <f>SUMIFS('Assumption-Worst'!$F$3:$F$32,'Assumption-Worst'!$A$3:$A$32,$B116,'Assumption-Worst'!$B$3:$B$32,$C116)</f>
        <v>9.0000000000000006E-5</v>
      </c>
      <c r="L116" s="19">
        <f t="shared" si="10"/>
        <v>502.74017273249996</v>
      </c>
      <c r="M116" s="99">
        <f t="shared" si="11"/>
        <v>13238.824548622499</v>
      </c>
      <c r="N116" s="97">
        <f>SUMIFS('Assumption-Worst'!$G$3:$G$32,'Assumption-Worst'!$A$3:$A$32,$B116,'Assumption-Worst'!$B$3:$B$32,$C116)</f>
        <v>0.45</v>
      </c>
      <c r="O116" s="19">
        <f t="shared" si="12"/>
        <v>7541.1025909874988</v>
      </c>
      <c r="P116" s="99">
        <f t="shared" si="13"/>
        <v>5697.7219576349999</v>
      </c>
    </row>
    <row r="117" spans="1:16" x14ac:dyDescent="0.35">
      <c r="A117" s="96" t="str">
        <f>LEFT('2025 actual v budget'!A117,4)&amp;"26"</f>
        <v>Apr-26</v>
      </c>
      <c r="B117" s="17" t="str">
        <f>'2025 actual v budget'!B117</f>
        <v>Singapore</v>
      </c>
      <c r="C117" s="17" t="str">
        <f>'2025 actual v budget'!C117</f>
        <v>Virtual Accounts</v>
      </c>
      <c r="D117" s="19">
        <f>'2025 actual v budget'!D117</f>
        <v>8359884.2300000004</v>
      </c>
      <c r="E117" s="97">
        <f>SUMIFS('Assumption-Worst'!$C$3:$C$32,'Assumption-Worst'!$A$3:$A$32,$B117,'Assumption-Worst'!$B$3:$B$32,$C117)</f>
        <v>2.5000000000000001E-2</v>
      </c>
      <c r="F117" s="19">
        <f t="shared" si="7"/>
        <v>8568881.3357500006</v>
      </c>
      <c r="G117" s="98">
        <f>SUMIFS('Assumption-Worst'!$D$3:$D$32,'Assumption-Worst'!$A$3:$A$32,$B117,'Assumption-Worst'!$B$3:$B$32,$C117)</f>
        <v>4.4999999999999997E-3</v>
      </c>
      <c r="H117" s="99">
        <f t="shared" si="8"/>
        <v>38559.966010875003</v>
      </c>
      <c r="I117" s="97">
        <f>SUMIFS('Assumption-Worst'!$E$3:$E$32,'Assumption-Worst'!$A$3:$A$32,$B117,'Assumption-Worst'!$B$3:$B$32,$C117)</f>
        <v>0.22</v>
      </c>
      <c r="J117" s="19">
        <f t="shared" si="9"/>
        <v>8483.1925223925009</v>
      </c>
      <c r="K117" s="100">
        <f>SUMIFS('Assumption-Worst'!$F$3:$F$32,'Assumption-Worst'!$A$3:$A$32,$B117,'Assumption-Worst'!$B$3:$B$32,$C117)</f>
        <v>9.0000000000000006E-5</v>
      </c>
      <c r="L117" s="19">
        <f t="shared" si="10"/>
        <v>771.19932021750014</v>
      </c>
      <c r="M117" s="99">
        <f t="shared" si="11"/>
        <v>29305.574168265004</v>
      </c>
      <c r="N117" s="97">
        <f>SUMIFS('Assumption-Worst'!$G$3:$G$32,'Assumption-Worst'!$A$3:$A$32,$B117,'Assumption-Worst'!$B$3:$B$32,$C117)</f>
        <v>0.45</v>
      </c>
      <c r="O117" s="19">
        <f t="shared" si="12"/>
        <v>17351.984704893752</v>
      </c>
      <c r="P117" s="99">
        <f t="shared" si="13"/>
        <v>11953.589463371252</v>
      </c>
    </row>
    <row r="118" spans="1:16" x14ac:dyDescent="0.35">
      <c r="A118" s="96" t="str">
        <f>LEFT('2025 actual v budget'!A118,4)&amp;"26"</f>
        <v>Apr-26</v>
      </c>
      <c r="B118" s="17" t="str">
        <f>'2025 actual v budget'!B118</f>
        <v>USA</v>
      </c>
      <c r="C118" s="17" t="str">
        <f>'2025 actual v budget'!C118</f>
        <v>Cross-border Payouts</v>
      </c>
      <c r="D118" s="19">
        <f>'2025 actual v budget'!D118</f>
        <v>20484591.879999999</v>
      </c>
      <c r="E118" s="97">
        <f>SUMIFS('Assumption-Worst'!$C$3:$C$32,'Assumption-Worst'!$A$3:$A$32,$B118,'Assumption-Worst'!$B$3:$B$32,$C118)</f>
        <v>0.05</v>
      </c>
      <c r="F118" s="19">
        <f t="shared" si="7"/>
        <v>21508821.473999999</v>
      </c>
      <c r="G118" s="98">
        <f>SUMIFS('Assumption-Worst'!$D$3:$D$32,'Assumption-Worst'!$A$3:$A$32,$B118,'Assumption-Worst'!$B$3:$B$32,$C118)</f>
        <v>7.4999999999999997E-3</v>
      </c>
      <c r="H118" s="99">
        <f t="shared" si="8"/>
        <v>161316.161055</v>
      </c>
      <c r="I118" s="97">
        <f>SUMIFS('Assumption-Worst'!$E$3:$E$32,'Assumption-Worst'!$A$3:$A$32,$B118,'Assumption-Worst'!$B$3:$B$32,$C118)</f>
        <v>0.35</v>
      </c>
      <c r="J118" s="19">
        <f t="shared" si="9"/>
        <v>56460.656369249999</v>
      </c>
      <c r="K118" s="100">
        <f>SUMIFS('Assumption-Worst'!$F$3:$F$32,'Assumption-Worst'!$A$3:$A$32,$B118,'Assumption-Worst'!$B$3:$B$32,$C118)</f>
        <v>2.0000000000000001E-4</v>
      </c>
      <c r="L118" s="19">
        <f t="shared" si="10"/>
        <v>4301.7642948000002</v>
      </c>
      <c r="M118" s="99">
        <f t="shared" si="11"/>
        <v>100553.74039095</v>
      </c>
      <c r="N118" s="97">
        <f>SUMIFS('Assumption-Worst'!$G$3:$G$32,'Assumption-Worst'!$A$3:$A$32,$B118,'Assumption-Worst'!$B$3:$B$32,$C118)</f>
        <v>0.45</v>
      </c>
      <c r="O118" s="19">
        <f t="shared" si="12"/>
        <v>72592.272474750003</v>
      </c>
      <c r="P118" s="99">
        <f t="shared" si="13"/>
        <v>27961.467916199996</v>
      </c>
    </row>
    <row r="119" spans="1:16" x14ac:dyDescent="0.35">
      <c r="A119" s="96" t="str">
        <f>LEFT('2025 actual v budget'!A119,4)&amp;"26"</f>
        <v>Apr-26</v>
      </c>
      <c r="B119" s="17" t="str">
        <f>'2025 actual v budget'!B119</f>
        <v>USA</v>
      </c>
      <c r="C119" s="17" t="str">
        <f>'2025 actual v budget'!C119</f>
        <v>FX Conversion</v>
      </c>
      <c r="D119" s="19">
        <f>'2025 actual v budget'!D119</f>
        <v>32676342.18</v>
      </c>
      <c r="E119" s="97">
        <f>SUMIFS('Assumption-Worst'!$C$3:$C$32,'Assumption-Worst'!$A$3:$A$32,$B119,'Assumption-Worst'!$B$3:$B$32,$C119)</f>
        <v>0.05</v>
      </c>
      <c r="F119" s="19">
        <f t="shared" si="7"/>
        <v>34310159.289000005</v>
      </c>
      <c r="G119" s="98">
        <f>SUMIFS('Assumption-Worst'!$D$3:$D$32,'Assumption-Worst'!$A$3:$A$32,$B119,'Assumption-Worst'!$B$3:$B$32,$C119)</f>
        <v>1.0500000000000001E-2</v>
      </c>
      <c r="H119" s="99">
        <f t="shared" si="8"/>
        <v>360256.67253450007</v>
      </c>
      <c r="I119" s="97">
        <f>SUMIFS('Assumption-Worst'!$E$3:$E$32,'Assumption-Worst'!$A$3:$A$32,$B119,'Assumption-Worst'!$B$3:$B$32,$C119)</f>
        <v>0.28000000000000003</v>
      </c>
      <c r="J119" s="19">
        <f t="shared" si="9"/>
        <v>100871.86830966003</v>
      </c>
      <c r="K119" s="100">
        <f>SUMIFS('Assumption-Worst'!$F$3:$F$32,'Assumption-Worst'!$A$3:$A$32,$B119,'Assumption-Worst'!$B$3:$B$32,$C119)</f>
        <v>2.0000000000000001E-4</v>
      </c>
      <c r="L119" s="19">
        <f t="shared" si="10"/>
        <v>6862.0318578000015</v>
      </c>
      <c r="M119" s="99">
        <f t="shared" si="11"/>
        <v>252522.77236704004</v>
      </c>
      <c r="N119" s="97">
        <f>SUMIFS('Assumption-Worst'!$G$3:$G$32,'Assumption-Worst'!$A$3:$A$32,$B119,'Assumption-Worst'!$B$3:$B$32,$C119)</f>
        <v>0.45</v>
      </c>
      <c r="O119" s="19">
        <f t="shared" si="12"/>
        <v>162115.50264052502</v>
      </c>
      <c r="P119" s="99">
        <f t="shared" si="13"/>
        <v>90407.26972651502</v>
      </c>
    </row>
    <row r="120" spans="1:16" x14ac:dyDescent="0.35">
      <c r="A120" s="96" t="str">
        <f>LEFT('2025 actual v budget'!A120,4)&amp;"26"</f>
        <v>Apr-26</v>
      </c>
      <c r="B120" s="17" t="str">
        <f>'2025 actual v budget'!B120</f>
        <v>USA</v>
      </c>
      <c r="C120" s="17" t="str">
        <f>'2025 actual v budget'!C120</f>
        <v>Stablecoin Settlement</v>
      </c>
      <c r="D120" s="19">
        <f>'2025 actual v budget'!D120</f>
        <v>49103651.390000001</v>
      </c>
      <c r="E120" s="97">
        <f>SUMIFS('Assumption-Worst'!$C$3:$C$32,'Assumption-Worst'!$A$3:$A$32,$B120,'Assumption-Worst'!$B$3:$B$32,$C120)</f>
        <v>0.1</v>
      </c>
      <c r="F120" s="19">
        <f t="shared" si="7"/>
        <v>54014016.529000007</v>
      </c>
      <c r="G120" s="98">
        <f>SUMIFS('Assumption-Worst'!$D$3:$D$32,'Assumption-Worst'!$A$3:$A$32,$B120,'Assumption-Worst'!$B$3:$B$32,$C120)</f>
        <v>6.4999999999999997E-3</v>
      </c>
      <c r="H120" s="99">
        <f t="shared" si="8"/>
        <v>351091.10743850004</v>
      </c>
      <c r="I120" s="97">
        <f>SUMIFS('Assumption-Worst'!$E$3:$E$32,'Assumption-Worst'!$A$3:$A$32,$B120,'Assumption-Worst'!$B$3:$B$32,$C120)</f>
        <v>0.32</v>
      </c>
      <c r="J120" s="19">
        <f t="shared" si="9"/>
        <v>112349.15438032002</v>
      </c>
      <c r="K120" s="100">
        <f>SUMIFS('Assumption-Worst'!$F$3:$F$32,'Assumption-Worst'!$A$3:$A$32,$B120,'Assumption-Worst'!$B$3:$B$32,$C120)</f>
        <v>2.0000000000000001E-4</v>
      </c>
      <c r="L120" s="19">
        <f t="shared" si="10"/>
        <v>10802.803305800002</v>
      </c>
      <c r="M120" s="99">
        <f t="shared" si="11"/>
        <v>227939.14975238001</v>
      </c>
      <c r="N120" s="97">
        <f>SUMIFS('Assumption-Worst'!$G$3:$G$32,'Assumption-Worst'!$A$3:$A$32,$B120,'Assumption-Worst'!$B$3:$B$32,$C120)</f>
        <v>0.45</v>
      </c>
      <c r="O120" s="19">
        <f t="shared" si="12"/>
        <v>157990.99834732502</v>
      </c>
      <c r="P120" s="99">
        <f t="shared" si="13"/>
        <v>69948.151405054989</v>
      </c>
    </row>
    <row r="121" spans="1:16" x14ac:dyDescent="0.35">
      <c r="A121" s="96" t="str">
        <f>LEFT('2025 actual v budget'!A121,4)&amp;"26"</f>
        <v>Apr-26</v>
      </c>
      <c r="B121" s="17" t="str">
        <f>'2025 actual v budget'!B121</f>
        <v>USA</v>
      </c>
      <c r="C121" s="17" t="str">
        <f>'2025 actual v budget'!C121</f>
        <v>Treasury Yield</v>
      </c>
      <c r="D121" s="19">
        <f>'2025 actual v budget'!D121</f>
        <v>13430686.08</v>
      </c>
      <c r="E121" s="97">
        <f>SUMIFS('Assumption-Worst'!$C$3:$C$32,'Assumption-Worst'!$A$3:$A$32,$B121,'Assumption-Worst'!$B$3:$B$32,$C121)</f>
        <v>0.05</v>
      </c>
      <c r="F121" s="19">
        <f t="shared" si="7"/>
        <v>14102220.384000001</v>
      </c>
      <c r="G121" s="98">
        <f>SUMIFS('Assumption-Worst'!$D$3:$D$32,'Assumption-Worst'!$A$3:$A$32,$B121,'Assumption-Worst'!$B$3:$B$32,$C121)</f>
        <v>3.0000000000000001E-3</v>
      </c>
      <c r="H121" s="99">
        <f t="shared" si="8"/>
        <v>42306.661152000008</v>
      </c>
      <c r="I121" s="97">
        <f>SUMIFS('Assumption-Worst'!$E$3:$E$32,'Assumption-Worst'!$A$3:$A$32,$B121,'Assumption-Worst'!$B$3:$B$32,$C121)</f>
        <v>0.18</v>
      </c>
      <c r="J121" s="19">
        <f t="shared" si="9"/>
        <v>7615.1990073600009</v>
      </c>
      <c r="K121" s="100">
        <f>SUMIFS('Assumption-Worst'!$F$3:$F$32,'Assumption-Worst'!$A$3:$A$32,$B121,'Assumption-Worst'!$B$3:$B$32,$C121)</f>
        <v>2.0000000000000001E-4</v>
      </c>
      <c r="L121" s="19">
        <f t="shared" si="10"/>
        <v>2820.4440768000004</v>
      </c>
      <c r="M121" s="99">
        <f t="shared" si="11"/>
        <v>31871.018067840007</v>
      </c>
      <c r="N121" s="97">
        <f>SUMIFS('Assumption-Worst'!$G$3:$G$32,'Assumption-Worst'!$A$3:$A$32,$B121,'Assumption-Worst'!$B$3:$B$32,$C121)</f>
        <v>0.45</v>
      </c>
      <c r="O121" s="19">
        <f t="shared" si="12"/>
        <v>19037.997518400003</v>
      </c>
      <c r="P121" s="99">
        <f t="shared" si="13"/>
        <v>12833.020549440003</v>
      </c>
    </row>
    <row r="122" spans="1:16" x14ac:dyDescent="0.35">
      <c r="A122" s="96" t="str">
        <f>LEFT('2025 actual v budget'!A122,4)&amp;"26"</f>
        <v>Apr-26</v>
      </c>
      <c r="B122" s="17" t="str">
        <f>'2025 actual v budget'!B122</f>
        <v>USA</v>
      </c>
      <c r="C122" s="17" t="str">
        <f>'2025 actual v budget'!C122</f>
        <v>Virtual Accounts</v>
      </c>
      <c r="D122" s="19">
        <f>'2025 actual v budget'!D122</f>
        <v>20602562.780000001</v>
      </c>
      <c r="E122" s="97">
        <f>SUMIFS('Assumption-Worst'!$C$3:$C$32,'Assumption-Worst'!$A$3:$A$32,$B122,'Assumption-Worst'!$B$3:$B$32,$C122)</f>
        <v>0.05</v>
      </c>
      <c r="F122" s="19">
        <f t="shared" si="7"/>
        <v>21632690.919000003</v>
      </c>
      <c r="G122" s="98">
        <f>SUMIFS('Assumption-Worst'!$D$3:$D$32,'Assumption-Worst'!$A$3:$A$32,$B122,'Assumption-Worst'!$B$3:$B$32,$C122)</f>
        <v>4.4999999999999997E-3</v>
      </c>
      <c r="H122" s="99">
        <f t="shared" si="8"/>
        <v>97347.10913550001</v>
      </c>
      <c r="I122" s="97">
        <f>SUMIFS('Assumption-Worst'!$E$3:$E$32,'Assumption-Worst'!$A$3:$A$32,$B122,'Assumption-Worst'!$B$3:$B$32,$C122)</f>
        <v>0.22</v>
      </c>
      <c r="J122" s="19">
        <f t="shared" si="9"/>
        <v>21416.364009810004</v>
      </c>
      <c r="K122" s="100">
        <f>SUMIFS('Assumption-Worst'!$F$3:$F$32,'Assumption-Worst'!$A$3:$A$32,$B122,'Assumption-Worst'!$B$3:$B$32,$C122)</f>
        <v>2.0000000000000001E-4</v>
      </c>
      <c r="L122" s="19">
        <f t="shared" si="10"/>
        <v>4326.5381838000012</v>
      </c>
      <c r="M122" s="99">
        <f t="shared" si="11"/>
        <v>71604.206941890006</v>
      </c>
      <c r="N122" s="97">
        <f>SUMIFS('Assumption-Worst'!$G$3:$G$32,'Assumption-Worst'!$A$3:$A$32,$B122,'Assumption-Worst'!$B$3:$B$32,$C122)</f>
        <v>0.45</v>
      </c>
      <c r="O122" s="19">
        <f t="shared" si="12"/>
        <v>43806.199110975009</v>
      </c>
      <c r="P122" s="99">
        <f t="shared" si="13"/>
        <v>27798.007830914998</v>
      </c>
    </row>
    <row r="123" spans="1:16" x14ac:dyDescent="0.35">
      <c r="A123" s="91" t="str">
        <f>LEFT('2025 actual v budget'!A123,4)&amp;"26"</f>
        <v>May-26</v>
      </c>
      <c r="B123" s="12" t="str">
        <f>'2025 actual v budget'!B123</f>
        <v>Brazil</v>
      </c>
      <c r="C123" s="12" t="str">
        <f>'2025 actual v budget'!C123</f>
        <v>Cross-border Payouts</v>
      </c>
      <c r="D123" s="14">
        <f>'2025 actual v budget'!D123</f>
        <v>13263247.5</v>
      </c>
      <c r="E123" s="92">
        <f>SUMIFS('Assumption-Worst'!$C$3:$C$32,'Assumption-Worst'!$A$3:$A$32,$B123,'Assumption-Worst'!$B$3:$B$32,$C123)</f>
        <v>0.1</v>
      </c>
      <c r="F123" s="14">
        <f t="shared" si="7"/>
        <v>14589572.250000002</v>
      </c>
      <c r="G123" s="93">
        <f>SUMIFS('Assumption-Worst'!$D$3:$D$32,'Assumption-Worst'!$A$3:$A$32,$B123,'Assumption-Worst'!$B$3:$B$32,$C123)</f>
        <v>7.4999999999999997E-3</v>
      </c>
      <c r="H123" s="94">
        <f t="shared" si="8"/>
        <v>109421.79187500001</v>
      </c>
      <c r="I123" s="92">
        <f>SUMIFS('Assumption-Worst'!$E$3:$E$32,'Assumption-Worst'!$A$3:$A$32,$B123,'Assumption-Worst'!$B$3:$B$32,$C123)</f>
        <v>0.35</v>
      </c>
      <c r="J123" s="14">
        <f t="shared" si="9"/>
        <v>38297.627156250004</v>
      </c>
      <c r="K123" s="95">
        <f>SUMIFS('Assumption-Worst'!$F$3:$F$32,'Assumption-Worst'!$A$3:$A$32,$B123,'Assumption-Worst'!$B$3:$B$32,$C123)</f>
        <v>6.9999999999999994E-5</v>
      </c>
      <c r="L123" s="14">
        <f t="shared" si="10"/>
        <v>1021.2700575</v>
      </c>
      <c r="M123" s="94">
        <f t="shared" si="11"/>
        <v>70102.89466125</v>
      </c>
      <c r="N123" s="92">
        <f>SUMIFS('Assumption-Worst'!$G$3:$G$32,'Assumption-Worst'!$A$3:$A$32,$B123,'Assumption-Worst'!$B$3:$B$32,$C123)</f>
        <v>0.45</v>
      </c>
      <c r="O123" s="14">
        <f t="shared" si="12"/>
        <v>49239.806343750002</v>
      </c>
      <c r="P123" s="94">
        <f t="shared" si="13"/>
        <v>20863.088317499998</v>
      </c>
    </row>
    <row r="124" spans="1:16" x14ac:dyDescent="0.35">
      <c r="A124" s="91" t="str">
        <f>LEFT('2025 actual v budget'!A124,4)&amp;"26"</f>
        <v>May-26</v>
      </c>
      <c r="B124" s="12" t="str">
        <f>'2025 actual v budget'!B124</f>
        <v>Brazil</v>
      </c>
      <c r="C124" s="12" t="str">
        <f>'2025 actual v budget'!C124</f>
        <v>FX Conversion</v>
      </c>
      <c r="D124" s="14">
        <f>'2025 actual v budget'!D124</f>
        <v>20801795.550000001</v>
      </c>
      <c r="E124" s="92">
        <f>SUMIFS('Assumption-Worst'!$C$3:$C$32,'Assumption-Worst'!$A$3:$A$32,$B124,'Assumption-Worst'!$B$3:$B$32,$C124)</f>
        <v>0.1</v>
      </c>
      <c r="F124" s="14">
        <f t="shared" si="7"/>
        <v>22881975.105000004</v>
      </c>
      <c r="G124" s="93">
        <f>SUMIFS('Assumption-Worst'!$D$3:$D$32,'Assumption-Worst'!$A$3:$A$32,$B124,'Assumption-Worst'!$B$3:$B$32,$C124)</f>
        <v>1.0500000000000001E-2</v>
      </c>
      <c r="H124" s="94">
        <f t="shared" si="8"/>
        <v>240260.73860250006</v>
      </c>
      <c r="I124" s="92">
        <f>SUMIFS('Assumption-Worst'!$E$3:$E$32,'Assumption-Worst'!$A$3:$A$32,$B124,'Assumption-Worst'!$B$3:$B$32,$C124)</f>
        <v>0.28000000000000003</v>
      </c>
      <c r="J124" s="14">
        <f t="shared" si="9"/>
        <v>67273.006808700025</v>
      </c>
      <c r="K124" s="95">
        <f>SUMIFS('Assumption-Worst'!$F$3:$F$32,'Assumption-Worst'!$A$3:$A$32,$B124,'Assumption-Worst'!$B$3:$B$32,$C124)</f>
        <v>6.9999999999999994E-5</v>
      </c>
      <c r="L124" s="14">
        <f t="shared" si="10"/>
        <v>1601.7382573500001</v>
      </c>
      <c r="M124" s="94">
        <f t="shared" si="11"/>
        <v>171385.99353645003</v>
      </c>
      <c r="N124" s="92">
        <f>SUMIFS('Assumption-Worst'!$G$3:$G$32,'Assumption-Worst'!$A$3:$A$32,$B124,'Assumption-Worst'!$B$3:$B$32,$C124)</f>
        <v>0.45</v>
      </c>
      <c r="O124" s="14">
        <f t="shared" si="12"/>
        <v>108117.33237112503</v>
      </c>
      <c r="P124" s="94">
        <f t="shared" si="13"/>
        <v>63268.661165325</v>
      </c>
    </row>
    <row r="125" spans="1:16" x14ac:dyDescent="0.35">
      <c r="A125" s="91" t="str">
        <f>LEFT('2025 actual v budget'!A125,4)&amp;"26"</f>
        <v>May-26</v>
      </c>
      <c r="B125" s="12" t="str">
        <f>'2025 actual v budget'!B125</f>
        <v>Brazil</v>
      </c>
      <c r="C125" s="12" t="str">
        <f>'2025 actual v budget'!C125</f>
        <v>Stablecoin Settlement</v>
      </c>
      <c r="D125" s="14">
        <f>'2025 actual v budget'!D125</f>
        <v>32333137.93</v>
      </c>
      <c r="E125" s="92">
        <f>SUMIFS('Assumption-Worst'!$C$3:$C$32,'Assumption-Worst'!$A$3:$A$32,$B125,'Assumption-Worst'!$B$3:$B$32,$C125)</f>
        <v>0.2</v>
      </c>
      <c r="F125" s="14">
        <f t="shared" si="7"/>
        <v>38799765.515999995</v>
      </c>
      <c r="G125" s="93">
        <f>SUMIFS('Assumption-Worst'!$D$3:$D$32,'Assumption-Worst'!$A$3:$A$32,$B125,'Assumption-Worst'!$B$3:$B$32,$C125)</f>
        <v>6.4999999999999997E-3</v>
      </c>
      <c r="H125" s="94">
        <f t="shared" si="8"/>
        <v>252198.47585399996</v>
      </c>
      <c r="I125" s="92">
        <f>SUMIFS('Assumption-Worst'!$E$3:$E$32,'Assumption-Worst'!$A$3:$A$32,$B125,'Assumption-Worst'!$B$3:$B$32,$C125)</f>
        <v>0.32</v>
      </c>
      <c r="J125" s="14">
        <f t="shared" si="9"/>
        <v>80703.512273279994</v>
      </c>
      <c r="K125" s="95">
        <f>SUMIFS('Assumption-Worst'!$F$3:$F$32,'Assumption-Worst'!$A$3:$A$32,$B125,'Assumption-Worst'!$B$3:$B$32,$C125)</f>
        <v>6.9999999999999994E-5</v>
      </c>
      <c r="L125" s="14">
        <f t="shared" si="10"/>
        <v>2715.9835861199995</v>
      </c>
      <c r="M125" s="94">
        <f t="shared" si="11"/>
        <v>168778.97999459994</v>
      </c>
      <c r="N125" s="92">
        <f>SUMIFS('Assumption-Worst'!$G$3:$G$32,'Assumption-Worst'!$A$3:$A$32,$B125,'Assumption-Worst'!$B$3:$B$32,$C125)</f>
        <v>0.45</v>
      </c>
      <c r="O125" s="14">
        <f t="shared" si="12"/>
        <v>113489.31413429999</v>
      </c>
      <c r="P125" s="94">
        <f t="shared" si="13"/>
        <v>55289.665860299952</v>
      </c>
    </row>
    <row r="126" spans="1:16" x14ac:dyDescent="0.35">
      <c r="A126" s="91" t="str">
        <f>LEFT('2025 actual v budget'!A126,4)&amp;"26"</f>
        <v>May-26</v>
      </c>
      <c r="B126" s="12" t="str">
        <f>'2025 actual v budget'!B126</f>
        <v>Brazil</v>
      </c>
      <c r="C126" s="12" t="str">
        <f>'2025 actual v budget'!C126</f>
        <v>Treasury Yield</v>
      </c>
      <c r="D126" s="14">
        <f>'2025 actual v budget'!D126</f>
        <v>8704604.1500000004</v>
      </c>
      <c r="E126" s="92">
        <f>SUMIFS('Assumption-Worst'!$C$3:$C$32,'Assumption-Worst'!$A$3:$A$32,$B126,'Assumption-Worst'!$B$3:$B$32,$C126)</f>
        <v>0.1</v>
      </c>
      <c r="F126" s="14">
        <f t="shared" si="7"/>
        <v>9575064.5650000013</v>
      </c>
      <c r="G126" s="93">
        <f>SUMIFS('Assumption-Worst'!$D$3:$D$32,'Assumption-Worst'!$A$3:$A$32,$B126,'Assumption-Worst'!$B$3:$B$32,$C126)</f>
        <v>3.0000000000000001E-3</v>
      </c>
      <c r="H126" s="94">
        <f t="shared" si="8"/>
        <v>28725.193695000005</v>
      </c>
      <c r="I126" s="92">
        <f>SUMIFS('Assumption-Worst'!$E$3:$E$32,'Assumption-Worst'!$A$3:$A$32,$B126,'Assumption-Worst'!$B$3:$B$32,$C126)</f>
        <v>0.18</v>
      </c>
      <c r="J126" s="14">
        <f t="shared" si="9"/>
        <v>5170.5348651000004</v>
      </c>
      <c r="K126" s="95">
        <f>SUMIFS('Assumption-Worst'!$F$3:$F$32,'Assumption-Worst'!$A$3:$A$32,$B126,'Assumption-Worst'!$B$3:$B$32,$C126)</f>
        <v>6.9999999999999994E-5</v>
      </c>
      <c r="L126" s="14">
        <f t="shared" si="10"/>
        <v>670.25451955000005</v>
      </c>
      <c r="M126" s="94">
        <f t="shared" si="11"/>
        <v>22884.404310350008</v>
      </c>
      <c r="N126" s="92">
        <f>SUMIFS('Assumption-Worst'!$G$3:$G$32,'Assumption-Worst'!$A$3:$A$32,$B126,'Assumption-Worst'!$B$3:$B$32,$C126)</f>
        <v>0.45</v>
      </c>
      <c r="O126" s="14">
        <f t="shared" si="12"/>
        <v>12926.337162750002</v>
      </c>
      <c r="P126" s="94">
        <f t="shared" si="13"/>
        <v>9958.0671476000061</v>
      </c>
    </row>
    <row r="127" spans="1:16" x14ac:dyDescent="0.35">
      <c r="A127" s="91" t="str">
        <f>LEFT('2025 actual v budget'!A127,4)&amp;"26"</f>
        <v>May-26</v>
      </c>
      <c r="B127" s="12" t="str">
        <f>'2025 actual v budget'!B127</f>
        <v>Brazil</v>
      </c>
      <c r="C127" s="12" t="str">
        <f>'2025 actual v budget'!C127</f>
        <v>Virtual Accounts</v>
      </c>
      <c r="D127" s="14">
        <f>'2025 actual v budget'!D127</f>
        <v>13498048.27</v>
      </c>
      <c r="E127" s="92">
        <f>SUMIFS('Assumption-Worst'!$C$3:$C$32,'Assumption-Worst'!$A$3:$A$32,$B127,'Assumption-Worst'!$B$3:$B$32,$C127)</f>
        <v>0.1</v>
      </c>
      <c r="F127" s="14">
        <f t="shared" si="7"/>
        <v>14847853.097000001</v>
      </c>
      <c r="G127" s="93">
        <f>SUMIFS('Assumption-Worst'!$D$3:$D$32,'Assumption-Worst'!$A$3:$A$32,$B127,'Assumption-Worst'!$B$3:$B$32,$C127)</f>
        <v>4.4999999999999997E-3</v>
      </c>
      <c r="H127" s="94">
        <f t="shared" si="8"/>
        <v>66815.338936500004</v>
      </c>
      <c r="I127" s="92">
        <f>SUMIFS('Assumption-Worst'!$E$3:$E$32,'Assumption-Worst'!$A$3:$A$32,$B127,'Assumption-Worst'!$B$3:$B$32,$C127)</f>
        <v>0.22</v>
      </c>
      <c r="J127" s="14">
        <f t="shared" si="9"/>
        <v>14699.374566030001</v>
      </c>
      <c r="K127" s="95">
        <f>SUMIFS('Assumption-Worst'!$F$3:$F$32,'Assumption-Worst'!$A$3:$A$32,$B127,'Assumption-Worst'!$B$3:$B$32,$C127)</f>
        <v>6.9999999999999994E-5</v>
      </c>
      <c r="L127" s="14">
        <f t="shared" si="10"/>
        <v>1039.34971679</v>
      </c>
      <c r="M127" s="94">
        <f t="shared" si="11"/>
        <v>51076.614653680001</v>
      </c>
      <c r="N127" s="92">
        <f>SUMIFS('Assumption-Worst'!$G$3:$G$32,'Assumption-Worst'!$A$3:$A$32,$B127,'Assumption-Worst'!$B$3:$B$32,$C127)</f>
        <v>0.45</v>
      </c>
      <c r="O127" s="14">
        <f t="shared" si="12"/>
        <v>30066.902521425003</v>
      </c>
      <c r="P127" s="94">
        <f t="shared" si="13"/>
        <v>21009.712132254997</v>
      </c>
    </row>
    <row r="128" spans="1:16" x14ac:dyDescent="0.35">
      <c r="A128" s="91" t="str">
        <f>LEFT('2025 actual v budget'!A128,4)&amp;"26"</f>
        <v>May-26</v>
      </c>
      <c r="B128" s="12" t="str">
        <f>'2025 actual v budget'!B128</f>
        <v>Germany</v>
      </c>
      <c r="C128" s="12" t="str">
        <f>'2025 actual v budget'!C128</f>
        <v>Cross-border Payouts</v>
      </c>
      <c r="D128" s="14">
        <f>'2025 actual v budget'!D128</f>
        <v>6674245.25</v>
      </c>
      <c r="E128" s="92">
        <f>SUMIFS('Assumption-Worst'!$C$3:$C$32,'Assumption-Worst'!$A$3:$A$32,$B128,'Assumption-Worst'!$B$3:$B$32,$C128)</f>
        <v>0.03</v>
      </c>
      <c r="F128" s="14">
        <f t="shared" si="7"/>
        <v>6874472.6074999999</v>
      </c>
      <c r="G128" s="93">
        <f>SUMIFS('Assumption-Worst'!$D$3:$D$32,'Assumption-Worst'!$A$3:$A$32,$B128,'Assumption-Worst'!$B$3:$B$32,$C128)</f>
        <v>7.4999999999999997E-3</v>
      </c>
      <c r="H128" s="94">
        <f t="shared" si="8"/>
        <v>51558.544556249995</v>
      </c>
      <c r="I128" s="92">
        <f>SUMIFS('Assumption-Worst'!$E$3:$E$32,'Assumption-Worst'!$A$3:$A$32,$B128,'Assumption-Worst'!$B$3:$B$32,$C128)</f>
        <v>0.35</v>
      </c>
      <c r="J128" s="14">
        <f t="shared" si="9"/>
        <v>18045.490594687497</v>
      </c>
      <c r="K128" s="95">
        <f>SUMIFS('Assumption-Worst'!$F$3:$F$32,'Assumption-Worst'!$A$3:$A$32,$B128,'Assumption-Worst'!$B$3:$B$32,$C128)</f>
        <v>1.4999999999999999E-4</v>
      </c>
      <c r="L128" s="14">
        <f t="shared" si="10"/>
        <v>1031.1708911249998</v>
      </c>
      <c r="M128" s="94">
        <f t="shared" si="11"/>
        <v>32481.883070437503</v>
      </c>
      <c r="N128" s="92">
        <f>SUMIFS('Assumption-Worst'!$G$3:$G$32,'Assumption-Worst'!$A$3:$A$32,$B128,'Assumption-Worst'!$B$3:$B$32,$C128)</f>
        <v>0.45</v>
      </c>
      <c r="O128" s="14">
        <f t="shared" si="12"/>
        <v>23201.345050312499</v>
      </c>
      <c r="P128" s="94">
        <f t="shared" si="13"/>
        <v>9280.5380201250046</v>
      </c>
    </row>
    <row r="129" spans="1:16" x14ac:dyDescent="0.35">
      <c r="A129" s="91" t="str">
        <f>LEFT('2025 actual v budget'!A129,4)&amp;"26"</f>
        <v>May-26</v>
      </c>
      <c r="B129" s="12" t="str">
        <f>'2025 actual v budget'!B129</f>
        <v>Germany</v>
      </c>
      <c r="C129" s="12" t="str">
        <f>'2025 actual v budget'!C129</f>
        <v>FX Conversion</v>
      </c>
      <c r="D129" s="14">
        <f>'2025 actual v budget'!D129</f>
        <v>10463964.949999999</v>
      </c>
      <c r="E129" s="92">
        <f>SUMIFS('Assumption-Worst'!$C$3:$C$32,'Assumption-Worst'!$A$3:$A$32,$B129,'Assumption-Worst'!$B$3:$B$32,$C129)</f>
        <v>0.03</v>
      </c>
      <c r="F129" s="14">
        <f t="shared" si="7"/>
        <v>10777883.898499999</v>
      </c>
      <c r="G129" s="93">
        <f>SUMIFS('Assumption-Worst'!$D$3:$D$32,'Assumption-Worst'!$A$3:$A$32,$B129,'Assumption-Worst'!$B$3:$B$32,$C129)</f>
        <v>1.0500000000000001E-2</v>
      </c>
      <c r="H129" s="94">
        <f t="shared" si="8"/>
        <v>113167.78093425</v>
      </c>
      <c r="I129" s="92">
        <f>SUMIFS('Assumption-Worst'!$E$3:$E$32,'Assumption-Worst'!$A$3:$A$32,$B129,'Assumption-Worst'!$B$3:$B$32,$C129)</f>
        <v>0.28000000000000003</v>
      </c>
      <c r="J129" s="14">
        <f t="shared" si="9"/>
        <v>31686.978661590001</v>
      </c>
      <c r="K129" s="95">
        <f>SUMIFS('Assumption-Worst'!$F$3:$F$32,'Assumption-Worst'!$A$3:$A$32,$B129,'Assumption-Worst'!$B$3:$B$32,$C129)</f>
        <v>1.4999999999999999E-4</v>
      </c>
      <c r="L129" s="14">
        <f t="shared" si="10"/>
        <v>1616.6825847749997</v>
      </c>
      <c r="M129" s="94">
        <f t="shared" si="11"/>
        <v>79864.119687884988</v>
      </c>
      <c r="N129" s="92">
        <f>SUMIFS('Assumption-Worst'!$G$3:$G$32,'Assumption-Worst'!$A$3:$A$32,$B129,'Assumption-Worst'!$B$3:$B$32,$C129)</f>
        <v>0.45</v>
      </c>
      <c r="O129" s="14">
        <f t="shared" si="12"/>
        <v>50925.501420412496</v>
      </c>
      <c r="P129" s="94">
        <f t="shared" si="13"/>
        <v>28938.618267472491</v>
      </c>
    </row>
    <row r="130" spans="1:16" x14ac:dyDescent="0.35">
      <c r="A130" s="91" t="str">
        <f>LEFT('2025 actual v budget'!A130,4)&amp;"26"</f>
        <v>May-26</v>
      </c>
      <c r="B130" s="12" t="str">
        <f>'2025 actual v budget'!B130</f>
        <v>Germany</v>
      </c>
      <c r="C130" s="12" t="str">
        <f>'2025 actual v budget'!C130</f>
        <v>Stablecoin Settlement</v>
      </c>
      <c r="D130" s="14">
        <f>'2025 actual v budget'!D130</f>
        <v>16270471.640000001</v>
      </c>
      <c r="E130" s="92">
        <f>SUMIFS('Assumption-Worst'!$C$3:$C$32,'Assumption-Worst'!$A$3:$A$32,$B130,'Assumption-Worst'!$B$3:$B$32,$C130)</f>
        <v>0.06</v>
      </c>
      <c r="F130" s="14">
        <f t="shared" si="7"/>
        <v>17246699.9384</v>
      </c>
      <c r="G130" s="93">
        <f>SUMIFS('Assumption-Worst'!$D$3:$D$32,'Assumption-Worst'!$A$3:$A$32,$B130,'Assumption-Worst'!$B$3:$B$32,$C130)</f>
        <v>6.4999999999999997E-3</v>
      </c>
      <c r="H130" s="94">
        <f t="shared" si="8"/>
        <v>112103.5495996</v>
      </c>
      <c r="I130" s="92">
        <f>SUMIFS('Assumption-Worst'!$E$3:$E$32,'Assumption-Worst'!$A$3:$A$32,$B130,'Assumption-Worst'!$B$3:$B$32,$C130)</f>
        <v>0.32</v>
      </c>
      <c r="J130" s="14">
        <f t="shared" si="9"/>
        <v>35873.135871872</v>
      </c>
      <c r="K130" s="95">
        <f>SUMIFS('Assumption-Worst'!$F$3:$F$32,'Assumption-Worst'!$A$3:$A$32,$B130,'Assumption-Worst'!$B$3:$B$32,$C130)</f>
        <v>1.4999999999999999E-4</v>
      </c>
      <c r="L130" s="14">
        <f t="shared" si="10"/>
        <v>2587.0049907599996</v>
      </c>
      <c r="M130" s="94">
        <f t="shared" si="11"/>
        <v>73643.408736967991</v>
      </c>
      <c r="N130" s="92">
        <f>SUMIFS('Assumption-Worst'!$G$3:$G$32,'Assumption-Worst'!$A$3:$A$32,$B130,'Assumption-Worst'!$B$3:$B$32,$C130)</f>
        <v>0.45</v>
      </c>
      <c r="O130" s="14">
        <f t="shared" si="12"/>
        <v>50446.597319820001</v>
      </c>
      <c r="P130" s="94">
        <f t="shared" si="13"/>
        <v>23196.81141714799</v>
      </c>
    </row>
    <row r="131" spans="1:16" x14ac:dyDescent="0.35">
      <c r="A131" s="91" t="str">
        <f>LEFT('2025 actual v budget'!A131,4)&amp;"26"</f>
        <v>May-26</v>
      </c>
      <c r="B131" s="12" t="str">
        <f>'2025 actual v budget'!B131</f>
        <v>Germany</v>
      </c>
      <c r="C131" s="12" t="str">
        <f>'2025 actual v budget'!C131</f>
        <v>Treasury Yield</v>
      </c>
      <c r="D131" s="14">
        <f>'2025 actual v budget'!D131</f>
        <v>4378692.8099999996</v>
      </c>
      <c r="E131" s="92">
        <f>SUMIFS('Assumption-Worst'!$C$3:$C$32,'Assumption-Worst'!$A$3:$A$32,$B131,'Assumption-Worst'!$B$3:$B$32,$C131)</f>
        <v>0.03</v>
      </c>
      <c r="F131" s="14">
        <f t="shared" ref="F131:F194" si="14">D131*(1+E131)</f>
        <v>4510053.5943</v>
      </c>
      <c r="G131" s="93">
        <f>SUMIFS('Assumption-Worst'!$D$3:$D$32,'Assumption-Worst'!$A$3:$A$32,$B131,'Assumption-Worst'!$B$3:$B$32,$C131)</f>
        <v>3.0000000000000001E-3</v>
      </c>
      <c r="H131" s="94">
        <f t="shared" ref="H131:H194" si="15">F131*G131</f>
        <v>13530.1607829</v>
      </c>
      <c r="I131" s="92">
        <f>SUMIFS('Assumption-Worst'!$E$3:$E$32,'Assumption-Worst'!$A$3:$A$32,$B131,'Assumption-Worst'!$B$3:$B$32,$C131)</f>
        <v>0.18</v>
      </c>
      <c r="J131" s="14">
        <f t="shared" ref="J131:J194" si="16">H131*I131</f>
        <v>2435.428940922</v>
      </c>
      <c r="K131" s="95">
        <f>SUMIFS('Assumption-Worst'!$F$3:$F$32,'Assumption-Worst'!$A$3:$A$32,$B131,'Assumption-Worst'!$B$3:$B$32,$C131)</f>
        <v>1.4999999999999999E-4</v>
      </c>
      <c r="L131" s="14">
        <f t="shared" ref="L131:L194" si="17">F131*K131</f>
        <v>676.50803914499988</v>
      </c>
      <c r="M131" s="94">
        <f t="shared" ref="M131:M194" si="18">H131-J131-L131</f>
        <v>10418.223802833001</v>
      </c>
      <c r="N131" s="92">
        <f>SUMIFS('Assumption-Worst'!$G$3:$G$32,'Assumption-Worst'!$A$3:$A$32,$B131,'Assumption-Worst'!$B$3:$B$32,$C131)</f>
        <v>0.45</v>
      </c>
      <c r="O131" s="14">
        <f t="shared" ref="O131:O194" si="19">H131*N131</f>
        <v>6088.5723523050001</v>
      </c>
      <c r="P131" s="94">
        <f t="shared" ref="P131:P194" si="20">M131-O131</f>
        <v>4329.6514505280011</v>
      </c>
    </row>
    <row r="132" spans="1:16" x14ac:dyDescent="0.35">
      <c r="A132" s="91" t="str">
        <f>LEFT('2025 actual v budget'!A132,4)&amp;"26"</f>
        <v>May-26</v>
      </c>
      <c r="B132" s="12" t="str">
        <f>'2025 actual v budget'!B132</f>
        <v>Germany</v>
      </c>
      <c r="C132" s="12" t="str">
        <f>'2025 actual v budget'!C132</f>
        <v>Virtual Accounts</v>
      </c>
      <c r="D132" s="14">
        <f>'2025 actual v budget'!D132</f>
        <v>6789947.71</v>
      </c>
      <c r="E132" s="92">
        <f>SUMIFS('Assumption-Worst'!$C$3:$C$32,'Assumption-Worst'!$A$3:$A$32,$B132,'Assumption-Worst'!$B$3:$B$32,$C132)</f>
        <v>0.03</v>
      </c>
      <c r="F132" s="14">
        <f t="shared" si="14"/>
        <v>6993646.1413000003</v>
      </c>
      <c r="G132" s="93">
        <f>SUMIFS('Assumption-Worst'!$D$3:$D$32,'Assumption-Worst'!$A$3:$A$32,$B132,'Assumption-Worst'!$B$3:$B$32,$C132)</f>
        <v>4.4999999999999997E-3</v>
      </c>
      <c r="H132" s="94">
        <f t="shared" si="15"/>
        <v>31471.407635849999</v>
      </c>
      <c r="I132" s="92">
        <f>SUMIFS('Assumption-Worst'!$E$3:$E$32,'Assumption-Worst'!$A$3:$A$32,$B132,'Assumption-Worst'!$B$3:$B$32,$C132)</f>
        <v>0.22</v>
      </c>
      <c r="J132" s="14">
        <f t="shared" si="16"/>
        <v>6923.7096798869998</v>
      </c>
      <c r="K132" s="95">
        <f>SUMIFS('Assumption-Worst'!$F$3:$F$32,'Assumption-Worst'!$A$3:$A$32,$B132,'Assumption-Worst'!$B$3:$B$32,$C132)</f>
        <v>1.4999999999999999E-4</v>
      </c>
      <c r="L132" s="14">
        <f t="shared" si="17"/>
        <v>1049.0469211949999</v>
      </c>
      <c r="M132" s="94">
        <f t="shared" si="18"/>
        <v>23498.651034767998</v>
      </c>
      <c r="N132" s="92">
        <f>SUMIFS('Assumption-Worst'!$G$3:$G$32,'Assumption-Worst'!$A$3:$A$32,$B132,'Assumption-Worst'!$B$3:$B$32,$C132)</f>
        <v>0.45</v>
      </c>
      <c r="O132" s="14">
        <f t="shared" si="19"/>
        <v>14162.133436132499</v>
      </c>
      <c r="P132" s="94">
        <f t="shared" si="20"/>
        <v>9336.5175986354989</v>
      </c>
    </row>
    <row r="133" spans="1:16" x14ac:dyDescent="0.35">
      <c r="A133" s="91" t="str">
        <f>LEFT('2025 actual v budget'!A133,4)&amp;"26"</f>
        <v>May-26</v>
      </c>
      <c r="B133" s="12" t="str">
        <f>'2025 actual v budget'!B133</f>
        <v>India</v>
      </c>
      <c r="C133" s="12" t="str">
        <f>'2025 actual v budget'!C133</f>
        <v>Cross-border Payouts</v>
      </c>
      <c r="D133" s="14">
        <f>'2025 actual v budget'!D133</f>
        <v>8851151.4900000002</v>
      </c>
      <c r="E133" s="92">
        <f>SUMIFS('Assumption-Worst'!$C$3:$C$32,'Assumption-Worst'!$A$3:$A$32,$B133,'Assumption-Worst'!$B$3:$B$32,$C133)</f>
        <v>0.06</v>
      </c>
      <c r="F133" s="14">
        <f t="shared" si="14"/>
        <v>9382220.5794000011</v>
      </c>
      <c r="G133" s="93">
        <f>SUMIFS('Assumption-Worst'!$D$3:$D$32,'Assumption-Worst'!$A$3:$A$32,$B133,'Assumption-Worst'!$B$3:$B$32,$C133)</f>
        <v>7.4999999999999997E-3</v>
      </c>
      <c r="H133" s="94">
        <f t="shared" si="15"/>
        <v>70366.654345500006</v>
      </c>
      <c r="I133" s="92">
        <f>SUMIFS('Assumption-Worst'!$E$3:$E$32,'Assumption-Worst'!$A$3:$A$32,$B133,'Assumption-Worst'!$B$3:$B$32,$C133)</f>
        <v>0.35</v>
      </c>
      <c r="J133" s="14">
        <f t="shared" si="16"/>
        <v>24628.329020925001</v>
      </c>
      <c r="K133" s="95">
        <f>SUMIFS('Assumption-Worst'!$F$3:$F$32,'Assumption-Worst'!$A$3:$A$32,$B133,'Assumption-Worst'!$B$3:$B$32,$C133)</f>
        <v>1.8000000000000001E-4</v>
      </c>
      <c r="L133" s="14">
        <f t="shared" si="17"/>
        <v>1688.7997042920003</v>
      </c>
      <c r="M133" s="94">
        <f t="shared" si="18"/>
        <v>44049.525620283006</v>
      </c>
      <c r="N133" s="92">
        <f>SUMIFS('Assumption-Worst'!$G$3:$G$32,'Assumption-Worst'!$A$3:$A$32,$B133,'Assumption-Worst'!$B$3:$B$32,$C133)</f>
        <v>0.45</v>
      </c>
      <c r="O133" s="14">
        <f t="shared" si="19"/>
        <v>31664.994455475004</v>
      </c>
      <c r="P133" s="94">
        <f t="shared" si="20"/>
        <v>12384.531164808002</v>
      </c>
    </row>
    <row r="134" spans="1:16" x14ac:dyDescent="0.35">
      <c r="A134" s="91" t="str">
        <f>LEFT('2025 actual v budget'!A134,4)&amp;"26"</f>
        <v>May-26</v>
      </c>
      <c r="B134" s="12" t="str">
        <f>'2025 actual v budget'!B134</f>
        <v>India</v>
      </c>
      <c r="C134" s="12" t="str">
        <f>'2025 actual v budget'!C134</f>
        <v>FX Conversion</v>
      </c>
      <c r="D134" s="14">
        <f>'2025 actual v budget'!D134</f>
        <v>13884394.57</v>
      </c>
      <c r="E134" s="92">
        <f>SUMIFS('Assumption-Worst'!$C$3:$C$32,'Assumption-Worst'!$A$3:$A$32,$B134,'Assumption-Worst'!$B$3:$B$32,$C134)</f>
        <v>0.06</v>
      </c>
      <c r="F134" s="14">
        <f t="shared" si="14"/>
        <v>14717458.244200001</v>
      </c>
      <c r="G134" s="93">
        <f>SUMIFS('Assumption-Worst'!$D$3:$D$32,'Assumption-Worst'!$A$3:$A$32,$B134,'Assumption-Worst'!$B$3:$B$32,$C134)</f>
        <v>1.0500000000000001E-2</v>
      </c>
      <c r="H134" s="94">
        <f t="shared" si="15"/>
        <v>154533.3115641</v>
      </c>
      <c r="I134" s="92">
        <f>SUMIFS('Assumption-Worst'!$E$3:$E$32,'Assumption-Worst'!$A$3:$A$32,$B134,'Assumption-Worst'!$B$3:$B$32,$C134)</f>
        <v>0.28000000000000003</v>
      </c>
      <c r="J134" s="14">
        <f t="shared" si="16"/>
        <v>43269.327237948004</v>
      </c>
      <c r="K134" s="95">
        <f>SUMIFS('Assumption-Worst'!$F$3:$F$32,'Assumption-Worst'!$A$3:$A$32,$B134,'Assumption-Worst'!$B$3:$B$32,$C134)</f>
        <v>1.8000000000000001E-4</v>
      </c>
      <c r="L134" s="14">
        <f t="shared" si="17"/>
        <v>2649.1424839560004</v>
      </c>
      <c r="M134" s="94">
        <f t="shared" si="18"/>
        <v>108614.84184219599</v>
      </c>
      <c r="N134" s="92">
        <f>SUMIFS('Assumption-Worst'!$G$3:$G$32,'Assumption-Worst'!$A$3:$A$32,$B134,'Assumption-Worst'!$B$3:$B$32,$C134)</f>
        <v>0.45</v>
      </c>
      <c r="O134" s="14">
        <f t="shared" si="19"/>
        <v>69539.990203845009</v>
      </c>
      <c r="P134" s="94">
        <f t="shared" si="20"/>
        <v>39074.851638350985</v>
      </c>
    </row>
    <row r="135" spans="1:16" x14ac:dyDescent="0.35">
      <c r="A135" s="91" t="str">
        <f>LEFT('2025 actual v budget'!A135,4)&amp;"26"</f>
        <v>May-26</v>
      </c>
      <c r="B135" s="12" t="str">
        <f>'2025 actual v budget'!B135</f>
        <v>India</v>
      </c>
      <c r="C135" s="12" t="str">
        <f>'2025 actual v budget'!C135</f>
        <v>Stablecoin Settlement</v>
      </c>
      <c r="D135" s="14">
        <f>'2025 actual v budget'!D135</f>
        <v>21577332.530000001</v>
      </c>
      <c r="E135" s="92">
        <f>SUMIFS('Assumption-Worst'!$C$3:$C$32,'Assumption-Worst'!$A$3:$A$32,$B135,'Assumption-Worst'!$B$3:$B$32,$C135)</f>
        <v>0.12</v>
      </c>
      <c r="F135" s="14">
        <f t="shared" si="14"/>
        <v>24166612.433600005</v>
      </c>
      <c r="G135" s="93">
        <f>SUMIFS('Assumption-Worst'!$D$3:$D$32,'Assumption-Worst'!$A$3:$A$32,$B135,'Assumption-Worst'!$B$3:$B$32,$C135)</f>
        <v>6.4999999999999997E-3</v>
      </c>
      <c r="H135" s="94">
        <f t="shared" si="15"/>
        <v>157082.98081840001</v>
      </c>
      <c r="I135" s="92">
        <f>SUMIFS('Assumption-Worst'!$E$3:$E$32,'Assumption-Worst'!$A$3:$A$32,$B135,'Assumption-Worst'!$B$3:$B$32,$C135)</f>
        <v>0.32</v>
      </c>
      <c r="J135" s="14">
        <f t="shared" si="16"/>
        <v>50266.553861888009</v>
      </c>
      <c r="K135" s="95">
        <f>SUMIFS('Assumption-Worst'!$F$3:$F$32,'Assumption-Worst'!$A$3:$A$32,$B135,'Assumption-Worst'!$B$3:$B$32,$C135)</f>
        <v>1.8000000000000001E-4</v>
      </c>
      <c r="L135" s="14">
        <f t="shared" si="17"/>
        <v>4349.9902380480007</v>
      </c>
      <c r="M135" s="94">
        <f t="shared" si="18"/>
        <v>102466.436718464</v>
      </c>
      <c r="N135" s="92">
        <f>SUMIFS('Assumption-Worst'!$G$3:$G$32,'Assumption-Worst'!$A$3:$A$32,$B135,'Assumption-Worst'!$B$3:$B$32,$C135)</f>
        <v>0.45</v>
      </c>
      <c r="O135" s="14">
        <f t="shared" si="19"/>
        <v>70687.341368280002</v>
      </c>
      <c r="P135" s="94">
        <f t="shared" si="20"/>
        <v>31779.095350183998</v>
      </c>
    </row>
    <row r="136" spans="1:16" x14ac:dyDescent="0.35">
      <c r="A136" s="91" t="str">
        <f>LEFT('2025 actual v budget'!A136,4)&amp;"26"</f>
        <v>May-26</v>
      </c>
      <c r="B136" s="12" t="str">
        <f>'2025 actual v budget'!B136</f>
        <v>India</v>
      </c>
      <c r="C136" s="12" t="str">
        <f>'2025 actual v budget'!C136</f>
        <v>Treasury Yield</v>
      </c>
      <c r="D136" s="14">
        <f>'2025 actual v budget'!D136</f>
        <v>5809986.8499999996</v>
      </c>
      <c r="E136" s="92">
        <f>SUMIFS('Assumption-Worst'!$C$3:$C$32,'Assumption-Worst'!$A$3:$A$32,$B136,'Assumption-Worst'!$B$3:$B$32,$C136)</f>
        <v>0.06</v>
      </c>
      <c r="F136" s="14">
        <f t="shared" si="14"/>
        <v>6158586.0609999998</v>
      </c>
      <c r="G136" s="93">
        <f>SUMIFS('Assumption-Worst'!$D$3:$D$32,'Assumption-Worst'!$A$3:$A$32,$B136,'Assumption-Worst'!$B$3:$B$32,$C136)</f>
        <v>3.0000000000000001E-3</v>
      </c>
      <c r="H136" s="94">
        <f t="shared" si="15"/>
        <v>18475.758182999998</v>
      </c>
      <c r="I136" s="92">
        <f>SUMIFS('Assumption-Worst'!$E$3:$E$32,'Assumption-Worst'!$A$3:$A$32,$B136,'Assumption-Worst'!$B$3:$B$32,$C136)</f>
        <v>0.18</v>
      </c>
      <c r="J136" s="14">
        <f t="shared" si="16"/>
        <v>3325.6364729399997</v>
      </c>
      <c r="K136" s="95">
        <f>SUMIFS('Assumption-Worst'!$F$3:$F$32,'Assumption-Worst'!$A$3:$A$32,$B136,'Assumption-Worst'!$B$3:$B$32,$C136)</f>
        <v>1.8000000000000001E-4</v>
      </c>
      <c r="L136" s="14">
        <f t="shared" si="17"/>
        <v>1108.5454909800001</v>
      </c>
      <c r="M136" s="94">
        <f t="shared" si="18"/>
        <v>14041.576219079998</v>
      </c>
      <c r="N136" s="92">
        <f>SUMIFS('Assumption-Worst'!$G$3:$G$32,'Assumption-Worst'!$A$3:$A$32,$B136,'Assumption-Worst'!$B$3:$B$32,$C136)</f>
        <v>0.45</v>
      </c>
      <c r="O136" s="14">
        <f t="shared" si="19"/>
        <v>8314.0911823499991</v>
      </c>
      <c r="P136" s="94">
        <f t="shared" si="20"/>
        <v>5727.4850367299987</v>
      </c>
    </row>
    <row r="137" spans="1:16" x14ac:dyDescent="0.35">
      <c r="A137" s="91" t="str">
        <f>LEFT('2025 actual v budget'!A137,4)&amp;"26"</f>
        <v>May-26</v>
      </c>
      <c r="B137" s="12" t="str">
        <f>'2025 actual v budget'!B137</f>
        <v>India</v>
      </c>
      <c r="C137" s="12" t="str">
        <f>'2025 actual v budget'!C137</f>
        <v>Virtual Accounts</v>
      </c>
      <c r="D137" s="14">
        <f>'2025 actual v budget'!D137</f>
        <v>9009425.5399999991</v>
      </c>
      <c r="E137" s="92">
        <f>SUMIFS('Assumption-Worst'!$C$3:$C$32,'Assumption-Worst'!$A$3:$A$32,$B137,'Assumption-Worst'!$B$3:$B$32,$C137)</f>
        <v>0.06</v>
      </c>
      <c r="F137" s="14">
        <f t="shared" si="14"/>
        <v>9549991.0723999999</v>
      </c>
      <c r="G137" s="93">
        <f>SUMIFS('Assumption-Worst'!$D$3:$D$32,'Assumption-Worst'!$A$3:$A$32,$B137,'Assumption-Worst'!$B$3:$B$32,$C137)</f>
        <v>4.4999999999999997E-3</v>
      </c>
      <c r="H137" s="94">
        <f t="shared" si="15"/>
        <v>42974.959825799997</v>
      </c>
      <c r="I137" s="92">
        <f>SUMIFS('Assumption-Worst'!$E$3:$E$32,'Assumption-Worst'!$A$3:$A$32,$B137,'Assumption-Worst'!$B$3:$B$32,$C137)</f>
        <v>0.22</v>
      </c>
      <c r="J137" s="14">
        <f t="shared" si="16"/>
        <v>9454.491161676</v>
      </c>
      <c r="K137" s="95">
        <f>SUMIFS('Assumption-Worst'!$F$3:$F$32,'Assumption-Worst'!$A$3:$A$32,$B137,'Assumption-Worst'!$B$3:$B$32,$C137)</f>
        <v>1.8000000000000001E-4</v>
      </c>
      <c r="L137" s="14">
        <f t="shared" si="17"/>
        <v>1718.9983930320002</v>
      </c>
      <c r="M137" s="94">
        <f t="shared" si="18"/>
        <v>31801.470271091996</v>
      </c>
      <c r="N137" s="92">
        <f>SUMIFS('Assumption-Worst'!$G$3:$G$32,'Assumption-Worst'!$A$3:$A$32,$B137,'Assumption-Worst'!$B$3:$B$32,$C137)</f>
        <v>0.45</v>
      </c>
      <c r="O137" s="14">
        <f t="shared" si="19"/>
        <v>19338.73192161</v>
      </c>
      <c r="P137" s="94">
        <f t="shared" si="20"/>
        <v>12462.738349481995</v>
      </c>
    </row>
    <row r="138" spans="1:16" x14ac:dyDescent="0.35">
      <c r="A138" s="91" t="str">
        <f>LEFT('2025 actual v budget'!A138,4)&amp;"26"</f>
        <v>May-26</v>
      </c>
      <c r="B138" s="12" t="str">
        <f>'2025 actual v budget'!B138</f>
        <v>Mexico</v>
      </c>
      <c r="C138" s="12" t="str">
        <f>'2025 actual v budget'!C138</f>
        <v>Cross-border Payouts</v>
      </c>
      <c r="D138" s="14">
        <f>'2025 actual v budget'!D138</f>
        <v>10618207.380000001</v>
      </c>
      <c r="E138" s="92">
        <f>SUMIFS('Assumption-Worst'!$C$3:$C$32,'Assumption-Worst'!$A$3:$A$32,$B138,'Assumption-Worst'!$B$3:$B$32,$C138)</f>
        <v>7.4999999999999997E-2</v>
      </c>
      <c r="F138" s="14">
        <f t="shared" si="14"/>
        <v>11414572.933500001</v>
      </c>
      <c r="G138" s="93">
        <f>SUMIFS('Assumption-Worst'!$D$3:$D$32,'Assumption-Worst'!$A$3:$A$32,$B138,'Assumption-Worst'!$B$3:$B$32,$C138)</f>
        <v>7.4999999999999997E-3</v>
      </c>
      <c r="H138" s="94">
        <f t="shared" si="15"/>
        <v>85609.297001250001</v>
      </c>
      <c r="I138" s="92">
        <f>SUMIFS('Assumption-Worst'!$E$3:$E$32,'Assumption-Worst'!$A$3:$A$32,$B138,'Assumption-Worst'!$B$3:$B$32,$C138)</f>
        <v>0.35</v>
      </c>
      <c r="J138" s="14">
        <f t="shared" si="16"/>
        <v>29963.253950437498</v>
      </c>
      <c r="K138" s="95">
        <f>SUMIFS('Assumption-Worst'!$F$3:$F$32,'Assumption-Worst'!$A$3:$A$32,$B138,'Assumption-Worst'!$B$3:$B$32,$C138)</f>
        <v>8.0000000000000007E-5</v>
      </c>
      <c r="L138" s="14">
        <f t="shared" si="17"/>
        <v>913.16583468000022</v>
      </c>
      <c r="M138" s="94">
        <f t="shared" si="18"/>
        <v>54732.877216132496</v>
      </c>
      <c r="N138" s="92">
        <f>SUMIFS('Assumption-Worst'!$G$3:$G$32,'Assumption-Worst'!$A$3:$A$32,$B138,'Assumption-Worst'!$B$3:$B$32,$C138)</f>
        <v>0.45</v>
      </c>
      <c r="O138" s="14">
        <f t="shared" si="19"/>
        <v>38524.183650562503</v>
      </c>
      <c r="P138" s="94">
        <f t="shared" si="20"/>
        <v>16208.693565569993</v>
      </c>
    </row>
    <row r="139" spans="1:16" x14ac:dyDescent="0.35">
      <c r="A139" s="91" t="str">
        <f>LEFT('2025 actual v budget'!A139,4)&amp;"26"</f>
        <v>May-26</v>
      </c>
      <c r="B139" s="12" t="str">
        <f>'2025 actual v budget'!B139</f>
        <v>Mexico</v>
      </c>
      <c r="C139" s="12" t="str">
        <f>'2025 actual v budget'!C139</f>
        <v>FX Conversion</v>
      </c>
      <c r="D139" s="14">
        <f>'2025 actual v budget'!D139</f>
        <v>16654839.17</v>
      </c>
      <c r="E139" s="92">
        <f>SUMIFS('Assumption-Worst'!$C$3:$C$32,'Assumption-Worst'!$A$3:$A$32,$B139,'Assumption-Worst'!$B$3:$B$32,$C139)</f>
        <v>7.4999999999999997E-2</v>
      </c>
      <c r="F139" s="14">
        <f t="shared" si="14"/>
        <v>17903952.107749999</v>
      </c>
      <c r="G139" s="93">
        <f>SUMIFS('Assumption-Worst'!$D$3:$D$32,'Assumption-Worst'!$A$3:$A$32,$B139,'Assumption-Worst'!$B$3:$B$32,$C139)</f>
        <v>1.0500000000000001E-2</v>
      </c>
      <c r="H139" s="94">
        <f t="shared" si="15"/>
        <v>187991.49713137498</v>
      </c>
      <c r="I139" s="92">
        <f>SUMIFS('Assumption-Worst'!$E$3:$E$32,'Assumption-Worst'!$A$3:$A$32,$B139,'Assumption-Worst'!$B$3:$B$32,$C139)</f>
        <v>0.28000000000000003</v>
      </c>
      <c r="J139" s="14">
        <f t="shared" si="16"/>
        <v>52637.619196785003</v>
      </c>
      <c r="K139" s="95">
        <f>SUMIFS('Assumption-Worst'!$F$3:$F$32,'Assumption-Worst'!$A$3:$A$32,$B139,'Assumption-Worst'!$B$3:$B$32,$C139)</f>
        <v>8.0000000000000007E-5</v>
      </c>
      <c r="L139" s="14">
        <f t="shared" si="17"/>
        <v>1432.3161686200001</v>
      </c>
      <c r="M139" s="94">
        <f t="shared" si="18"/>
        <v>133921.56176596999</v>
      </c>
      <c r="N139" s="92">
        <f>SUMIFS('Assumption-Worst'!$G$3:$G$32,'Assumption-Worst'!$A$3:$A$32,$B139,'Assumption-Worst'!$B$3:$B$32,$C139)</f>
        <v>0.45</v>
      </c>
      <c r="O139" s="14">
        <f t="shared" si="19"/>
        <v>84596.173709118739</v>
      </c>
      <c r="P139" s="94">
        <f t="shared" si="20"/>
        <v>49325.388056851254</v>
      </c>
    </row>
    <row r="140" spans="1:16" x14ac:dyDescent="0.35">
      <c r="A140" s="91" t="str">
        <f>LEFT('2025 actual v budget'!A140,4)&amp;"26"</f>
        <v>May-26</v>
      </c>
      <c r="B140" s="12" t="str">
        <f>'2025 actual v budget'!B140</f>
        <v>Mexico</v>
      </c>
      <c r="C140" s="12" t="str">
        <f>'2025 actual v budget'!C140</f>
        <v>Stablecoin Settlement</v>
      </c>
      <c r="D140" s="14">
        <f>'2025 actual v budget'!D140</f>
        <v>25885060.48</v>
      </c>
      <c r="E140" s="92">
        <f>SUMIFS('Assumption-Worst'!$C$3:$C$32,'Assumption-Worst'!$A$3:$A$32,$B140,'Assumption-Worst'!$B$3:$B$32,$C140)</f>
        <v>0.15</v>
      </c>
      <c r="F140" s="14">
        <f t="shared" si="14"/>
        <v>29767819.551999997</v>
      </c>
      <c r="G140" s="93">
        <f>SUMIFS('Assumption-Worst'!$D$3:$D$32,'Assumption-Worst'!$A$3:$A$32,$B140,'Assumption-Worst'!$B$3:$B$32,$C140)</f>
        <v>6.4999999999999997E-3</v>
      </c>
      <c r="H140" s="94">
        <f t="shared" si="15"/>
        <v>193490.82708799996</v>
      </c>
      <c r="I140" s="92">
        <f>SUMIFS('Assumption-Worst'!$E$3:$E$32,'Assumption-Worst'!$A$3:$A$32,$B140,'Assumption-Worst'!$B$3:$B$32,$C140)</f>
        <v>0.32</v>
      </c>
      <c r="J140" s="14">
        <f t="shared" si="16"/>
        <v>61917.06466815999</v>
      </c>
      <c r="K140" s="95">
        <f>SUMIFS('Assumption-Worst'!$F$3:$F$32,'Assumption-Worst'!$A$3:$A$32,$B140,'Assumption-Worst'!$B$3:$B$32,$C140)</f>
        <v>8.0000000000000007E-5</v>
      </c>
      <c r="L140" s="14">
        <f t="shared" si="17"/>
        <v>2381.4255641599998</v>
      </c>
      <c r="M140" s="94">
        <f t="shared" si="18"/>
        <v>129192.33685567997</v>
      </c>
      <c r="N140" s="92">
        <f>SUMIFS('Assumption-Worst'!$G$3:$G$32,'Assumption-Worst'!$A$3:$A$32,$B140,'Assumption-Worst'!$B$3:$B$32,$C140)</f>
        <v>0.45</v>
      </c>
      <c r="O140" s="14">
        <f t="shared" si="19"/>
        <v>87070.872189599992</v>
      </c>
      <c r="P140" s="94">
        <f t="shared" si="20"/>
        <v>42121.464666079977</v>
      </c>
    </row>
    <row r="141" spans="1:16" x14ac:dyDescent="0.35">
      <c r="A141" s="91" t="str">
        <f>LEFT('2025 actual v budget'!A141,4)&amp;"26"</f>
        <v>May-26</v>
      </c>
      <c r="B141" s="12" t="str">
        <f>'2025 actual v budget'!B141</f>
        <v>Mexico</v>
      </c>
      <c r="C141" s="12" t="str">
        <f>'2025 actual v budget'!C141</f>
        <v>Treasury Yield</v>
      </c>
      <c r="D141" s="14">
        <f>'2025 actual v budget'!D141</f>
        <v>6969291.75</v>
      </c>
      <c r="E141" s="92">
        <f>SUMIFS('Assumption-Worst'!$C$3:$C$32,'Assumption-Worst'!$A$3:$A$32,$B141,'Assumption-Worst'!$B$3:$B$32,$C141)</f>
        <v>7.4999999999999997E-2</v>
      </c>
      <c r="F141" s="14">
        <f t="shared" si="14"/>
        <v>7491988.6312499996</v>
      </c>
      <c r="G141" s="93">
        <f>SUMIFS('Assumption-Worst'!$D$3:$D$32,'Assumption-Worst'!$A$3:$A$32,$B141,'Assumption-Worst'!$B$3:$B$32,$C141)</f>
        <v>3.0000000000000001E-3</v>
      </c>
      <c r="H141" s="94">
        <f t="shared" si="15"/>
        <v>22475.965893749999</v>
      </c>
      <c r="I141" s="92">
        <f>SUMIFS('Assumption-Worst'!$E$3:$E$32,'Assumption-Worst'!$A$3:$A$32,$B141,'Assumption-Worst'!$B$3:$B$32,$C141)</f>
        <v>0.18</v>
      </c>
      <c r="J141" s="14">
        <f t="shared" si="16"/>
        <v>4045.6738608749997</v>
      </c>
      <c r="K141" s="95">
        <f>SUMIFS('Assumption-Worst'!$F$3:$F$32,'Assumption-Worst'!$A$3:$A$32,$B141,'Assumption-Worst'!$B$3:$B$32,$C141)</f>
        <v>8.0000000000000007E-5</v>
      </c>
      <c r="L141" s="14">
        <f t="shared" si="17"/>
        <v>599.35909049999998</v>
      </c>
      <c r="M141" s="94">
        <f t="shared" si="18"/>
        <v>17830.932942375002</v>
      </c>
      <c r="N141" s="92">
        <f>SUMIFS('Assumption-Worst'!$G$3:$G$32,'Assumption-Worst'!$A$3:$A$32,$B141,'Assumption-Worst'!$B$3:$B$32,$C141)</f>
        <v>0.45</v>
      </c>
      <c r="O141" s="14">
        <f t="shared" si="19"/>
        <v>10114.1846521875</v>
      </c>
      <c r="P141" s="94">
        <f t="shared" si="20"/>
        <v>7716.7482901875028</v>
      </c>
    </row>
    <row r="142" spans="1:16" x14ac:dyDescent="0.35">
      <c r="A142" s="91" t="str">
        <f>LEFT('2025 actual v budget'!A142,4)&amp;"26"</f>
        <v>May-26</v>
      </c>
      <c r="B142" s="12" t="str">
        <f>'2025 actual v budget'!B142</f>
        <v>Mexico</v>
      </c>
      <c r="C142" s="12" t="str">
        <f>'2025 actual v budget'!C142</f>
        <v>Virtual Accounts</v>
      </c>
      <c r="D142" s="14">
        <f>'2025 actual v budget'!D142</f>
        <v>10807135.49</v>
      </c>
      <c r="E142" s="92">
        <f>SUMIFS('Assumption-Worst'!$C$3:$C$32,'Assumption-Worst'!$A$3:$A$32,$B142,'Assumption-Worst'!$B$3:$B$32,$C142)</f>
        <v>7.4999999999999997E-2</v>
      </c>
      <c r="F142" s="14">
        <f t="shared" si="14"/>
        <v>11617670.65175</v>
      </c>
      <c r="G142" s="93">
        <f>SUMIFS('Assumption-Worst'!$D$3:$D$32,'Assumption-Worst'!$A$3:$A$32,$B142,'Assumption-Worst'!$B$3:$B$32,$C142)</f>
        <v>4.4999999999999997E-3</v>
      </c>
      <c r="H142" s="94">
        <f t="shared" si="15"/>
        <v>52279.517932874995</v>
      </c>
      <c r="I142" s="92">
        <f>SUMIFS('Assumption-Worst'!$E$3:$E$32,'Assumption-Worst'!$A$3:$A$32,$B142,'Assumption-Worst'!$B$3:$B$32,$C142)</f>
        <v>0.22</v>
      </c>
      <c r="J142" s="14">
        <f t="shared" si="16"/>
        <v>11501.4939452325</v>
      </c>
      <c r="K142" s="95">
        <f>SUMIFS('Assumption-Worst'!$F$3:$F$32,'Assumption-Worst'!$A$3:$A$32,$B142,'Assumption-Worst'!$B$3:$B$32,$C142)</f>
        <v>8.0000000000000007E-5</v>
      </c>
      <c r="L142" s="14">
        <f t="shared" si="17"/>
        <v>929.41365214000007</v>
      </c>
      <c r="M142" s="94">
        <f t="shared" si="18"/>
        <v>39848.610335502497</v>
      </c>
      <c r="N142" s="92">
        <f>SUMIFS('Assumption-Worst'!$G$3:$G$32,'Assumption-Worst'!$A$3:$A$32,$B142,'Assumption-Worst'!$B$3:$B$32,$C142)</f>
        <v>0.45</v>
      </c>
      <c r="O142" s="14">
        <f t="shared" si="19"/>
        <v>23525.78306979375</v>
      </c>
      <c r="P142" s="94">
        <f t="shared" si="20"/>
        <v>16322.827265708747</v>
      </c>
    </row>
    <row r="143" spans="1:16" x14ac:dyDescent="0.35">
      <c r="A143" s="91" t="str">
        <f>LEFT('2025 actual v budget'!A143,4)&amp;"26"</f>
        <v>May-26</v>
      </c>
      <c r="B143" s="12" t="str">
        <f>'2025 actual v budget'!B143</f>
        <v>Singapore</v>
      </c>
      <c r="C143" s="12" t="str">
        <f>'2025 actual v budget'!C143</f>
        <v>Cross-border Payouts</v>
      </c>
      <c r="D143" s="14">
        <f>'2025 actual v budget'!D143</f>
        <v>8757990.6799999997</v>
      </c>
      <c r="E143" s="92">
        <f>SUMIFS('Assumption-Worst'!$C$3:$C$32,'Assumption-Worst'!$A$3:$A$32,$B143,'Assumption-Worst'!$B$3:$B$32,$C143)</f>
        <v>2.5000000000000001E-2</v>
      </c>
      <c r="F143" s="14">
        <f t="shared" si="14"/>
        <v>8976940.4469999988</v>
      </c>
      <c r="G143" s="93">
        <f>SUMIFS('Assumption-Worst'!$D$3:$D$32,'Assumption-Worst'!$A$3:$A$32,$B143,'Assumption-Worst'!$B$3:$B$32,$C143)</f>
        <v>7.4999999999999997E-3</v>
      </c>
      <c r="H143" s="94">
        <f t="shared" si="15"/>
        <v>67327.053352499992</v>
      </c>
      <c r="I143" s="92">
        <f>SUMIFS('Assumption-Worst'!$E$3:$E$32,'Assumption-Worst'!$A$3:$A$32,$B143,'Assumption-Worst'!$B$3:$B$32,$C143)</f>
        <v>0.35</v>
      </c>
      <c r="J143" s="14">
        <f t="shared" si="16"/>
        <v>23564.468673374995</v>
      </c>
      <c r="K143" s="95">
        <f>SUMIFS('Assumption-Worst'!$F$3:$F$32,'Assumption-Worst'!$A$3:$A$32,$B143,'Assumption-Worst'!$B$3:$B$32,$C143)</f>
        <v>9.0000000000000006E-5</v>
      </c>
      <c r="L143" s="14">
        <f t="shared" si="17"/>
        <v>807.92464022999991</v>
      </c>
      <c r="M143" s="94">
        <f t="shared" si="18"/>
        <v>42954.660038894996</v>
      </c>
      <c r="N143" s="92">
        <f>SUMIFS('Assumption-Worst'!$G$3:$G$32,'Assumption-Worst'!$A$3:$A$32,$B143,'Assumption-Worst'!$B$3:$B$32,$C143)</f>
        <v>0.45</v>
      </c>
      <c r="O143" s="14">
        <f t="shared" si="19"/>
        <v>30297.174008624996</v>
      </c>
      <c r="P143" s="94">
        <f t="shared" si="20"/>
        <v>12657.48603027</v>
      </c>
    </row>
    <row r="144" spans="1:16" x14ac:dyDescent="0.35">
      <c r="A144" s="91" t="str">
        <f>LEFT('2025 actual v budget'!A144,4)&amp;"26"</f>
        <v>May-26</v>
      </c>
      <c r="B144" s="12" t="str">
        <f>'2025 actual v budget'!B144</f>
        <v>Singapore</v>
      </c>
      <c r="C144" s="12" t="str">
        <f>'2025 actual v budget'!C144</f>
        <v>FX Conversion</v>
      </c>
      <c r="D144" s="14">
        <f>'2025 actual v budget'!D144</f>
        <v>13733390.09</v>
      </c>
      <c r="E144" s="92">
        <f>SUMIFS('Assumption-Worst'!$C$3:$C$32,'Assumption-Worst'!$A$3:$A$32,$B144,'Assumption-Worst'!$B$3:$B$32,$C144)</f>
        <v>2.5000000000000001E-2</v>
      </c>
      <c r="F144" s="14">
        <f t="shared" si="14"/>
        <v>14076724.842249999</v>
      </c>
      <c r="G144" s="93">
        <f>SUMIFS('Assumption-Worst'!$D$3:$D$32,'Assumption-Worst'!$A$3:$A$32,$B144,'Assumption-Worst'!$B$3:$B$32,$C144)</f>
        <v>1.0500000000000001E-2</v>
      </c>
      <c r="H144" s="94">
        <f t="shared" si="15"/>
        <v>147805.61084362501</v>
      </c>
      <c r="I144" s="92">
        <f>SUMIFS('Assumption-Worst'!$E$3:$E$32,'Assumption-Worst'!$A$3:$A$32,$B144,'Assumption-Worst'!$B$3:$B$32,$C144)</f>
        <v>0.28000000000000003</v>
      </c>
      <c r="J144" s="14">
        <f t="shared" si="16"/>
        <v>41385.571036215006</v>
      </c>
      <c r="K144" s="95">
        <f>SUMIFS('Assumption-Worst'!$F$3:$F$32,'Assumption-Worst'!$A$3:$A$32,$B144,'Assumption-Worst'!$B$3:$B$32,$C144)</f>
        <v>9.0000000000000006E-5</v>
      </c>
      <c r="L144" s="14">
        <f t="shared" si="17"/>
        <v>1266.9052358024999</v>
      </c>
      <c r="M144" s="94">
        <f t="shared" si="18"/>
        <v>105153.13457160752</v>
      </c>
      <c r="N144" s="92">
        <f>SUMIFS('Assumption-Worst'!$G$3:$G$32,'Assumption-Worst'!$A$3:$A$32,$B144,'Assumption-Worst'!$B$3:$B$32,$C144)</f>
        <v>0.45</v>
      </c>
      <c r="O144" s="14">
        <f t="shared" si="19"/>
        <v>66512.524879631252</v>
      </c>
      <c r="P144" s="94">
        <f t="shared" si="20"/>
        <v>38640.609691976264</v>
      </c>
    </row>
    <row r="145" spans="1:16" x14ac:dyDescent="0.35">
      <c r="A145" s="91" t="str">
        <f>LEFT('2025 actual v budget'!A145,4)&amp;"26"</f>
        <v>May-26</v>
      </c>
      <c r="B145" s="12" t="str">
        <f>'2025 actual v budget'!B145</f>
        <v>Singapore</v>
      </c>
      <c r="C145" s="12" t="str">
        <f>'2025 actual v budget'!C145</f>
        <v>Stablecoin Settlement</v>
      </c>
      <c r="D145" s="14">
        <f>'2025 actual v budget'!D145</f>
        <v>21350225.18</v>
      </c>
      <c r="E145" s="92">
        <f>SUMIFS('Assumption-Worst'!$C$3:$C$32,'Assumption-Worst'!$A$3:$A$32,$B145,'Assumption-Worst'!$B$3:$B$32,$C145)</f>
        <v>0.05</v>
      </c>
      <c r="F145" s="14">
        <f t="shared" si="14"/>
        <v>22417736.438999999</v>
      </c>
      <c r="G145" s="93">
        <f>SUMIFS('Assumption-Worst'!$D$3:$D$32,'Assumption-Worst'!$A$3:$A$32,$B145,'Assumption-Worst'!$B$3:$B$32,$C145)</f>
        <v>6.4999999999999997E-3</v>
      </c>
      <c r="H145" s="94">
        <f t="shared" si="15"/>
        <v>145715.2868535</v>
      </c>
      <c r="I145" s="92">
        <f>SUMIFS('Assumption-Worst'!$E$3:$E$32,'Assumption-Worst'!$A$3:$A$32,$B145,'Assumption-Worst'!$B$3:$B$32,$C145)</f>
        <v>0.32</v>
      </c>
      <c r="J145" s="14">
        <f t="shared" si="16"/>
        <v>46628.891793120005</v>
      </c>
      <c r="K145" s="95">
        <f>SUMIFS('Assumption-Worst'!$F$3:$F$32,'Assumption-Worst'!$A$3:$A$32,$B145,'Assumption-Worst'!$B$3:$B$32,$C145)</f>
        <v>9.0000000000000006E-5</v>
      </c>
      <c r="L145" s="14">
        <f t="shared" si="17"/>
        <v>2017.5962795100002</v>
      </c>
      <c r="M145" s="94">
        <f t="shared" si="18"/>
        <v>97068.798780869984</v>
      </c>
      <c r="N145" s="92">
        <f>SUMIFS('Assumption-Worst'!$G$3:$G$32,'Assumption-Worst'!$A$3:$A$32,$B145,'Assumption-Worst'!$B$3:$B$32,$C145)</f>
        <v>0.45</v>
      </c>
      <c r="O145" s="14">
        <f t="shared" si="19"/>
        <v>65571.879084075001</v>
      </c>
      <c r="P145" s="94">
        <f t="shared" si="20"/>
        <v>31496.919696794983</v>
      </c>
    </row>
    <row r="146" spans="1:16" x14ac:dyDescent="0.35">
      <c r="A146" s="91" t="str">
        <f>LEFT('2025 actual v budget'!A146,4)&amp;"26"</f>
        <v>May-26</v>
      </c>
      <c r="B146" s="12" t="str">
        <f>'2025 actual v budget'!B146</f>
        <v>Singapore</v>
      </c>
      <c r="C146" s="12" t="str">
        <f>'2025 actual v budget'!C146</f>
        <v>Treasury Yield</v>
      </c>
      <c r="D146" s="14">
        <f>'2025 actual v budget'!D146</f>
        <v>5746798.3499999996</v>
      </c>
      <c r="E146" s="92">
        <f>SUMIFS('Assumption-Worst'!$C$3:$C$32,'Assumption-Worst'!$A$3:$A$32,$B146,'Assumption-Worst'!$B$3:$B$32,$C146)</f>
        <v>2.5000000000000001E-2</v>
      </c>
      <c r="F146" s="14">
        <f t="shared" si="14"/>
        <v>5890468.3087499989</v>
      </c>
      <c r="G146" s="93">
        <f>SUMIFS('Assumption-Worst'!$D$3:$D$32,'Assumption-Worst'!$A$3:$A$32,$B146,'Assumption-Worst'!$B$3:$B$32,$C146)</f>
        <v>3.0000000000000001E-3</v>
      </c>
      <c r="H146" s="94">
        <f t="shared" si="15"/>
        <v>17671.404926249998</v>
      </c>
      <c r="I146" s="92">
        <f>SUMIFS('Assumption-Worst'!$E$3:$E$32,'Assumption-Worst'!$A$3:$A$32,$B146,'Assumption-Worst'!$B$3:$B$32,$C146)</f>
        <v>0.18</v>
      </c>
      <c r="J146" s="14">
        <f t="shared" si="16"/>
        <v>3180.8528867249993</v>
      </c>
      <c r="K146" s="95">
        <f>SUMIFS('Assumption-Worst'!$F$3:$F$32,'Assumption-Worst'!$A$3:$A$32,$B146,'Assumption-Worst'!$B$3:$B$32,$C146)</f>
        <v>9.0000000000000006E-5</v>
      </c>
      <c r="L146" s="14">
        <f t="shared" si="17"/>
        <v>530.14214778749988</v>
      </c>
      <c r="M146" s="94">
        <f t="shared" si="18"/>
        <v>13960.409891737499</v>
      </c>
      <c r="N146" s="92">
        <f>SUMIFS('Assumption-Worst'!$G$3:$G$32,'Assumption-Worst'!$A$3:$A$32,$B146,'Assumption-Worst'!$B$3:$B$32,$C146)</f>
        <v>0.45</v>
      </c>
      <c r="O146" s="14">
        <f t="shared" si="19"/>
        <v>7952.1322168124989</v>
      </c>
      <c r="P146" s="94">
        <f t="shared" si="20"/>
        <v>6008.2776749250006</v>
      </c>
    </row>
    <row r="147" spans="1:16" x14ac:dyDescent="0.35">
      <c r="A147" s="91" t="str">
        <f>LEFT('2025 actual v budget'!A147,4)&amp;"26"</f>
        <v>May-26</v>
      </c>
      <c r="B147" s="12" t="str">
        <f>'2025 actual v budget'!B147</f>
        <v>Singapore</v>
      </c>
      <c r="C147" s="12" t="str">
        <f>'2025 actual v budget'!C147</f>
        <v>Virtual Accounts</v>
      </c>
      <c r="D147" s="14">
        <f>'2025 actual v budget'!D147</f>
        <v>8911440.4499999993</v>
      </c>
      <c r="E147" s="92">
        <f>SUMIFS('Assumption-Worst'!$C$3:$C$32,'Assumption-Worst'!$A$3:$A$32,$B147,'Assumption-Worst'!$B$3:$B$32,$C147)</f>
        <v>2.5000000000000001E-2</v>
      </c>
      <c r="F147" s="14">
        <f t="shared" si="14"/>
        <v>9134226.4612499978</v>
      </c>
      <c r="G147" s="93">
        <f>SUMIFS('Assumption-Worst'!$D$3:$D$32,'Assumption-Worst'!$A$3:$A$32,$B147,'Assumption-Worst'!$B$3:$B$32,$C147)</f>
        <v>4.4999999999999997E-3</v>
      </c>
      <c r="H147" s="94">
        <f t="shared" si="15"/>
        <v>41104.019075624987</v>
      </c>
      <c r="I147" s="92">
        <f>SUMIFS('Assumption-Worst'!$E$3:$E$32,'Assumption-Worst'!$A$3:$A$32,$B147,'Assumption-Worst'!$B$3:$B$32,$C147)</f>
        <v>0.22</v>
      </c>
      <c r="J147" s="14">
        <f t="shared" si="16"/>
        <v>9042.8841966374966</v>
      </c>
      <c r="K147" s="95">
        <f>SUMIFS('Assumption-Worst'!$F$3:$F$32,'Assumption-Worst'!$A$3:$A$32,$B147,'Assumption-Worst'!$B$3:$B$32,$C147)</f>
        <v>9.0000000000000006E-5</v>
      </c>
      <c r="L147" s="14">
        <f t="shared" si="17"/>
        <v>822.08038151249991</v>
      </c>
      <c r="M147" s="94">
        <f t="shared" si="18"/>
        <v>31239.05449747499</v>
      </c>
      <c r="N147" s="92">
        <f>SUMIFS('Assumption-Worst'!$G$3:$G$32,'Assumption-Worst'!$A$3:$A$32,$B147,'Assumption-Worst'!$B$3:$B$32,$C147)</f>
        <v>0.45</v>
      </c>
      <c r="O147" s="14">
        <f t="shared" si="19"/>
        <v>18496.808584031245</v>
      </c>
      <c r="P147" s="94">
        <f t="shared" si="20"/>
        <v>12742.245913443745</v>
      </c>
    </row>
    <row r="148" spans="1:16" x14ac:dyDescent="0.35">
      <c r="A148" s="91" t="str">
        <f>LEFT('2025 actual v budget'!A148,4)&amp;"26"</f>
        <v>May-26</v>
      </c>
      <c r="B148" s="12" t="str">
        <f>'2025 actual v budget'!B148</f>
        <v>USA</v>
      </c>
      <c r="C148" s="12" t="str">
        <f>'2025 actual v budget'!C148</f>
        <v>Cross-border Payouts</v>
      </c>
      <c r="D148" s="14">
        <f>'2025 actual v budget'!D148</f>
        <v>21482847.48</v>
      </c>
      <c r="E148" s="92">
        <f>SUMIFS('Assumption-Worst'!$C$3:$C$32,'Assumption-Worst'!$A$3:$A$32,$B148,'Assumption-Worst'!$B$3:$B$32,$C148)</f>
        <v>0.05</v>
      </c>
      <c r="F148" s="14">
        <f t="shared" si="14"/>
        <v>22556989.854000002</v>
      </c>
      <c r="G148" s="93">
        <f>SUMIFS('Assumption-Worst'!$D$3:$D$32,'Assumption-Worst'!$A$3:$A$32,$B148,'Assumption-Worst'!$B$3:$B$32,$C148)</f>
        <v>7.4999999999999997E-3</v>
      </c>
      <c r="H148" s="94">
        <f t="shared" si="15"/>
        <v>169177.423905</v>
      </c>
      <c r="I148" s="92">
        <f>SUMIFS('Assumption-Worst'!$E$3:$E$32,'Assumption-Worst'!$A$3:$A$32,$B148,'Assumption-Worst'!$B$3:$B$32,$C148)</f>
        <v>0.35</v>
      </c>
      <c r="J148" s="14">
        <f t="shared" si="16"/>
        <v>59212.098366749997</v>
      </c>
      <c r="K148" s="95">
        <f>SUMIFS('Assumption-Worst'!$F$3:$F$32,'Assumption-Worst'!$A$3:$A$32,$B148,'Assumption-Worst'!$B$3:$B$32,$C148)</f>
        <v>2.0000000000000001E-4</v>
      </c>
      <c r="L148" s="14">
        <f t="shared" si="17"/>
        <v>4511.3979708000006</v>
      </c>
      <c r="M148" s="94">
        <f t="shared" si="18"/>
        <v>105453.92756745001</v>
      </c>
      <c r="N148" s="92">
        <f>SUMIFS('Assumption-Worst'!$G$3:$G$32,'Assumption-Worst'!$A$3:$A$32,$B148,'Assumption-Worst'!$B$3:$B$32,$C148)</f>
        <v>0.45</v>
      </c>
      <c r="O148" s="14">
        <f t="shared" si="19"/>
        <v>76129.84075725</v>
      </c>
      <c r="P148" s="94">
        <f t="shared" si="20"/>
        <v>29324.086810200009</v>
      </c>
    </row>
    <row r="149" spans="1:16" x14ac:dyDescent="0.35">
      <c r="A149" s="91" t="str">
        <f>LEFT('2025 actual v budget'!A149,4)&amp;"26"</f>
        <v>May-26</v>
      </c>
      <c r="B149" s="12" t="str">
        <f>'2025 actual v budget'!B149</f>
        <v>USA</v>
      </c>
      <c r="C149" s="12" t="str">
        <f>'2025 actual v budget'!C149</f>
        <v>FX Conversion</v>
      </c>
      <c r="D149" s="14">
        <f>'2025 actual v budget'!D149</f>
        <v>33684160.689999998</v>
      </c>
      <c r="E149" s="92">
        <f>SUMIFS('Assumption-Worst'!$C$3:$C$32,'Assumption-Worst'!$A$3:$A$32,$B149,'Assumption-Worst'!$B$3:$B$32,$C149)</f>
        <v>0.05</v>
      </c>
      <c r="F149" s="14">
        <f t="shared" si="14"/>
        <v>35368368.7245</v>
      </c>
      <c r="G149" s="93">
        <f>SUMIFS('Assumption-Worst'!$D$3:$D$32,'Assumption-Worst'!$A$3:$A$32,$B149,'Assumption-Worst'!$B$3:$B$32,$C149)</f>
        <v>1.0500000000000001E-2</v>
      </c>
      <c r="H149" s="94">
        <f t="shared" si="15"/>
        <v>371367.87160725001</v>
      </c>
      <c r="I149" s="92">
        <f>SUMIFS('Assumption-Worst'!$E$3:$E$32,'Assumption-Worst'!$A$3:$A$32,$B149,'Assumption-Worst'!$B$3:$B$32,$C149)</f>
        <v>0.28000000000000003</v>
      </c>
      <c r="J149" s="14">
        <f t="shared" si="16"/>
        <v>103983.00405003001</v>
      </c>
      <c r="K149" s="95">
        <f>SUMIFS('Assumption-Worst'!$F$3:$F$32,'Assumption-Worst'!$A$3:$A$32,$B149,'Assumption-Worst'!$B$3:$B$32,$C149)</f>
        <v>2.0000000000000001E-4</v>
      </c>
      <c r="L149" s="14">
        <f t="shared" si="17"/>
        <v>7073.6737449000002</v>
      </c>
      <c r="M149" s="94">
        <f t="shared" si="18"/>
        <v>260311.19381231998</v>
      </c>
      <c r="N149" s="92">
        <f>SUMIFS('Assumption-Worst'!$G$3:$G$32,'Assumption-Worst'!$A$3:$A$32,$B149,'Assumption-Worst'!$B$3:$B$32,$C149)</f>
        <v>0.45</v>
      </c>
      <c r="O149" s="14">
        <f t="shared" si="19"/>
        <v>167115.54222326251</v>
      </c>
      <c r="P149" s="94">
        <f t="shared" si="20"/>
        <v>93195.651589057466</v>
      </c>
    </row>
    <row r="150" spans="1:16" x14ac:dyDescent="0.35">
      <c r="A150" s="91" t="str">
        <f>LEFT('2025 actual v budget'!A150,4)&amp;"26"</f>
        <v>May-26</v>
      </c>
      <c r="B150" s="12" t="str">
        <f>'2025 actual v budget'!B150</f>
        <v>USA</v>
      </c>
      <c r="C150" s="12" t="str">
        <f>'2025 actual v budget'!C150</f>
        <v>Stablecoin Settlement</v>
      </c>
      <c r="D150" s="14">
        <f>'2025 actual v budget'!D150</f>
        <v>52370874.539999999</v>
      </c>
      <c r="E150" s="92">
        <f>SUMIFS('Assumption-Worst'!$C$3:$C$32,'Assumption-Worst'!$A$3:$A$32,$B150,'Assumption-Worst'!$B$3:$B$32,$C150)</f>
        <v>0.1</v>
      </c>
      <c r="F150" s="14">
        <f t="shared" si="14"/>
        <v>57607961.994000003</v>
      </c>
      <c r="G150" s="93">
        <f>SUMIFS('Assumption-Worst'!$D$3:$D$32,'Assumption-Worst'!$A$3:$A$32,$B150,'Assumption-Worst'!$B$3:$B$32,$C150)</f>
        <v>6.4999999999999997E-3</v>
      </c>
      <c r="H150" s="94">
        <f t="shared" si="15"/>
        <v>374451.75296100002</v>
      </c>
      <c r="I150" s="92">
        <f>SUMIFS('Assumption-Worst'!$E$3:$E$32,'Assumption-Worst'!$A$3:$A$32,$B150,'Assumption-Worst'!$B$3:$B$32,$C150)</f>
        <v>0.32</v>
      </c>
      <c r="J150" s="14">
        <f t="shared" si="16"/>
        <v>119824.56094752</v>
      </c>
      <c r="K150" s="95">
        <f>SUMIFS('Assumption-Worst'!$F$3:$F$32,'Assumption-Worst'!$A$3:$A$32,$B150,'Assumption-Worst'!$B$3:$B$32,$C150)</f>
        <v>2.0000000000000001E-4</v>
      </c>
      <c r="L150" s="14">
        <f t="shared" si="17"/>
        <v>11521.592398800001</v>
      </c>
      <c r="M150" s="94">
        <f t="shared" si="18"/>
        <v>243105.59961467999</v>
      </c>
      <c r="N150" s="92">
        <f>SUMIFS('Assumption-Worst'!$G$3:$G$32,'Assumption-Worst'!$A$3:$A$32,$B150,'Assumption-Worst'!$B$3:$B$32,$C150)</f>
        <v>0.45</v>
      </c>
      <c r="O150" s="14">
        <f t="shared" si="19"/>
        <v>168503.28883245002</v>
      </c>
      <c r="P150" s="94">
        <f t="shared" si="20"/>
        <v>74602.310782229964</v>
      </c>
    </row>
    <row r="151" spans="1:16" x14ac:dyDescent="0.35">
      <c r="A151" s="91" t="str">
        <f>LEFT('2025 actual v budget'!A151,4)&amp;"26"</f>
        <v>May-26</v>
      </c>
      <c r="B151" s="12" t="str">
        <f>'2025 actual v budget'!B151</f>
        <v>USA</v>
      </c>
      <c r="C151" s="12" t="str">
        <f>'2025 actual v budget'!C151</f>
        <v>Treasury Yield</v>
      </c>
      <c r="D151" s="14">
        <f>'2025 actual v budget'!D151</f>
        <v>14095287.300000001</v>
      </c>
      <c r="E151" s="92">
        <f>SUMIFS('Assumption-Worst'!$C$3:$C$32,'Assumption-Worst'!$A$3:$A$32,$B151,'Assumption-Worst'!$B$3:$B$32,$C151)</f>
        <v>0.05</v>
      </c>
      <c r="F151" s="14">
        <f t="shared" si="14"/>
        <v>14800051.665000001</v>
      </c>
      <c r="G151" s="93">
        <f>SUMIFS('Assumption-Worst'!$D$3:$D$32,'Assumption-Worst'!$A$3:$A$32,$B151,'Assumption-Worst'!$B$3:$B$32,$C151)</f>
        <v>3.0000000000000001E-3</v>
      </c>
      <c r="H151" s="94">
        <f t="shared" si="15"/>
        <v>44400.154995000004</v>
      </c>
      <c r="I151" s="92">
        <f>SUMIFS('Assumption-Worst'!$E$3:$E$32,'Assumption-Worst'!$A$3:$A$32,$B151,'Assumption-Worst'!$B$3:$B$32,$C151)</f>
        <v>0.18</v>
      </c>
      <c r="J151" s="14">
        <f t="shared" si="16"/>
        <v>7992.0278991000005</v>
      </c>
      <c r="K151" s="95">
        <f>SUMIFS('Assumption-Worst'!$F$3:$F$32,'Assumption-Worst'!$A$3:$A$32,$B151,'Assumption-Worst'!$B$3:$B$32,$C151)</f>
        <v>2.0000000000000001E-4</v>
      </c>
      <c r="L151" s="14">
        <f t="shared" si="17"/>
        <v>2960.0103330000002</v>
      </c>
      <c r="M151" s="94">
        <f t="shared" si="18"/>
        <v>33448.116762900005</v>
      </c>
      <c r="N151" s="92">
        <f>SUMIFS('Assumption-Worst'!$G$3:$G$32,'Assumption-Worst'!$A$3:$A$32,$B151,'Assumption-Worst'!$B$3:$B$32,$C151)</f>
        <v>0.45</v>
      </c>
      <c r="O151" s="14">
        <f t="shared" si="19"/>
        <v>19980.069747750003</v>
      </c>
      <c r="P151" s="94">
        <f t="shared" si="20"/>
        <v>13468.047015150001</v>
      </c>
    </row>
    <row r="152" spans="1:16" x14ac:dyDescent="0.35">
      <c r="A152" s="91" t="str">
        <f>LEFT('2025 actual v budget'!A152,4)&amp;"26"</f>
        <v>May-26</v>
      </c>
      <c r="B152" s="12" t="str">
        <f>'2025 actual v budget'!B152</f>
        <v>USA</v>
      </c>
      <c r="C152" s="12" t="str">
        <f>'2025 actual v budget'!C152</f>
        <v>Virtual Accounts</v>
      </c>
      <c r="D152" s="14">
        <f>'2025 actual v budget'!D152</f>
        <v>21857268.32</v>
      </c>
      <c r="E152" s="92">
        <f>SUMIFS('Assumption-Worst'!$C$3:$C$32,'Assumption-Worst'!$A$3:$A$32,$B152,'Assumption-Worst'!$B$3:$B$32,$C152)</f>
        <v>0.05</v>
      </c>
      <c r="F152" s="14">
        <f t="shared" si="14"/>
        <v>22950131.736000001</v>
      </c>
      <c r="G152" s="93">
        <f>SUMIFS('Assumption-Worst'!$D$3:$D$32,'Assumption-Worst'!$A$3:$A$32,$B152,'Assumption-Worst'!$B$3:$B$32,$C152)</f>
        <v>4.4999999999999997E-3</v>
      </c>
      <c r="H152" s="94">
        <f t="shared" si="15"/>
        <v>103275.592812</v>
      </c>
      <c r="I152" s="92">
        <f>SUMIFS('Assumption-Worst'!$E$3:$E$32,'Assumption-Worst'!$A$3:$A$32,$B152,'Assumption-Worst'!$B$3:$B$32,$C152)</f>
        <v>0.22</v>
      </c>
      <c r="J152" s="14">
        <f t="shared" si="16"/>
        <v>22720.630418640001</v>
      </c>
      <c r="K152" s="95">
        <f>SUMIFS('Assumption-Worst'!$F$3:$F$32,'Assumption-Worst'!$A$3:$A$32,$B152,'Assumption-Worst'!$B$3:$B$32,$C152)</f>
        <v>2.0000000000000001E-4</v>
      </c>
      <c r="L152" s="14">
        <f t="shared" si="17"/>
        <v>4590.0263472000006</v>
      </c>
      <c r="M152" s="94">
        <f t="shared" si="18"/>
        <v>75964.936046160001</v>
      </c>
      <c r="N152" s="92">
        <f>SUMIFS('Assumption-Worst'!$G$3:$G$32,'Assumption-Worst'!$A$3:$A$32,$B152,'Assumption-Worst'!$B$3:$B$32,$C152)</f>
        <v>0.45</v>
      </c>
      <c r="O152" s="14">
        <f t="shared" si="19"/>
        <v>46474.016765400003</v>
      </c>
      <c r="P152" s="94">
        <f t="shared" si="20"/>
        <v>29490.919280759997</v>
      </c>
    </row>
    <row r="153" spans="1:16" x14ac:dyDescent="0.35">
      <c r="A153" s="96" t="str">
        <f>LEFT('2025 actual v budget'!A153,4)&amp;"26"</f>
        <v>Jun-26</v>
      </c>
      <c r="B153" s="17" t="str">
        <f>'2025 actual v budget'!B153</f>
        <v>Brazil</v>
      </c>
      <c r="C153" s="17" t="str">
        <f>'2025 actual v budget'!C153</f>
        <v>Cross-border Payouts</v>
      </c>
      <c r="D153" s="19">
        <f>'2025 actual v budget'!D153</f>
        <v>14347829.960000001</v>
      </c>
      <c r="E153" s="97">
        <f>SUMIFS('Assumption-Worst'!$C$3:$C$32,'Assumption-Worst'!$A$3:$A$32,$B153,'Assumption-Worst'!$B$3:$B$32,$C153)</f>
        <v>0.1</v>
      </c>
      <c r="F153" s="19">
        <f t="shared" si="14"/>
        <v>15782612.956000002</v>
      </c>
      <c r="G153" s="98">
        <f>SUMIFS('Assumption-Worst'!$D$3:$D$32,'Assumption-Worst'!$A$3:$A$32,$B153,'Assumption-Worst'!$B$3:$B$32,$C153)</f>
        <v>7.4999999999999997E-3</v>
      </c>
      <c r="H153" s="99">
        <f t="shared" si="15"/>
        <v>118369.59717000001</v>
      </c>
      <c r="I153" s="97">
        <f>SUMIFS('Assumption-Worst'!$E$3:$E$32,'Assumption-Worst'!$A$3:$A$32,$B153,'Assumption-Worst'!$B$3:$B$32,$C153)</f>
        <v>0.35</v>
      </c>
      <c r="J153" s="19">
        <f t="shared" si="16"/>
        <v>41429.359009500004</v>
      </c>
      <c r="K153" s="100">
        <f>SUMIFS('Assumption-Worst'!$F$3:$F$32,'Assumption-Worst'!$A$3:$A$32,$B153,'Assumption-Worst'!$B$3:$B$32,$C153)</f>
        <v>6.9999999999999994E-5</v>
      </c>
      <c r="L153" s="19">
        <f t="shared" si="17"/>
        <v>1104.78290692</v>
      </c>
      <c r="M153" s="99">
        <f t="shared" si="18"/>
        <v>75835.455253580018</v>
      </c>
      <c r="N153" s="97">
        <f>SUMIFS('Assumption-Worst'!$G$3:$G$32,'Assumption-Worst'!$A$3:$A$32,$B153,'Assumption-Worst'!$B$3:$B$32,$C153)</f>
        <v>0.45</v>
      </c>
      <c r="O153" s="19">
        <f t="shared" si="19"/>
        <v>53266.318726500002</v>
      </c>
      <c r="P153" s="99">
        <f t="shared" si="20"/>
        <v>22569.136527080016</v>
      </c>
    </row>
    <row r="154" spans="1:16" x14ac:dyDescent="0.35">
      <c r="A154" s="96" t="str">
        <f>LEFT('2025 actual v budget'!A154,4)&amp;"26"</f>
        <v>Jun-26</v>
      </c>
      <c r="B154" s="17" t="str">
        <f>'2025 actual v budget'!B154</f>
        <v>Brazil</v>
      </c>
      <c r="C154" s="17" t="str">
        <f>'2025 actual v budget'!C154</f>
        <v>FX Conversion</v>
      </c>
      <c r="D154" s="19">
        <f>'2025 actual v budget'!D154</f>
        <v>22144512.949999999</v>
      </c>
      <c r="E154" s="97">
        <f>SUMIFS('Assumption-Worst'!$C$3:$C$32,'Assumption-Worst'!$A$3:$A$32,$B154,'Assumption-Worst'!$B$3:$B$32,$C154)</f>
        <v>0.1</v>
      </c>
      <c r="F154" s="19">
        <f t="shared" si="14"/>
        <v>24358964.245000001</v>
      </c>
      <c r="G154" s="98">
        <f>SUMIFS('Assumption-Worst'!$D$3:$D$32,'Assumption-Worst'!$A$3:$A$32,$B154,'Assumption-Worst'!$B$3:$B$32,$C154)</f>
        <v>1.0500000000000001E-2</v>
      </c>
      <c r="H154" s="99">
        <f t="shared" si="15"/>
        <v>255769.12457250003</v>
      </c>
      <c r="I154" s="97">
        <f>SUMIFS('Assumption-Worst'!$E$3:$E$32,'Assumption-Worst'!$A$3:$A$32,$B154,'Assumption-Worst'!$B$3:$B$32,$C154)</f>
        <v>0.28000000000000003</v>
      </c>
      <c r="J154" s="19">
        <f t="shared" si="16"/>
        <v>71615.354880300016</v>
      </c>
      <c r="K154" s="100">
        <f>SUMIFS('Assumption-Worst'!$F$3:$F$32,'Assumption-Worst'!$A$3:$A$32,$B154,'Assumption-Worst'!$B$3:$B$32,$C154)</f>
        <v>6.9999999999999994E-5</v>
      </c>
      <c r="L154" s="19">
        <f t="shared" si="17"/>
        <v>1705.12749715</v>
      </c>
      <c r="M154" s="99">
        <f t="shared" si="18"/>
        <v>182448.64219504999</v>
      </c>
      <c r="N154" s="97">
        <f>SUMIFS('Assumption-Worst'!$G$3:$G$32,'Assumption-Worst'!$A$3:$A$32,$B154,'Assumption-Worst'!$B$3:$B$32,$C154)</f>
        <v>0.45</v>
      </c>
      <c r="O154" s="19">
        <f t="shared" si="19"/>
        <v>115096.10605762502</v>
      </c>
      <c r="P154" s="99">
        <f t="shared" si="20"/>
        <v>67352.536137424977</v>
      </c>
    </row>
    <row r="155" spans="1:16" x14ac:dyDescent="0.35">
      <c r="A155" s="96" t="str">
        <f>LEFT('2025 actual v budget'!A155,4)&amp;"26"</f>
        <v>Jun-26</v>
      </c>
      <c r="B155" s="17" t="str">
        <f>'2025 actual v budget'!B155</f>
        <v>Brazil</v>
      </c>
      <c r="C155" s="17" t="str">
        <f>'2025 actual v budget'!C155</f>
        <v>Stablecoin Settlement</v>
      </c>
      <c r="D155" s="19">
        <f>'2025 actual v budget'!D155</f>
        <v>35052748.579999998</v>
      </c>
      <c r="E155" s="97">
        <f>SUMIFS('Assumption-Worst'!$C$3:$C$32,'Assumption-Worst'!$A$3:$A$32,$B155,'Assumption-Worst'!$B$3:$B$32,$C155)</f>
        <v>0.2</v>
      </c>
      <c r="F155" s="19">
        <f t="shared" si="14"/>
        <v>42063298.295999996</v>
      </c>
      <c r="G155" s="98">
        <f>SUMIFS('Assumption-Worst'!$D$3:$D$32,'Assumption-Worst'!$A$3:$A$32,$B155,'Assumption-Worst'!$B$3:$B$32,$C155)</f>
        <v>6.4999999999999997E-3</v>
      </c>
      <c r="H155" s="99">
        <f t="shared" si="15"/>
        <v>273411.43892399996</v>
      </c>
      <c r="I155" s="97">
        <f>SUMIFS('Assumption-Worst'!$E$3:$E$32,'Assumption-Worst'!$A$3:$A$32,$B155,'Assumption-Worst'!$B$3:$B$32,$C155)</f>
        <v>0.32</v>
      </c>
      <c r="J155" s="19">
        <f t="shared" si="16"/>
        <v>87491.660455679987</v>
      </c>
      <c r="K155" s="100">
        <f>SUMIFS('Assumption-Worst'!$F$3:$F$32,'Assumption-Worst'!$A$3:$A$32,$B155,'Assumption-Worst'!$B$3:$B$32,$C155)</f>
        <v>6.9999999999999994E-5</v>
      </c>
      <c r="L155" s="19">
        <f t="shared" si="17"/>
        <v>2944.4308807199995</v>
      </c>
      <c r="M155" s="99">
        <f t="shared" si="18"/>
        <v>182975.34758759997</v>
      </c>
      <c r="N155" s="97">
        <f>SUMIFS('Assumption-Worst'!$G$3:$G$32,'Assumption-Worst'!$A$3:$A$32,$B155,'Assumption-Worst'!$B$3:$B$32,$C155)</f>
        <v>0.45</v>
      </c>
      <c r="O155" s="19">
        <f t="shared" si="19"/>
        <v>123035.14751579998</v>
      </c>
      <c r="P155" s="99">
        <f t="shared" si="20"/>
        <v>59940.200071799991</v>
      </c>
    </row>
    <row r="156" spans="1:16" x14ac:dyDescent="0.35">
      <c r="A156" s="96" t="str">
        <f>LEFT('2025 actual v budget'!A156,4)&amp;"26"</f>
        <v>Jun-26</v>
      </c>
      <c r="B156" s="17" t="str">
        <f>'2025 actual v budget'!B156</f>
        <v>Brazil</v>
      </c>
      <c r="C156" s="17" t="str">
        <f>'2025 actual v budget'!C156</f>
        <v>Treasury Yield</v>
      </c>
      <c r="D156" s="19">
        <f>'2025 actual v budget'!D156</f>
        <v>9395658.7799999993</v>
      </c>
      <c r="E156" s="97">
        <f>SUMIFS('Assumption-Worst'!$C$3:$C$32,'Assumption-Worst'!$A$3:$A$32,$B156,'Assumption-Worst'!$B$3:$B$32,$C156)</f>
        <v>0.1</v>
      </c>
      <c r="F156" s="19">
        <f t="shared" si="14"/>
        <v>10335224.658</v>
      </c>
      <c r="G156" s="98">
        <f>SUMIFS('Assumption-Worst'!$D$3:$D$32,'Assumption-Worst'!$A$3:$A$32,$B156,'Assumption-Worst'!$B$3:$B$32,$C156)</f>
        <v>3.0000000000000001E-3</v>
      </c>
      <c r="H156" s="99">
        <f t="shared" si="15"/>
        <v>31005.673974000001</v>
      </c>
      <c r="I156" s="97">
        <f>SUMIFS('Assumption-Worst'!$E$3:$E$32,'Assumption-Worst'!$A$3:$A$32,$B156,'Assumption-Worst'!$B$3:$B$32,$C156)</f>
        <v>0.18</v>
      </c>
      <c r="J156" s="19">
        <f t="shared" si="16"/>
        <v>5581.0213153200002</v>
      </c>
      <c r="K156" s="100">
        <f>SUMIFS('Assumption-Worst'!$F$3:$F$32,'Assumption-Worst'!$A$3:$A$32,$B156,'Assumption-Worst'!$B$3:$B$32,$C156)</f>
        <v>6.9999999999999994E-5</v>
      </c>
      <c r="L156" s="19">
        <f t="shared" si="17"/>
        <v>723.46572605999995</v>
      </c>
      <c r="M156" s="99">
        <f t="shared" si="18"/>
        <v>24701.186932620003</v>
      </c>
      <c r="N156" s="97">
        <f>SUMIFS('Assumption-Worst'!$G$3:$G$32,'Assumption-Worst'!$A$3:$A$32,$B156,'Assumption-Worst'!$B$3:$B$32,$C156)</f>
        <v>0.45</v>
      </c>
      <c r="O156" s="19">
        <f t="shared" si="19"/>
        <v>13952.553288300001</v>
      </c>
      <c r="P156" s="99">
        <f t="shared" si="20"/>
        <v>10748.633644320002</v>
      </c>
    </row>
    <row r="157" spans="1:16" x14ac:dyDescent="0.35">
      <c r="A157" s="96" t="str">
        <f>LEFT('2025 actual v budget'!A157,4)&amp;"26"</f>
        <v>Jun-26</v>
      </c>
      <c r="B157" s="17" t="str">
        <f>'2025 actual v budget'!B157</f>
        <v>Brazil</v>
      </c>
      <c r="C157" s="17" t="str">
        <f>'2025 actual v budget'!C157</f>
        <v>Virtual Accounts</v>
      </c>
      <c r="D157" s="19">
        <f>'2025 actual v budget'!D157</f>
        <v>14286491.699999999</v>
      </c>
      <c r="E157" s="97">
        <f>SUMIFS('Assumption-Worst'!$C$3:$C$32,'Assumption-Worst'!$A$3:$A$32,$B157,'Assumption-Worst'!$B$3:$B$32,$C157)</f>
        <v>0.1</v>
      </c>
      <c r="F157" s="19">
        <f t="shared" si="14"/>
        <v>15715140.870000001</v>
      </c>
      <c r="G157" s="98">
        <f>SUMIFS('Assumption-Worst'!$D$3:$D$32,'Assumption-Worst'!$A$3:$A$32,$B157,'Assumption-Worst'!$B$3:$B$32,$C157)</f>
        <v>4.4999999999999997E-3</v>
      </c>
      <c r="H157" s="99">
        <f t="shared" si="15"/>
        <v>70718.133914999999</v>
      </c>
      <c r="I157" s="97">
        <f>SUMIFS('Assumption-Worst'!$E$3:$E$32,'Assumption-Worst'!$A$3:$A$32,$B157,'Assumption-Worst'!$B$3:$B$32,$C157)</f>
        <v>0.22</v>
      </c>
      <c r="J157" s="19">
        <f t="shared" si="16"/>
        <v>15557.9894613</v>
      </c>
      <c r="K157" s="100">
        <f>SUMIFS('Assumption-Worst'!$F$3:$F$32,'Assumption-Worst'!$A$3:$A$32,$B157,'Assumption-Worst'!$B$3:$B$32,$C157)</f>
        <v>6.9999999999999994E-5</v>
      </c>
      <c r="L157" s="19">
        <f t="shared" si="17"/>
        <v>1100.0598608999999</v>
      </c>
      <c r="M157" s="99">
        <f t="shared" si="18"/>
        <v>54060.084592799998</v>
      </c>
      <c r="N157" s="97">
        <f>SUMIFS('Assumption-Worst'!$G$3:$G$32,'Assumption-Worst'!$A$3:$A$32,$B157,'Assumption-Worst'!$B$3:$B$32,$C157)</f>
        <v>0.45</v>
      </c>
      <c r="O157" s="19">
        <f t="shared" si="19"/>
        <v>31823.160261749999</v>
      </c>
      <c r="P157" s="99">
        <f t="shared" si="20"/>
        <v>22236.924331049999</v>
      </c>
    </row>
    <row r="158" spans="1:16" x14ac:dyDescent="0.35">
      <c r="A158" s="96" t="str">
        <f>LEFT('2025 actual v budget'!A158,4)&amp;"26"</f>
        <v>Jun-26</v>
      </c>
      <c r="B158" s="17" t="str">
        <f>'2025 actual v budget'!B158</f>
        <v>Germany</v>
      </c>
      <c r="C158" s="17" t="str">
        <f>'2025 actual v budget'!C158</f>
        <v>Cross-border Payouts</v>
      </c>
      <c r="D158" s="19">
        <f>'2025 actual v budget'!D158</f>
        <v>7084434.5300000003</v>
      </c>
      <c r="E158" s="97">
        <f>SUMIFS('Assumption-Worst'!$C$3:$C$32,'Assumption-Worst'!$A$3:$A$32,$B158,'Assumption-Worst'!$B$3:$B$32,$C158)</f>
        <v>0.03</v>
      </c>
      <c r="F158" s="19">
        <f t="shared" si="14"/>
        <v>7296967.5659000007</v>
      </c>
      <c r="G158" s="98">
        <f>SUMIFS('Assumption-Worst'!$D$3:$D$32,'Assumption-Worst'!$A$3:$A$32,$B158,'Assumption-Worst'!$B$3:$B$32,$C158)</f>
        <v>7.4999999999999997E-3</v>
      </c>
      <c r="H158" s="99">
        <f t="shared" si="15"/>
        <v>54727.25674425</v>
      </c>
      <c r="I158" s="97">
        <f>SUMIFS('Assumption-Worst'!$E$3:$E$32,'Assumption-Worst'!$A$3:$A$32,$B158,'Assumption-Worst'!$B$3:$B$32,$C158)</f>
        <v>0.35</v>
      </c>
      <c r="J158" s="19">
        <f t="shared" si="16"/>
        <v>19154.539860487497</v>
      </c>
      <c r="K158" s="100">
        <f>SUMIFS('Assumption-Worst'!$F$3:$F$32,'Assumption-Worst'!$A$3:$A$32,$B158,'Assumption-Worst'!$B$3:$B$32,$C158)</f>
        <v>1.4999999999999999E-4</v>
      </c>
      <c r="L158" s="19">
        <f t="shared" si="17"/>
        <v>1094.5451348849999</v>
      </c>
      <c r="M158" s="99">
        <f t="shared" si="18"/>
        <v>34478.17174887751</v>
      </c>
      <c r="N158" s="97">
        <f>SUMIFS('Assumption-Worst'!$G$3:$G$32,'Assumption-Worst'!$A$3:$A$32,$B158,'Assumption-Worst'!$B$3:$B$32,$C158)</f>
        <v>0.45</v>
      </c>
      <c r="O158" s="19">
        <f t="shared" si="19"/>
        <v>24627.265534912502</v>
      </c>
      <c r="P158" s="99">
        <f t="shared" si="20"/>
        <v>9850.9062139650086</v>
      </c>
    </row>
    <row r="159" spans="1:16" x14ac:dyDescent="0.35">
      <c r="A159" s="96" t="str">
        <f>LEFT('2025 actual v budget'!A159,4)&amp;"26"</f>
        <v>Jun-26</v>
      </c>
      <c r="B159" s="17" t="str">
        <f>'2025 actual v budget'!B159</f>
        <v>Germany</v>
      </c>
      <c r="C159" s="17" t="str">
        <f>'2025 actual v budget'!C159</f>
        <v>FX Conversion</v>
      </c>
      <c r="D159" s="19">
        <f>'2025 actual v budget'!D159</f>
        <v>10929217.27</v>
      </c>
      <c r="E159" s="97">
        <f>SUMIFS('Assumption-Worst'!$C$3:$C$32,'Assumption-Worst'!$A$3:$A$32,$B159,'Assumption-Worst'!$B$3:$B$32,$C159)</f>
        <v>0.03</v>
      </c>
      <c r="F159" s="19">
        <f t="shared" si="14"/>
        <v>11257093.7881</v>
      </c>
      <c r="G159" s="98">
        <f>SUMIFS('Assumption-Worst'!$D$3:$D$32,'Assumption-Worst'!$A$3:$A$32,$B159,'Assumption-Worst'!$B$3:$B$32,$C159)</f>
        <v>1.0500000000000001E-2</v>
      </c>
      <c r="H159" s="99">
        <f t="shared" si="15"/>
        <v>118199.48477505002</v>
      </c>
      <c r="I159" s="97">
        <f>SUMIFS('Assumption-Worst'!$E$3:$E$32,'Assumption-Worst'!$A$3:$A$32,$B159,'Assumption-Worst'!$B$3:$B$32,$C159)</f>
        <v>0.28000000000000003</v>
      </c>
      <c r="J159" s="19">
        <f t="shared" si="16"/>
        <v>33095.855737014012</v>
      </c>
      <c r="K159" s="100">
        <f>SUMIFS('Assumption-Worst'!$F$3:$F$32,'Assumption-Worst'!$A$3:$A$32,$B159,'Assumption-Worst'!$B$3:$B$32,$C159)</f>
        <v>1.4999999999999999E-4</v>
      </c>
      <c r="L159" s="19">
        <f t="shared" si="17"/>
        <v>1688.5640682149999</v>
      </c>
      <c r="M159" s="99">
        <f t="shared" si="18"/>
        <v>83415.064969821018</v>
      </c>
      <c r="N159" s="97">
        <f>SUMIFS('Assumption-Worst'!$G$3:$G$32,'Assumption-Worst'!$A$3:$A$32,$B159,'Assumption-Worst'!$B$3:$B$32,$C159)</f>
        <v>0.45</v>
      </c>
      <c r="O159" s="19">
        <f t="shared" si="19"/>
        <v>53189.768148772513</v>
      </c>
      <c r="P159" s="99">
        <f t="shared" si="20"/>
        <v>30225.296821048505</v>
      </c>
    </row>
    <row r="160" spans="1:16" x14ac:dyDescent="0.35">
      <c r="A160" s="96" t="str">
        <f>LEFT('2025 actual v budget'!A160,4)&amp;"26"</f>
        <v>Jun-26</v>
      </c>
      <c r="B160" s="17" t="str">
        <f>'2025 actual v budget'!B160</f>
        <v>Germany</v>
      </c>
      <c r="C160" s="17" t="str">
        <f>'2025 actual v budget'!C160</f>
        <v>Stablecoin Settlement</v>
      </c>
      <c r="D160" s="19">
        <f>'2025 actual v budget'!D160</f>
        <v>17307767.309999999</v>
      </c>
      <c r="E160" s="97">
        <f>SUMIFS('Assumption-Worst'!$C$3:$C$32,'Assumption-Worst'!$A$3:$A$32,$B160,'Assumption-Worst'!$B$3:$B$32,$C160)</f>
        <v>0.06</v>
      </c>
      <c r="F160" s="19">
        <f t="shared" si="14"/>
        <v>18346233.3486</v>
      </c>
      <c r="G160" s="98">
        <f>SUMIFS('Assumption-Worst'!$D$3:$D$32,'Assumption-Worst'!$A$3:$A$32,$B160,'Assumption-Worst'!$B$3:$B$32,$C160)</f>
        <v>6.4999999999999997E-3</v>
      </c>
      <c r="H160" s="99">
        <f t="shared" si="15"/>
        <v>119250.5167659</v>
      </c>
      <c r="I160" s="97">
        <f>SUMIFS('Assumption-Worst'!$E$3:$E$32,'Assumption-Worst'!$A$3:$A$32,$B160,'Assumption-Worst'!$B$3:$B$32,$C160)</f>
        <v>0.32</v>
      </c>
      <c r="J160" s="19">
        <f t="shared" si="16"/>
        <v>38160.165365088003</v>
      </c>
      <c r="K160" s="100">
        <f>SUMIFS('Assumption-Worst'!$F$3:$F$32,'Assumption-Worst'!$A$3:$A$32,$B160,'Assumption-Worst'!$B$3:$B$32,$C160)</f>
        <v>1.4999999999999999E-4</v>
      </c>
      <c r="L160" s="19">
        <f t="shared" si="17"/>
        <v>2751.9350022899998</v>
      </c>
      <c r="M160" s="99">
        <f t="shared" si="18"/>
        <v>78338.416398521993</v>
      </c>
      <c r="N160" s="97">
        <f>SUMIFS('Assumption-Worst'!$G$3:$G$32,'Assumption-Worst'!$A$3:$A$32,$B160,'Assumption-Worst'!$B$3:$B$32,$C160)</f>
        <v>0.45</v>
      </c>
      <c r="O160" s="19">
        <f t="shared" si="19"/>
        <v>53662.732544655002</v>
      </c>
      <c r="P160" s="99">
        <f t="shared" si="20"/>
        <v>24675.683853866991</v>
      </c>
    </row>
    <row r="161" spans="1:16" x14ac:dyDescent="0.35">
      <c r="A161" s="96" t="str">
        <f>LEFT('2025 actual v budget'!A161,4)&amp;"26"</f>
        <v>Jun-26</v>
      </c>
      <c r="B161" s="17" t="str">
        <f>'2025 actual v budget'!B161</f>
        <v>Germany</v>
      </c>
      <c r="C161" s="17" t="str">
        <f>'2025 actual v budget'!C161</f>
        <v>Treasury Yield</v>
      </c>
      <c r="D161" s="19">
        <f>'2025 actual v budget'!D161</f>
        <v>4637139.5199999996</v>
      </c>
      <c r="E161" s="97">
        <f>SUMIFS('Assumption-Worst'!$C$3:$C$32,'Assumption-Worst'!$A$3:$A$32,$B161,'Assumption-Worst'!$B$3:$B$32,$C161)</f>
        <v>0.03</v>
      </c>
      <c r="F161" s="19">
        <f t="shared" si="14"/>
        <v>4776253.7056</v>
      </c>
      <c r="G161" s="98">
        <f>SUMIFS('Assumption-Worst'!$D$3:$D$32,'Assumption-Worst'!$A$3:$A$32,$B161,'Assumption-Worst'!$B$3:$B$32,$C161)</f>
        <v>3.0000000000000001E-3</v>
      </c>
      <c r="H161" s="99">
        <f t="shared" si="15"/>
        <v>14328.7611168</v>
      </c>
      <c r="I161" s="97">
        <f>SUMIFS('Assumption-Worst'!$E$3:$E$32,'Assumption-Worst'!$A$3:$A$32,$B161,'Assumption-Worst'!$B$3:$B$32,$C161)</f>
        <v>0.18</v>
      </c>
      <c r="J161" s="19">
        <f t="shared" si="16"/>
        <v>2579.1770010239998</v>
      </c>
      <c r="K161" s="100">
        <f>SUMIFS('Assumption-Worst'!$F$3:$F$32,'Assumption-Worst'!$A$3:$A$32,$B161,'Assumption-Worst'!$B$3:$B$32,$C161)</f>
        <v>1.4999999999999999E-4</v>
      </c>
      <c r="L161" s="19">
        <f t="shared" si="17"/>
        <v>716.43805583999995</v>
      </c>
      <c r="M161" s="99">
        <f t="shared" si="18"/>
        <v>11033.146059936</v>
      </c>
      <c r="N161" s="97">
        <f>SUMIFS('Assumption-Worst'!$G$3:$G$32,'Assumption-Worst'!$A$3:$A$32,$B161,'Assumption-Worst'!$B$3:$B$32,$C161)</f>
        <v>0.45</v>
      </c>
      <c r="O161" s="19">
        <f t="shared" si="19"/>
        <v>6447.9425025600003</v>
      </c>
      <c r="P161" s="99">
        <f t="shared" si="20"/>
        <v>4585.2035573759995</v>
      </c>
    </row>
    <row r="162" spans="1:16" x14ac:dyDescent="0.35">
      <c r="A162" s="96" t="str">
        <f>LEFT('2025 actual v budget'!A162,4)&amp;"26"</f>
        <v>Jun-26</v>
      </c>
      <c r="B162" s="17" t="str">
        <f>'2025 actual v budget'!B162</f>
        <v>Germany</v>
      </c>
      <c r="C162" s="17" t="str">
        <f>'2025 actual v budget'!C162</f>
        <v>Virtual Accounts</v>
      </c>
      <c r="D162" s="19">
        <f>'2025 actual v budget'!D162</f>
        <v>7050964.3700000001</v>
      </c>
      <c r="E162" s="97">
        <f>SUMIFS('Assumption-Worst'!$C$3:$C$32,'Assumption-Worst'!$A$3:$A$32,$B162,'Assumption-Worst'!$B$3:$B$32,$C162)</f>
        <v>0.03</v>
      </c>
      <c r="F162" s="19">
        <f t="shared" si="14"/>
        <v>7262493.3011000007</v>
      </c>
      <c r="G162" s="98">
        <f>SUMIFS('Assumption-Worst'!$D$3:$D$32,'Assumption-Worst'!$A$3:$A$32,$B162,'Assumption-Worst'!$B$3:$B$32,$C162)</f>
        <v>4.4999999999999997E-3</v>
      </c>
      <c r="H162" s="99">
        <f t="shared" si="15"/>
        <v>32681.219854950003</v>
      </c>
      <c r="I162" s="97">
        <f>SUMIFS('Assumption-Worst'!$E$3:$E$32,'Assumption-Worst'!$A$3:$A$32,$B162,'Assumption-Worst'!$B$3:$B$32,$C162)</f>
        <v>0.22</v>
      </c>
      <c r="J162" s="19">
        <f t="shared" si="16"/>
        <v>7189.8683680890008</v>
      </c>
      <c r="K162" s="100">
        <f>SUMIFS('Assumption-Worst'!$F$3:$F$32,'Assumption-Worst'!$A$3:$A$32,$B162,'Assumption-Worst'!$B$3:$B$32,$C162)</f>
        <v>1.4999999999999999E-4</v>
      </c>
      <c r="L162" s="19">
        <f t="shared" si="17"/>
        <v>1089.373995165</v>
      </c>
      <c r="M162" s="99">
        <f t="shared" si="18"/>
        <v>24401.977491696001</v>
      </c>
      <c r="N162" s="97">
        <f>SUMIFS('Assumption-Worst'!$G$3:$G$32,'Assumption-Worst'!$A$3:$A$32,$B162,'Assumption-Worst'!$B$3:$B$32,$C162)</f>
        <v>0.45</v>
      </c>
      <c r="O162" s="19">
        <f t="shared" si="19"/>
        <v>14706.548934727502</v>
      </c>
      <c r="P162" s="99">
        <f t="shared" si="20"/>
        <v>9695.4285569684998</v>
      </c>
    </row>
    <row r="163" spans="1:16" x14ac:dyDescent="0.35">
      <c r="A163" s="96" t="str">
        <f>LEFT('2025 actual v budget'!A163,4)&amp;"26"</f>
        <v>Jun-26</v>
      </c>
      <c r="B163" s="17" t="str">
        <f>'2025 actual v budget'!B163</f>
        <v>India</v>
      </c>
      <c r="C163" s="17" t="str">
        <f>'2025 actual v budget'!C163</f>
        <v>Cross-border Payouts</v>
      </c>
      <c r="D163" s="19">
        <f>'2025 actual v budget'!D163</f>
        <v>9664846.8599999994</v>
      </c>
      <c r="E163" s="97">
        <f>SUMIFS('Assumption-Worst'!$C$3:$C$32,'Assumption-Worst'!$A$3:$A$32,$B163,'Assumption-Worst'!$B$3:$B$32,$C163)</f>
        <v>0.06</v>
      </c>
      <c r="F163" s="19">
        <f t="shared" si="14"/>
        <v>10244737.671599999</v>
      </c>
      <c r="G163" s="98">
        <f>SUMIFS('Assumption-Worst'!$D$3:$D$32,'Assumption-Worst'!$A$3:$A$32,$B163,'Assumption-Worst'!$B$3:$B$32,$C163)</f>
        <v>7.4999999999999997E-3</v>
      </c>
      <c r="H163" s="99">
        <f t="shared" si="15"/>
        <v>76835.532536999992</v>
      </c>
      <c r="I163" s="97">
        <f>SUMIFS('Assumption-Worst'!$E$3:$E$32,'Assumption-Worst'!$A$3:$A$32,$B163,'Assumption-Worst'!$B$3:$B$32,$C163)</f>
        <v>0.35</v>
      </c>
      <c r="J163" s="19">
        <f t="shared" si="16"/>
        <v>26892.436387949994</v>
      </c>
      <c r="K163" s="100">
        <f>SUMIFS('Assumption-Worst'!$F$3:$F$32,'Assumption-Worst'!$A$3:$A$32,$B163,'Assumption-Worst'!$B$3:$B$32,$C163)</f>
        <v>1.8000000000000001E-4</v>
      </c>
      <c r="L163" s="19">
        <f t="shared" si="17"/>
        <v>1844.0527808879999</v>
      </c>
      <c r="M163" s="99">
        <f t="shared" si="18"/>
        <v>48099.043368161998</v>
      </c>
      <c r="N163" s="97">
        <f>SUMIFS('Assumption-Worst'!$G$3:$G$32,'Assumption-Worst'!$A$3:$A$32,$B163,'Assumption-Worst'!$B$3:$B$32,$C163)</f>
        <v>0.45</v>
      </c>
      <c r="O163" s="19">
        <f t="shared" si="19"/>
        <v>34575.989641649998</v>
      </c>
      <c r="P163" s="99">
        <f t="shared" si="20"/>
        <v>13523.053726512</v>
      </c>
    </row>
    <row r="164" spans="1:16" x14ac:dyDescent="0.35">
      <c r="A164" s="96" t="str">
        <f>LEFT('2025 actual v budget'!A164,4)&amp;"26"</f>
        <v>Jun-26</v>
      </c>
      <c r="B164" s="17" t="str">
        <f>'2025 actual v budget'!B164</f>
        <v>India</v>
      </c>
      <c r="C164" s="17" t="str">
        <f>'2025 actual v budget'!C164</f>
        <v>FX Conversion</v>
      </c>
      <c r="D164" s="19">
        <f>'2025 actual v budget'!D164</f>
        <v>14920046.220000001</v>
      </c>
      <c r="E164" s="97">
        <f>SUMIFS('Assumption-Worst'!$C$3:$C$32,'Assumption-Worst'!$A$3:$A$32,$B164,'Assumption-Worst'!$B$3:$B$32,$C164)</f>
        <v>0.06</v>
      </c>
      <c r="F164" s="19">
        <f t="shared" si="14"/>
        <v>15815248.993200002</v>
      </c>
      <c r="G164" s="98">
        <f>SUMIFS('Assumption-Worst'!$D$3:$D$32,'Assumption-Worst'!$A$3:$A$32,$B164,'Assumption-Worst'!$B$3:$B$32,$C164)</f>
        <v>1.0500000000000001E-2</v>
      </c>
      <c r="H164" s="99">
        <f t="shared" si="15"/>
        <v>166060.11442860003</v>
      </c>
      <c r="I164" s="97">
        <f>SUMIFS('Assumption-Worst'!$E$3:$E$32,'Assumption-Worst'!$A$3:$A$32,$B164,'Assumption-Worst'!$B$3:$B$32,$C164)</f>
        <v>0.28000000000000003</v>
      </c>
      <c r="J164" s="19">
        <f t="shared" si="16"/>
        <v>46496.832040008012</v>
      </c>
      <c r="K164" s="100">
        <f>SUMIFS('Assumption-Worst'!$F$3:$F$32,'Assumption-Worst'!$A$3:$A$32,$B164,'Assumption-Worst'!$B$3:$B$32,$C164)</f>
        <v>1.8000000000000001E-4</v>
      </c>
      <c r="L164" s="19">
        <f t="shared" si="17"/>
        <v>2846.7448187760006</v>
      </c>
      <c r="M164" s="99">
        <f t="shared" si="18"/>
        <v>116716.53756981602</v>
      </c>
      <c r="N164" s="97">
        <f>SUMIFS('Assumption-Worst'!$G$3:$G$32,'Assumption-Worst'!$A$3:$A$32,$B164,'Assumption-Worst'!$B$3:$B$32,$C164)</f>
        <v>0.45</v>
      </c>
      <c r="O164" s="19">
        <f t="shared" si="19"/>
        <v>74727.051492870014</v>
      </c>
      <c r="P164" s="99">
        <f t="shared" si="20"/>
        <v>41989.486076946007</v>
      </c>
    </row>
    <row r="165" spans="1:16" x14ac:dyDescent="0.35">
      <c r="A165" s="96" t="str">
        <f>LEFT('2025 actual v budget'!A165,4)&amp;"26"</f>
        <v>Jun-26</v>
      </c>
      <c r="B165" s="17" t="str">
        <f>'2025 actual v budget'!B165</f>
        <v>India</v>
      </c>
      <c r="C165" s="17" t="str">
        <f>'2025 actual v budget'!C165</f>
        <v>Stablecoin Settlement</v>
      </c>
      <c r="D165" s="19">
        <f>'2025 actual v budget'!D165</f>
        <v>23611894.5</v>
      </c>
      <c r="E165" s="97">
        <f>SUMIFS('Assumption-Worst'!$C$3:$C$32,'Assumption-Worst'!$A$3:$A$32,$B165,'Assumption-Worst'!$B$3:$B$32,$C165)</f>
        <v>0.12</v>
      </c>
      <c r="F165" s="19">
        <f t="shared" si="14"/>
        <v>26445321.840000004</v>
      </c>
      <c r="G165" s="98">
        <f>SUMIFS('Assumption-Worst'!$D$3:$D$32,'Assumption-Worst'!$A$3:$A$32,$B165,'Assumption-Worst'!$B$3:$B$32,$C165)</f>
        <v>6.4999999999999997E-3</v>
      </c>
      <c r="H165" s="99">
        <f t="shared" si="15"/>
        <v>171894.59196000002</v>
      </c>
      <c r="I165" s="97">
        <f>SUMIFS('Assumption-Worst'!$E$3:$E$32,'Assumption-Worst'!$A$3:$A$32,$B165,'Assumption-Worst'!$B$3:$B$32,$C165)</f>
        <v>0.32</v>
      </c>
      <c r="J165" s="19">
        <f t="shared" si="16"/>
        <v>55006.269427200008</v>
      </c>
      <c r="K165" s="100">
        <f>SUMIFS('Assumption-Worst'!$F$3:$F$32,'Assumption-Worst'!$A$3:$A$32,$B165,'Assumption-Worst'!$B$3:$B$32,$C165)</f>
        <v>1.8000000000000001E-4</v>
      </c>
      <c r="L165" s="19">
        <f t="shared" si="17"/>
        <v>4760.1579312000013</v>
      </c>
      <c r="M165" s="99">
        <f t="shared" si="18"/>
        <v>112128.16460160002</v>
      </c>
      <c r="N165" s="97">
        <f>SUMIFS('Assumption-Worst'!$G$3:$G$32,'Assumption-Worst'!$A$3:$A$32,$B165,'Assumption-Worst'!$B$3:$B$32,$C165)</f>
        <v>0.45</v>
      </c>
      <c r="O165" s="19">
        <f t="shared" si="19"/>
        <v>77352.566382000005</v>
      </c>
      <c r="P165" s="99">
        <f t="shared" si="20"/>
        <v>34775.598219600011</v>
      </c>
    </row>
    <row r="166" spans="1:16" x14ac:dyDescent="0.35">
      <c r="A166" s="96" t="str">
        <f>LEFT('2025 actual v budget'!A166,4)&amp;"26"</f>
        <v>Jun-26</v>
      </c>
      <c r="B166" s="17" t="str">
        <f>'2025 actual v budget'!B166</f>
        <v>India</v>
      </c>
      <c r="C166" s="17" t="str">
        <f>'2025 actual v budget'!C166</f>
        <v>Treasury Yield</v>
      </c>
      <c r="D166" s="19">
        <f>'2025 actual v budget'!D166</f>
        <v>6330401.7400000002</v>
      </c>
      <c r="E166" s="97">
        <f>SUMIFS('Assumption-Worst'!$C$3:$C$32,'Assumption-Worst'!$A$3:$A$32,$B166,'Assumption-Worst'!$B$3:$B$32,$C166)</f>
        <v>0.06</v>
      </c>
      <c r="F166" s="19">
        <f t="shared" si="14"/>
        <v>6710225.8444000008</v>
      </c>
      <c r="G166" s="98">
        <f>SUMIFS('Assumption-Worst'!$D$3:$D$32,'Assumption-Worst'!$A$3:$A$32,$B166,'Assumption-Worst'!$B$3:$B$32,$C166)</f>
        <v>3.0000000000000001E-3</v>
      </c>
      <c r="H166" s="99">
        <f t="shared" si="15"/>
        <v>20130.677533200003</v>
      </c>
      <c r="I166" s="97">
        <f>SUMIFS('Assumption-Worst'!$E$3:$E$32,'Assumption-Worst'!$A$3:$A$32,$B166,'Assumption-Worst'!$B$3:$B$32,$C166)</f>
        <v>0.18</v>
      </c>
      <c r="J166" s="19">
        <f t="shared" si="16"/>
        <v>3623.5219559760003</v>
      </c>
      <c r="K166" s="100">
        <f>SUMIFS('Assumption-Worst'!$F$3:$F$32,'Assumption-Worst'!$A$3:$A$32,$B166,'Assumption-Worst'!$B$3:$B$32,$C166)</f>
        <v>1.8000000000000001E-4</v>
      </c>
      <c r="L166" s="19">
        <f t="shared" si="17"/>
        <v>1207.8406519920002</v>
      </c>
      <c r="M166" s="99">
        <f t="shared" si="18"/>
        <v>15299.314925232002</v>
      </c>
      <c r="N166" s="97">
        <f>SUMIFS('Assumption-Worst'!$G$3:$G$32,'Assumption-Worst'!$A$3:$A$32,$B166,'Assumption-Worst'!$B$3:$B$32,$C166)</f>
        <v>0.45</v>
      </c>
      <c r="O166" s="19">
        <f t="shared" si="19"/>
        <v>9058.8048899400019</v>
      </c>
      <c r="P166" s="99">
        <f t="shared" si="20"/>
        <v>6240.5100352919999</v>
      </c>
    </row>
    <row r="167" spans="1:16" x14ac:dyDescent="0.35">
      <c r="A167" s="96" t="str">
        <f>LEFT('2025 actual v budget'!A167,4)&amp;"26"</f>
        <v>Jun-26</v>
      </c>
      <c r="B167" s="17" t="str">
        <f>'2025 actual v budget'!B167</f>
        <v>India</v>
      </c>
      <c r="C167" s="17" t="str">
        <f>'2025 actual v budget'!C167</f>
        <v>Virtual Accounts</v>
      </c>
      <c r="D167" s="19">
        <f>'2025 actual v budget'!D167</f>
        <v>9625640.3100000005</v>
      </c>
      <c r="E167" s="97">
        <f>SUMIFS('Assumption-Worst'!$C$3:$C$32,'Assumption-Worst'!$A$3:$A$32,$B167,'Assumption-Worst'!$B$3:$B$32,$C167)</f>
        <v>0.06</v>
      </c>
      <c r="F167" s="19">
        <f t="shared" si="14"/>
        <v>10203178.728600001</v>
      </c>
      <c r="G167" s="98">
        <f>SUMIFS('Assumption-Worst'!$D$3:$D$32,'Assumption-Worst'!$A$3:$A$32,$B167,'Assumption-Worst'!$B$3:$B$32,$C167)</f>
        <v>4.4999999999999997E-3</v>
      </c>
      <c r="H167" s="99">
        <f t="shared" si="15"/>
        <v>45914.304278700001</v>
      </c>
      <c r="I167" s="97">
        <f>SUMIFS('Assumption-Worst'!$E$3:$E$32,'Assumption-Worst'!$A$3:$A$32,$B167,'Assumption-Worst'!$B$3:$B$32,$C167)</f>
        <v>0.22</v>
      </c>
      <c r="J167" s="19">
        <f t="shared" si="16"/>
        <v>10101.146941314</v>
      </c>
      <c r="K167" s="100">
        <f>SUMIFS('Assumption-Worst'!$F$3:$F$32,'Assumption-Worst'!$A$3:$A$32,$B167,'Assumption-Worst'!$B$3:$B$32,$C167)</f>
        <v>1.8000000000000001E-4</v>
      </c>
      <c r="L167" s="19">
        <f t="shared" si="17"/>
        <v>1836.5721711480003</v>
      </c>
      <c r="M167" s="99">
        <f t="shared" si="18"/>
        <v>33976.585166238001</v>
      </c>
      <c r="N167" s="97">
        <f>SUMIFS('Assumption-Worst'!$G$3:$G$32,'Assumption-Worst'!$A$3:$A$32,$B167,'Assumption-Worst'!$B$3:$B$32,$C167)</f>
        <v>0.45</v>
      </c>
      <c r="O167" s="19">
        <f t="shared" si="19"/>
        <v>20661.436925415001</v>
      </c>
      <c r="P167" s="99">
        <f t="shared" si="20"/>
        <v>13315.148240823</v>
      </c>
    </row>
    <row r="168" spans="1:16" x14ac:dyDescent="0.35">
      <c r="A168" s="96" t="str">
        <f>LEFT('2025 actual v budget'!A168,4)&amp;"26"</f>
        <v>Jun-26</v>
      </c>
      <c r="B168" s="17" t="str">
        <f>'2025 actual v budget'!B168</f>
        <v>Mexico</v>
      </c>
      <c r="C168" s="17" t="str">
        <f>'2025 actual v budget'!C168</f>
        <v>Cross-border Payouts</v>
      </c>
      <c r="D168" s="19">
        <f>'2025 actual v budget'!D168</f>
        <v>11540422.800000001</v>
      </c>
      <c r="E168" s="97">
        <f>SUMIFS('Assumption-Worst'!$C$3:$C$32,'Assumption-Worst'!$A$3:$A$32,$B168,'Assumption-Worst'!$B$3:$B$32,$C168)</f>
        <v>7.4999999999999997E-2</v>
      </c>
      <c r="F168" s="19">
        <f t="shared" si="14"/>
        <v>12405954.51</v>
      </c>
      <c r="G168" s="98">
        <f>SUMIFS('Assumption-Worst'!$D$3:$D$32,'Assumption-Worst'!$A$3:$A$32,$B168,'Assumption-Worst'!$B$3:$B$32,$C168)</f>
        <v>7.4999999999999997E-3</v>
      </c>
      <c r="H168" s="99">
        <f t="shared" si="15"/>
        <v>93044.658824999991</v>
      </c>
      <c r="I168" s="97">
        <f>SUMIFS('Assumption-Worst'!$E$3:$E$32,'Assumption-Worst'!$A$3:$A$32,$B168,'Assumption-Worst'!$B$3:$B$32,$C168)</f>
        <v>0.35</v>
      </c>
      <c r="J168" s="19">
        <f t="shared" si="16"/>
        <v>32565.630588749995</v>
      </c>
      <c r="K168" s="100">
        <f>SUMIFS('Assumption-Worst'!$F$3:$F$32,'Assumption-Worst'!$A$3:$A$32,$B168,'Assumption-Worst'!$B$3:$B$32,$C168)</f>
        <v>8.0000000000000007E-5</v>
      </c>
      <c r="L168" s="19">
        <f t="shared" si="17"/>
        <v>992.47636080000007</v>
      </c>
      <c r="M168" s="99">
        <f t="shared" si="18"/>
        <v>59486.551875450001</v>
      </c>
      <c r="N168" s="97">
        <f>SUMIFS('Assumption-Worst'!$G$3:$G$32,'Assumption-Worst'!$A$3:$A$32,$B168,'Assumption-Worst'!$B$3:$B$32,$C168)</f>
        <v>0.45</v>
      </c>
      <c r="O168" s="19">
        <f t="shared" si="19"/>
        <v>41870.096471249999</v>
      </c>
      <c r="P168" s="99">
        <f t="shared" si="20"/>
        <v>17616.455404200002</v>
      </c>
    </row>
    <row r="169" spans="1:16" x14ac:dyDescent="0.35">
      <c r="A169" s="96" t="str">
        <f>LEFT('2025 actual v budget'!A169,4)&amp;"26"</f>
        <v>Jun-26</v>
      </c>
      <c r="B169" s="17" t="str">
        <f>'2025 actual v budget'!B169</f>
        <v>Mexico</v>
      </c>
      <c r="C169" s="17" t="str">
        <f>'2025 actual v budget'!C169</f>
        <v>FX Conversion</v>
      </c>
      <c r="D169" s="19">
        <f>'2025 actual v budget'!D169</f>
        <v>17813509.710000001</v>
      </c>
      <c r="E169" s="97">
        <f>SUMIFS('Assumption-Worst'!$C$3:$C$32,'Assumption-Worst'!$A$3:$A$32,$B169,'Assumption-Worst'!$B$3:$B$32,$C169)</f>
        <v>7.4999999999999997E-2</v>
      </c>
      <c r="F169" s="19">
        <f t="shared" si="14"/>
        <v>19149522.938250002</v>
      </c>
      <c r="G169" s="98">
        <f>SUMIFS('Assumption-Worst'!$D$3:$D$32,'Assumption-Worst'!$A$3:$A$32,$B169,'Assumption-Worst'!$B$3:$B$32,$C169)</f>
        <v>1.0500000000000001E-2</v>
      </c>
      <c r="H169" s="99">
        <f t="shared" si="15"/>
        <v>201069.99085162501</v>
      </c>
      <c r="I169" s="97">
        <f>SUMIFS('Assumption-Worst'!$E$3:$E$32,'Assumption-Worst'!$A$3:$A$32,$B169,'Assumption-Worst'!$B$3:$B$32,$C169)</f>
        <v>0.28000000000000003</v>
      </c>
      <c r="J169" s="19">
        <f t="shared" si="16"/>
        <v>56299.597438455006</v>
      </c>
      <c r="K169" s="100">
        <f>SUMIFS('Assumption-Worst'!$F$3:$F$32,'Assumption-Worst'!$A$3:$A$32,$B169,'Assumption-Worst'!$B$3:$B$32,$C169)</f>
        <v>8.0000000000000007E-5</v>
      </c>
      <c r="L169" s="19">
        <f t="shared" si="17"/>
        <v>1531.9618350600003</v>
      </c>
      <c r="M169" s="99">
        <f t="shared" si="18"/>
        <v>143238.43157811</v>
      </c>
      <c r="N169" s="97">
        <f>SUMIFS('Assumption-Worst'!$G$3:$G$32,'Assumption-Worst'!$A$3:$A$32,$B169,'Assumption-Worst'!$B$3:$B$32,$C169)</f>
        <v>0.45</v>
      </c>
      <c r="O169" s="19">
        <f t="shared" si="19"/>
        <v>90481.495883231255</v>
      </c>
      <c r="P169" s="99">
        <f t="shared" si="20"/>
        <v>52756.935694878746</v>
      </c>
    </row>
    <row r="170" spans="1:16" x14ac:dyDescent="0.35">
      <c r="A170" s="96" t="str">
        <f>LEFT('2025 actual v budget'!A170,4)&amp;"26"</f>
        <v>Jun-26</v>
      </c>
      <c r="B170" s="17" t="str">
        <f>'2025 actual v budget'!B170</f>
        <v>Mexico</v>
      </c>
      <c r="C170" s="17" t="str">
        <f>'2025 actual v budget'!C170</f>
        <v>Stablecoin Settlement</v>
      </c>
      <c r="D170" s="19">
        <f>'2025 actual v budget'!D170</f>
        <v>28194057.23</v>
      </c>
      <c r="E170" s="97">
        <f>SUMIFS('Assumption-Worst'!$C$3:$C$32,'Assumption-Worst'!$A$3:$A$32,$B170,'Assumption-Worst'!$B$3:$B$32,$C170)</f>
        <v>0.15</v>
      </c>
      <c r="F170" s="19">
        <f t="shared" si="14"/>
        <v>32423165.814499997</v>
      </c>
      <c r="G170" s="98">
        <f>SUMIFS('Assumption-Worst'!$D$3:$D$32,'Assumption-Worst'!$A$3:$A$32,$B170,'Assumption-Worst'!$B$3:$B$32,$C170)</f>
        <v>6.4999999999999997E-3</v>
      </c>
      <c r="H170" s="99">
        <f t="shared" si="15"/>
        <v>210750.57779424996</v>
      </c>
      <c r="I170" s="97">
        <f>SUMIFS('Assumption-Worst'!$E$3:$E$32,'Assumption-Worst'!$A$3:$A$32,$B170,'Assumption-Worst'!$B$3:$B$32,$C170)</f>
        <v>0.32</v>
      </c>
      <c r="J170" s="19">
        <f t="shared" si="16"/>
        <v>67440.184894159989</v>
      </c>
      <c r="K170" s="100">
        <f>SUMIFS('Assumption-Worst'!$F$3:$F$32,'Assumption-Worst'!$A$3:$A$32,$B170,'Assumption-Worst'!$B$3:$B$32,$C170)</f>
        <v>8.0000000000000007E-5</v>
      </c>
      <c r="L170" s="19">
        <f t="shared" si="17"/>
        <v>2593.8532651599999</v>
      </c>
      <c r="M170" s="99">
        <f t="shared" si="18"/>
        <v>140716.53963492997</v>
      </c>
      <c r="N170" s="97">
        <f>SUMIFS('Assumption-Worst'!$G$3:$G$32,'Assumption-Worst'!$A$3:$A$32,$B170,'Assumption-Worst'!$B$3:$B$32,$C170)</f>
        <v>0.45</v>
      </c>
      <c r="O170" s="19">
        <f t="shared" si="19"/>
        <v>94837.760007412478</v>
      </c>
      <c r="P170" s="99">
        <f t="shared" si="20"/>
        <v>45878.779627517491</v>
      </c>
    </row>
    <row r="171" spans="1:16" x14ac:dyDescent="0.35">
      <c r="A171" s="96" t="str">
        <f>LEFT('2025 actual v budget'!A171,4)&amp;"26"</f>
        <v>Jun-26</v>
      </c>
      <c r="B171" s="17" t="str">
        <f>'2025 actual v budget'!B171</f>
        <v>Mexico</v>
      </c>
      <c r="C171" s="17" t="str">
        <f>'2025 actual v budget'!C171</f>
        <v>Treasury Yield</v>
      </c>
      <c r="D171" s="19">
        <f>'2025 actual v budget'!D171</f>
        <v>7558064.5700000003</v>
      </c>
      <c r="E171" s="97">
        <f>SUMIFS('Assumption-Worst'!$C$3:$C$32,'Assumption-Worst'!$A$3:$A$32,$B171,'Assumption-Worst'!$B$3:$B$32,$C171)</f>
        <v>7.4999999999999997E-2</v>
      </c>
      <c r="F171" s="19">
        <f t="shared" si="14"/>
        <v>8124919.4127500001</v>
      </c>
      <c r="G171" s="98">
        <f>SUMIFS('Assumption-Worst'!$D$3:$D$32,'Assumption-Worst'!$A$3:$A$32,$B171,'Assumption-Worst'!$B$3:$B$32,$C171)</f>
        <v>3.0000000000000001E-3</v>
      </c>
      <c r="H171" s="99">
        <f t="shared" si="15"/>
        <v>24374.75823825</v>
      </c>
      <c r="I171" s="97">
        <f>SUMIFS('Assumption-Worst'!$E$3:$E$32,'Assumption-Worst'!$A$3:$A$32,$B171,'Assumption-Worst'!$B$3:$B$32,$C171)</f>
        <v>0.18</v>
      </c>
      <c r="J171" s="19">
        <f t="shared" si="16"/>
        <v>4387.4564828849998</v>
      </c>
      <c r="K171" s="100">
        <f>SUMIFS('Assumption-Worst'!$F$3:$F$32,'Assumption-Worst'!$A$3:$A$32,$B171,'Assumption-Worst'!$B$3:$B$32,$C171)</f>
        <v>8.0000000000000007E-5</v>
      </c>
      <c r="L171" s="19">
        <f t="shared" si="17"/>
        <v>649.99355302000004</v>
      </c>
      <c r="M171" s="99">
        <f t="shared" si="18"/>
        <v>19337.308202344997</v>
      </c>
      <c r="N171" s="97">
        <f>SUMIFS('Assumption-Worst'!$G$3:$G$32,'Assumption-Worst'!$A$3:$A$32,$B171,'Assumption-Worst'!$B$3:$B$32,$C171)</f>
        <v>0.45</v>
      </c>
      <c r="O171" s="19">
        <f t="shared" si="19"/>
        <v>10968.6412072125</v>
      </c>
      <c r="P171" s="99">
        <f t="shared" si="20"/>
        <v>8368.6669951324966</v>
      </c>
    </row>
    <row r="172" spans="1:16" x14ac:dyDescent="0.35">
      <c r="A172" s="96" t="str">
        <f>LEFT('2025 actual v budget'!A172,4)&amp;"26"</f>
        <v>Jun-26</v>
      </c>
      <c r="B172" s="17" t="str">
        <f>'2025 actual v budget'!B172</f>
        <v>Mexico</v>
      </c>
      <c r="C172" s="17" t="str">
        <f>'2025 actual v budget'!C172</f>
        <v>Virtual Accounts</v>
      </c>
      <c r="D172" s="19">
        <f>'2025 actual v budget'!D172</f>
        <v>11492352.939999999</v>
      </c>
      <c r="E172" s="97">
        <f>SUMIFS('Assumption-Worst'!$C$3:$C$32,'Assumption-Worst'!$A$3:$A$32,$B172,'Assumption-Worst'!$B$3:$B$32,$C172)</f>
        <v>7.4999999999999997E-2</v>
      </c>
      <c r="F172" s="19">
        <f t="shared" si="14"/>
        <v>12354279.410499999</v>
      </c>
      <c r="G172" s="98">
        <f>SUMIFS('Assumption-Worst'!$D$3:$D$32,'Assumption-Worst'!$A$3:$A$32,$B172,'Assumption-Worst'!$B$3:$B$32,$C172)</f>
        <v>4.4999999999999997E-3</v>
      </c>
      <c r="H172" s="99">
        <f t="shared" si="15"/>
        <v>55594.257347249993</v>
      </c>
      <c r="I172" s="97">
        <f>SUMIFS('Assumption-Worst'!$E$3:$E$32,'Assumption-Worst'!$A$3:$A$32,$B172,'Assumption-Worst'!$B$3:$B$32,$C172)</f>
        <v>0.22</v>
      </c>
      <c r="J172" s="19">
        <f t="shared" si="16"/>
        <v>12230.736616394999</v>
      </c>
      <c r="K172" s="100">
        <f>SUMIFS('Assumption-Worst'!$F$3:$F$32,'Assumption-Worst'!$A$3:$A$32,$B172,'Assumption-Worst'!$B$3:$B$32,$C172)</f>
        <v>8.0000000000000007E-5</v>
      </c>
      <c r="L172" s="19">
        <f t="shared" si="17"/>
        <v>988.34235283999999</v>
      </c>
      <c r="M172" s="99">
        <f t="shared" si="18"/>
        <v>42375.178378014993</v>
      </c>
      <c r="N172" s="97">
        <f>SUMIFS('Assumption-Worst'!$G$3:$G$32,'Assumption-Worst'!$A$3:$A$32,$B172,'Assumption-Worst'!$B$3:$B$32,$C172)</f>
        <v>0.45</v>
      </c>
      <c r="O172" s="19">
        <f t="shared" si="19"/>
        <v>25017.415806262499</v>
      </c>
      <c r="P172" s="99">
        <f t="shared" si="20"/>
        <v>17357.762571752493</v>
      </c>
    </row>
    <row r="173" spans="1:16" x14ac:dyDescent="0.35">
      <c r="A173" s="96" t="str">
        <f>LEFT('2025 actual v budget'!A173,4)&amp;"26"</f>
        <v>Jun-26</v>
      </c>
      <c r="B173" s="17" t="str">
        <f>'2025 actual v budget'!B173</f>
        <v>Singapore</v>
      </c>
      <c r="C173" s="17" t="str">
        <f>'2025 actual v budget'!C173</f>
        <v>Cross-border Payouts</v>
      </c>
      <c r="D173" s="19">
        <f>'2025 actual v budget'!D173</f>
        <v>9385203.1500000004</v>
      </c>
      <c r="E173" s="97">
        <f>SUMIFS('Assumption-Worst'!$C$3:$C$32,'Assumption-Worst'!$A$3:$A$32,$B173,'Assumption-Worst'!$B$3:$B$32,$C173)</f>
        <v>2.5000000000000001E-2</v>
      </c>
      <c r="F173" s="19">
        <f t="shared" si="14"/>
        <v>9619833.2287499998</v>
      </c>
      <c r="G173" s="98">
        <f>SUMIFS('Assumption-Worst'!$D$3:$D$32,'Assumption-Worst'!$A$3:$A$32,$B173,'Assumption-Worst'!$B$3:$B$32,$C173)</f>
        <v>7.4999999999999997E-3</v>
      </c>
      <c r="H173" s="99">
        <f t="shared" si="15"/>
        <v>72148.749215624994</v>
      </c>
      <c r="I173" s="97">
        <f>SUMIFS('Assumption-Worst'!$E$3:$E$32,'Assumption-Worst'!$A$3:$A$32,$B173,'Assumption-Worst'!$B$3:$B$32,$C173)</f>
        <v>0.35</v>
      </c>
      <c r="J173" s="19">
        <f t="shared" si="16"/>
        <v>25252.062225468748</v>
      </c>
      <c r="K173" s="100">
        <f>SUMIFS('Assumption-Worst'!$F$3:$F$32,'Assumption-Worst'!$A$3:$A$32,$B173,'Assumption-Worst'!$B$3:$B$32,$C173)</f>
        <v>9.0000000000000006E-5</v>
      </c>
      <c r="L173" s="19">
        <f t="shared" si="17"/>
        <v>865.78499058750003</v>
      </c>
      <c r="M173" s="99">
        <f t="shared" si="18"/>
        <v>46030.901999568749</v>
      </c>
      <c r="N173" s="97">
        <f>SUMIFS('Assumption-Worst'!$G$3:$G$32,'Assumption-Worst'!$A$3:$A$32,$B173,'Assumption-Worst'!$B$3:$B$32,$C173)</f>
        <v>0.45</v>
      </c>
      <c r="O173" s="19">
        <f t="shared" si="19"/>
        <v>32466.937147031247</v>
      </c>
      <c r="P173" s="99">
        <f t="shared" si="20"/>
        <v>13563.964852537501</v>
      </c>
    </row>
    <row r="174" spans="1:16" x14ac:dyDescent="0.35">
      <c r="A174" s="96" t="str">
        <f>LEFT('2025 actual v budget'!A174,4)&amp;"26"</f>
        <v>Jun-26</v>
      </c>
      <c r="B174" s="17" t="str">
        <f>'2025 actual v budget'!B174</f>
        <v>Singapore</v>
      </c>
      <c r="C174" s="17" t="str">
        <f>'2025 actual v budget'!C174</f>
        <v>FX Conversion</v>
      </c>
      <c r="D174" s="19">
        <f>'2025 actual v budget'!D174</f>
        <v>14481931.84</v>
      </c>
      <c r="E174" s="97">
        <f>SUMIFS('Assumption-Worst'!$C$3:$C$32,'Assumption-Worst'!$A$3:$A$32,$B174,'Assumption-Worst'!$B$3:$B$32,$C174)</f>
        <v>2.5000000000000001E-2</v>
      </c>
      <c r="F174" s="19">
        <f t="shared" si="14"/>
        <v>14843980.135999998</v>
      </c>
      <c r="G174" s="98">
        <f>SUMIFS('Assumption-Worst'!$D$3:$D$32,'Assumption-Worst'!$A$3:$A$32,$B174,'Assumption-Worst'!$B$3:$B$32,$C174)</f>
        <v>1.0500000000000001E-2</v>
      </c>
      <c r="H174" s="99">
        <f t="shared" si="15"/>
        <v>155861.791428</v>
      </c>
      <c r="I174" s="97">
        <f>SUMIFS('Assumption-Worst'!$E$3:$E$32,'Assumption-Worst'!$A$3:$A$32,$B174,'Assumption-Worst'!$B$3:$B$32,$C174)</f>
        <v>0.28000000000000003</v>
      </c>
      <c r="J174" s="19">
        <f t="shared" si="16"/>
        <v>43641.301599840001</v>
      </c>
      <c r="K174" s="100">
        <f>SUMIFS('Assumption-Worst'!$F$3:$F$32,'Assumption-Worst'!$A$3:$A$32,$B174,'Assumption-Worst'!$B$3:$B$32,$C174)</f>
        <v>9.0000000000000006E-5</v>
      </c>
      <c r="L174" s="19">
        <f t="shared" si="17"/>
        <v>1335.95821224</v>
      </c>
      <c r="M174" s="99">
        <f t="shared" si="18"/>
        <v>110884.53161592</v>
      </c>
      <c r="N174" s="97">
        <f>SUMIFS('Assumption-Worst'!$G$3:$G$32,'Assumption-Worst'!$A$3:$A$32,$B174,'Assumption-Worst'!$B$3:$B$32,$C174)</f>
        <v>0.45</v>
      </c>
      <c r="O174" s="19">
        <f t="shared" si="19"/>
        <v>70137.806142600006</v>
      </c>
      <c r="P174" s="99">
        <f t="shared" si="20"/>
        <v>40746.725473319995</v>
      </c>
    </row>
    <row r="175" spans="1:16" x14ac:dyDescent="0.35">
      <c r="A175" s="96" t="str">
        <f>LEFT('2025 actual v budget'!A175,4)&amp;"26"</f>
        <v>Jun-26</v>
      </c>
      <c r="B175" s="17" t="str">
        <f>'2025 actual v budget'!B175</f>
        <v>Singapore</v>
      </c>
      <c r="C175" s="17" t="str">
        <f>'2025 actual v budget'!C175</f>
        <v>Stablecoin Settlement</v>
      </c>
      <c r="D175" s="19">
        <f>'2025 actual v budget'!D175</f>
        <v>22928705.41</v>
      </c>
      <c r="E175" s="97">
        <f>SUMIFS('Assumption-Worst'!$C$3:$C$32,'Assumption-Worst'!$A$3:$A$32,$B175,'Assumption-Worst'!$B$3:$B$32,$C175)</f>
        <v>0.05</v>
      </c>
      <c r="F175" s="19">
        <f t="shared" si="14"/>
        <v>24075140.680500001</v>
      </c>
      <c r="G175" s="98">
        <f>SUMIFS('Assumption-Worst'!$D$3:$D$32,'Assumption-Worst'!$A$3:$A$32,$B175,'Assumption-Worst'!$B$3:$B$32,$C175)</f>
        <v>6.4999999999999997E-3</v>
      </c>
      <c r="H175" s="99">
        <f t="shared" si="15"/>
        <v>156488.41442325001</v>
      </c>
      <c r="I175" s="97">
        <f>SUMIFS('Assumption-Worst'!$E$3:$E$32,'Assumption-Worst'!$A$3:$A$32,$B175,'Assumption-Worst'!$B$3:$B$32,$C175)</f>
        <v>0.32</v>
      </c>
      <c r="J175" s="19">
        <f t="shared" si="16"/>
        <v>50076.292615440005</v>
      </c>
      <c r="K175" s="100">
        <f>SUMIFS('Assumption-Worst'!$F$3:$F$32,'Assumption-Worst'!$A$3:$A$32,$B175,'Assumption-Worst'!$B$3:$B$32,$C175)</f>
        <v>9.0000000000000006E-5</v>
      </c>
      <c r="L175" s="19">
        <f t="shared" si="17"/>
        <v>2166.7626612450003</v>
      </c>
      <c r="M175" s="99">
        <f t="shared" si="18"/>
        <v>104245.35914656501</v>
      </c>
      <c r="N175" s="97">
        <f>SUMIFS('Assumption-Worst'!$G$3:$G$32,'Assumption-Worst'!$A$3:$A$32,$B175,'Assumption-Worst'!$B$3:$B$32,$C175)</f>
        <v>0.45</v>
      </c>
      <c r="O175" s="19">
        <f t="shared" si="19"/>
        <v>70419.786490462502</v>
      </c>
      <c r="P175" s="99">
        <f t="shared" si="20"/>
        <v>33825.572656102508</v>
      </c>
    </row>
    <row r="176" spans="1:16" x14ac:dyDescent="0.35">
      <c r="A176" s="96" t="str">
        <f>LEFT('2025 actual v budget'!A176,4)&amp;"26"</f>
        <v>Jun-26</v>
      </c>
      <c r="B176" s="17" t="str">
        <f>'2025 actual v budget'!B176</f>
        <v>Singapore</v>
      </c>
      <c r="C176" s="17" t="str">
        <f>'2025 actual v budget'!C176</f>
        <v>Treasury Yield</v>
      </c>
      <c r="D176" s="19">
        <f>'2025 actual v budget'!D176</f>
        <v>6144514.9100000001</v>
      </c>
      <c r="E176" s="97">
        <f>SUMIFS('Assumption-Worst'!$C$3:$C$32,'Assumption-Worst'!$A$3:$A$32,$B176,'Assumption-Worst'!$B$3:$B$32,$C176)</f>
        <v>2.5000000000000001E-2</v>
      </c>
      <c r="F176" s="19">
        <f t="shared" si="14"/>
        <v>6298127.7827499993</v>
      </c>
      <c r="G176" s="98">
        <f>SUMIFS('Assumption-Worst'!$D$3:$D$32,'Assumption-Worst'!$A$3:$A$32,$B176,'Assumption-Worst'!$B$3:$B$32,$C176)</f>
        <v>3.0000000000000001E-3</v>
      </c>
      <c r="H176" s="99">
        <f t="shared" si="15"/>
        <v>18894.383348249998</v>
      </c>
      <c r="I176" s="97">
        <f>SUMIFS('Assumption-Worst'!$E$3:$E$32,'Assumption-Worst'!$A$3:$A$32,$B176,'Assumption-Worst'!$B$3:$B$32,$C176)</f>
        <v>0.18</v>
      </c>
      <c r="J176" s="19">
        <f t="shared" si="16"/>
        <v>3400.9890026849994</v>
      </c>
      <c r="K176" s="100">
        <f>SUMIFS('Assumption-Worst'!$F$3:$F$32,'Assumption-Worst'!$A$3:$A$32,$B176,'Assumption-Worst'!$B$3:$B$32,$C176)</f>
        <v>9.0000000000000006E-5</v>
      </c>
      <c r="L176" s="19">
        <f t="shared" si="17"/>
        <v>566.83150044749993</v>
      </c>
      <c r="M176" s="99">
        <f t="shared" si="18"/>
        <v>14926.562845117498</v>
      </c>
      <c r="N176" s="97">
        <f>SUMIFS('Assumption-Worst'!$G$3:$G$32,'Assumption-Worst'!$A$3:$A$32,$B176,'Assumption-Worst'!$B$3:$B$32,$C176)</f>
        <v>0.45</v>
      </c>
      <c r="O176" s="19">
        <f t="shared" si="19"/>
        <v>8502.4725067125</v>
      </c>
      <c r="P176" s="99">
        <f t="shared" si="20"/>
        <v>6424.090338404998</v>
      </c>
    </row>
    <row r="177" spans="1:16" x14ac:dyDescent="0.35">
      <c r="A177" s="96" t="str">
        <f>LEFT('2025 actual v budget'!A177,4)&amp;"26"</f>
        <v>Jun-26</v>
      </c>
      <c r="B177" s="17" t="str">
        <f>'2025 actual v budget'!B177</f>
        <v>Singapore</v>
      </c>
      <c r="C177" s="17" t="str">
        <f>'2025 actual v budget'!C177</f>
        <v>Virtual Accounts</v>
      </c>
      <c r="D177" s="19">
        <f>'2025 actual v budget'!D177</f>
        <v>9342991.6300000008</v>
      </c>
      <c r="E177" s="97">
        <f>SUMIFS('Assumption-Worst'!$C$3:$C$32,'Assumption-Worst'!$A$3:$A$32,$B177,'Assumption-Worst'!$B$3:$B$32,$C177)</f>
        <v>2.5000000000000001E-2</v>
      </c>
      <c r="F177" s="19">
        <f t="shared" si="14"/>
        <v>9576566.4207499996</v>
      </c>
      <c r="G177" s="98">
        <f>SUMIFS('Assumption-Worst'!$D$3:$D$32,'Assumption-Worst'!$A$3:$A$32,$B177,'Assumption-Worst'!$B$3:$B$32,$C177)</f>
        <v>4.4999999999999997E-3</v>
      </c>
      <c r="H177" s="99">
        <f t="shared" si="15"/>
        <v>43094.548893374995</v>
      </c>
      <c r="I177" s="97">
        <f>SUMIFS('Assumption-Worst'!$E$3:$E$32,'Assumption-Worst'!$A$3:$A$32,$B177,'Assumption-Worst'!$B$3:$B$32,$C177)</f>
        <v>0.22</v>
      </c>
      <c r="J177" s="19">
        <f t="shared" si="16"/>
        <v>9480.8007565424996</v>
      </c>
      <c r="K177" s="100">
        <f>SUMIFS('Assumption-Worst'!$F$3:$F$32,'Assumption-Worst'!$A$3:$A$32,$B177,'Assumption-Worst'!$B$3:$B$32,$C177)</f>
        <v>9.0000000000000006E-5</v>
      </c>
      <c r="L177" s="19">
        <f t="shared" si="17"/>
        <v>861.89097786750006</v>
      </c>
      <c r="M177" s="99">
        <f t="shared" si="18"/>
        <v>32751.857158964995</v>
      </c>
      <c r="N177" s="97">
        <f>SUMIFS('Assumption-Worst'!$G$3:$G$32,'Assumption-Worst'!$A$3:$A$32,$B177,'Assumption-Worst'!$B$3:$B$32,$C177)</f>
        <v>0.45</v>
      </c>
      <c r="O177" s="19">
        <f t="shared" si="19"/>
        <v>19392.547002018749</v>
      </c>
      <c r="P177" s="99">
        <f t="shared" si="20"/>
        <v>13359.310156946245</v>
      </c>
    </row>
    <row r="178" spans="1:16" x14ac:dyDescent="0.35">
      <c r="A178" s="96" t="str">
        <f>LEFT('2025 actual v budget'!A178,4)&amp;"26"</f>
        <v>Jun-26</v>
      </c>
      <c r="B178" s="17" t="str">
        <f>'2025 actual v budget'!B178</f>
        <v>USA</v>
      </c>
      <c r="C178" s="17" t="str">
        <f>'2025 actual v budget'!C178</f>
        <v>Cross-border Payouts</v>
      </c>
      <c r="D178" s="19">
        <f>'2025 actual v budget'!D178</f>
        <v>22912257.609999999</v>
      </c>
      <c r="E178" s="97">
        <f>SUMIFS('Assumption-Worst'!$C$3:$C$32,'Assumption-Worst'!$A$3:$A$32,$B178,'Assumption-Worst'!$B$3:$B$32,$C178)</f>
        <v>0.05</v>
      </c>
      <c r="F178" s="19">
        <f t="shared" si="14"/>
        <v>24057870.490499999</v>
      </c>
      <c r="G178" s="98">
        <f>SUMIFS('Assumption-Worst'!$D$3:$D$32,'Assumption-Worst'!$A$3:$A$32,$B178,'Assumption-Worst'!$B$3:$B$32,$C178)</f>
        <v>7.4999999999999997E-3</v>
      </c>
      <c r="H178" s="99">
        <f t="shared" si="15"/>
        <v>180434.02867874998</v>
      </c>
      <c r="I178" s="97">
        <f>SUMIFS('Assumption-Worst'!$E$3:$E$32,'Assumption-Worst'!$A$3:$A$32,$B178,'Assumption-Worst'!$B$3:$B$32,$C178)</f>
        <v>0.35</v>
      </c>
      <c r="J178" s="19">
        <f t="shared" si="16"/>
        <v>63151.910037562491</v>
      </c>
      <c r="K178" s="100">
        <f>SUMIFS('Assumption-Worst'!$F$3:$F$32,'Assumption-Worst'!$A$3:$A$32,$B178,'Assumption-Worst'!$B$3:$B$32,$C178)</f>
        <v>2.0000000000000001E-4</v>
      </c>
      <c r="L178" s="19">
        <f t="shared" si="17"/>
        <v>4811.5740980999999</v>
      </c>
      <c r="M178" s="99">
        <f t="shared" si="18"/>
        <v>112470.5445430875</v>
      </c>
      <c r="N178" s="97">
        <f>SUMIFS('Assumption-Worst'!$G$3:$G$32,'Assumption-Worst'!$A$3:$A$32,$B178,'Assumption-Worst'!$B$3:$B$32,$C178)</f>
        <v>0.45</v>
      </c>
      <c r="O178" s="19">
        <f t="shared" si="19"/>
        <v>81195.312905437488</v>
      </c>
      <c r="P178" s="99">
        <f t="shared" si="20"/>
        <v>31275.231637650009</v>
      </c>
    </row>
    <row r="179" spans="1:16" x14ac:dyDescent="0.35">
      <c r="A179" s="96" t="str">
        <f>LEFT('2025 actual v budget'!A179,4)&amp;"26"</f>
        <v>Jun-26</v>
      </c>
      <c r="B179" s="17" t="str">
        <f>'2025 actual v budget'!B179</f>
        <v>USA</v>
      </c>
      <c r="C179" s="17" t="str">
        <f>'2025 actual v budget'!C179</f>
        <v>FX Conversion</v>
      </c>
      <c r="D179" s="19">
        <f>'2025 actual v budget'!D179</f>
        <v>35350980.560000002</v>
      </c>
      <c r="E179" s="97">
        <f>SUMIFS('Assumption-Worst'!$C$3:$C$32,'Assumption-Worst'!$A$3:$A$32,$B179,'Assumption-Worst'!$B$3:$B$32,$C179)</f>
        <v>0.05</v>
      </c>
      <c r="F179" s="19">
        <f t="shared" si="14"/>
        <v>37118529.588000007</v>
      </c>
      <c r="G179" s="98">
        <f>SUMIFS('Assumption-Worst'!$D$3:$D$32,'Assumption-Worst'!$A$3:$A$32,$B179,'Assumption-Worst'!$B$3:$B$32,$C179)</f>
        <v>1.0500000000000001E-2</v>
      </c>
      <c r="H179" s="99">
        <f t="shared" si="15"/>
        <v>389744.56067400012</v>
      </c>
      <c r="I179" s="97">
        <f>SUMIFS('Assumption-Worst'!$E$3:$E$32,'Assumption-Worst'!$A$3:$A$32,$B179,'Assumption-Worst'!$B$3:$B$32,$C179)</f>
        <v>0.28000000000000003</v>
      </c>
      <c r="J179" s="19">
        <f t="shared" si="16"/>
        <v>109128.47698872004</v>
      </c>
      <c r="K179" s="100">
        <f>SUMIFS('Assumption-Worst'!$F$3:$F$32,'Assumption-Worst'!$A$3:$A$32,$B179,'Assumption-Worst'!$B$3:$B$32,$C179)</f>
        <v>2.0000000000000001E-4</v>
      </c>
      <c r="L179" s="19">
        <f t="shared" si="17"/>
        <v>7423.7059176000021</v>
      </c>
      <c r="M179" s="99">
        <f t="shared" si="18"/>
        <v>273192.37776768004</v>
      </c>
      <c r="N179" s="97">
        <f>SUMIFS('Assumption-Worst'!$G$3:$G$32,'Assumption-Worst'!$A$3:$A$32,$B179,'Assumption-Worst'!$B$3:$B$32,$C179)</f>
        <v>0.45</v>
      </c>
      <c r="O179" s="19">
        <f t="shared" si="19"/>
        <v>175385.05230330006</v>
      </c>
      <c r="P179" s="99">
        <f t="shared" si="20"/>
        <v>97807.325464379974</v>
      </c>
    </row>
    <row r="180" spans="1:16" x14ac:dyDescent="0.35">
      <c r="A180" s="96" t="str">
        <f>LEFT('2025 actual v budget'!A180,4)&amp;"26"</f>
        <v>Jun-26</v>
      </c>
      <c r="B180" s="17" t="str">
        <f>'2025 actual v budget'!B180</f>
        <v>USA</v>
      </c>
      <c r="C180" s="17" t="str">
        <f>'2025 actual v budget'!C180</f>
        <v>Stablecoin Settlement</v>
      </c>
      <c r="D180" s="19">
        <f>'2025 actual v budget'!D180</f>
        <v>55976242.25</v>
      </c>
      <c r="E180" s="97">
        <f>SUMIFS('Assumption-Worst'!$C$3:$C$32,'Assumption-Worst'!$A$3:$A$32,$B180,'Assumption-Worst'!$B$3:$B$32,$C180)</f>
        <v>0.1</v>
      </c>
      <c r="F180" s="19">
        <f t="shared" si="14"/>
        <v>61573866.475000001</v>
      </c>
      <c r="G180" s="98">
        <f>SUMIFS('Assumption-Worst'!$D$3:$D$32,'Assumption-Worst'!$A$3:$A$32,$B180,'Assumption-Worst'!$B$3:$B$32,$C180)</f>
        <v>6.4999999999999997E-3</v>
      </c>
      <c r="H180" s="99">
        <f t="shared" si="15"/>
        <v>400230.13208750001</v>
      </c>
      <c r="I180" s="97">
        <f>SUMIFS('Assumption-Worst'!$E$3:$E$32,'Assumption-Worst'!$A$3:$A$32,$B180,'Assumption-Worst'!$B$3:$B$32,$C180)</f>
        <v>0.32</v>
      </c>
      <c r="J180" s="19">
        <f t="shared" si="16"/>
        <v>128073.64226800001</v>
      </c>
      <c r="K180" s="100">
        <f>SUMIFS('Assumption-Worst'!$F$3:$F$32,'Assumption-Worst'!$A$3:$A$32,$B180,'Assumption-Worst'!$B$3:$B$32,$C180)</f>
        <v>2.0000000000000001E-4</v>
      </c>
      <c r="L180" s="19">
        <f t="shared" si="17"/>
        <v>12314.773295000001</v>
      </c>
      <c r="M180" s="99">
        <f t="shared" si="18"/>
        <v>259841.71652450002</v>
      </c>
      <c r="N180" s="97">
        <f>SUMIFS('Assumption-Worst'!$G$3:$G$32,'Assumption-Worst'!$A$3:$A$32,$B180,'Assumption-Worst'!$B$3:$B$32,$C180)</f>
        <v>0.45</v>
      </c>
      <c r="O180" s="19">
        <f t="shared" si="19"/>
        <v>180103.55943937501</v>
      </c>
      <c r="P180" s="99">
        <f t="shared" si="20"/>
        <v>79738.157085125014</v>
      </c>
    </row>
    <row r="181" spans="1:16" x14ac:dyDescent="0.35">
      <c r="A181" s="96" t="str">
        <f>LEFT('2025 actual v budget'!A181,4)&amp;"26"</f>
        <v>Jun-26</v>
      </c>
      <c r="B181" s="17" t="str">
        <f>'2025 actual v budget'!B181</f>
        <v>USA</v>
      </c>
      <c r="C181" s="17" t="str">
        <f>'2025 actual v budget'!C181</f>
        <v>Treasury Yield</v>
      </c>
      <c r="D181" s="19">
        <f>'2025 actual v budget'!D181</f>
        <v>14999009.08</v>
      </c>
      <c r="E181" s="97">
        <f>SUMIFS('Assumption-Worst'!$C$3:$C$32,'Assumption-Worst'!$A$3:$A$32,$B181,'Assumption-Worst'!$B$3:$B$32,$C181)</f>
        <v>0.05</v>
      </c>
      <c r="F181" s="19">
        <f t="shared" si="14"/>
        <v>15748959.534</v>
      </c>
      <c r="G181" s="98">
        <f>SUMIFS('Assumption-Worst'!$D$3:$D$32,'Assumption-Worst'!$A$3:$A$32,$B181,'Assumption-Worst'!$B$3:$B$32,$C181)</f>
        <v>3.0000000000000001E-3</v>
      </c>
      <c r="H181" s="99">
        <f t="shared" si="15"/>
        <v>47246.878602000004</v>
      </c>
      <c r="I181" s="97">
        <f>SUMIFS('Assumption-Worst'!$E$3:$E$32,'Assumption-Worst'!$A$3:$A$32,$B181,'Assumption-Worst'!$B$3:$B$32,$C181)</f>
        <v>0.18</v>
      </c>
      <c r="J181" s="19">
        <f t="shared" si="16"/>
        <v>8504.4381483600009</v>
      </c>
      <c r="K181" s="100">
        <f>SUMIFS('Assumption-Worst'!$F$3:$F$32,'Assumption-Worst'!$A$3:$A$32,$B181,'Assumption-Worst'!$B$3:$B$32,$C181)</f>
        <v>2.0000000000000001E-4</v>
      </c>
      <c r="L181" s="19">
        <f t="shared" si="17"/>
        <v>3149.7919068000001</v>
      </c>
      <c r="M181" s="99">
        <f t="shared" si="18"/>
        <v>35592.648546840006</v>
      </c>
      <c r="N181" s="97">
        <f>SUMIFS('Assumption-Worst'!$G$3:$G$32,'Assumption-Worst'!$A$3:$A$32,$B181,'Assumption-Worst'!$B$3:$B$32,$C181)</f>
        <v>0.45</v>
      </c>
      <c r="O181" s="19">
        <f t="shared" si="19"/>
        <v>21261.095370900002</v>
      </c>
      <c r="P181" s="99">
        <f t="shared" si="20"/>
        <v>14331.553175940004</v>
      </c>
    </row>
    <row r="182" spans="1:16" x14ac:dyDescent="0.35">
      <c r="A182" s="96" t="str">
        <f>LEFT('2025 actual v budget'!A182,4)&amp;"26"</f>
        <v>Jun-26</v>
      </c>
      <c r="B182" s="17" t="str">
        <f>'2025 actual v budget'!B182</f>
        <v>USA</v>
      </c>
      <c r="C182" s="17" t="str">
        <f>'2025 actual v budget'!C182</f>
        <v>Virtual Accounts</v>
      </c>
      <c r="D182" s="19">
        <f>'2025 actual v budget'!D182</f>
        <v>22806619.93</v>
      </c>
      <c r="E182" s="97">
        <f>SUMIFS('Assumption-Worst'!$C$3:$C$32,'Assumption-Worst'!$A$3:$A$32,$B182,'Assumption-Worst'!$B$3:$B$32,$C182)</f>
        <v>0.05</v>
      </c>
      <c r="F182" s="19">
        <f t="shared" si="14"/>
        <v>23946950.9265</v>
      </c>
      <c r="G182" s="98">
        <f>SUMIFS('Assumption-Worst'!$D$3:$D$32,'Assumption-Worst'!$A$3:$A$32,$B182,'Assumption-Worst'!$B$3:$B$32,$C182)</f>
        <v>4.4999999999999997E-3</v>
      </c>
      <c r="H182" s="99">
        <f t="shared" si="15"/>
        <v>107761.27916924999</v>
      </c>
      <c r="I182" s="97">
        <f>SUMIFS('Assumption-Worst'!$E$3:$E$32,'Assumption-Worst'!$A$3:$A$32,$B182,'Assumption-Worst'!$B$3:$B$32,$C182)</f>
        <v>0.22</v>
      </c>
      <c r="J182" s="19">
        <f t="shared" si="16"/>
        <v>23707.481417234998</v>
      </c>
      <c r="K182" s="100">
        <f>SUMIFS('Assumption-Worst'!$F$3:$F$32,'Assumption-Worst'!$A$3:$A$32,$B182,'Assumption-Worst'!$B$3:$B$32,$C182)</f>
        <v>2.0000000000000001E-4</v>
      </c>
      <c r="L182" s="19">
        <f t="shared" si="17"/>
        <v>4789.3901853000007</v>
      </c>
      <c r="M182" s="99">
        <f t="shared" si="18"/>
        <v>79264.407566714988</v>
      </c>
      <c r="N182" s="97">
        <f>SUMIFS('Assumption-Worst'!$G$3:$G$32,'Assumption-Worst'!$A$3:$A$32,$B182,'Assumption-Worst'!$B$3:$B$32,$C182)</f>
        <v>0.45</v>
      </c>
      <c r="O182" s="19">
        <f t="shared" si="19"/>
        <v>48492.575626162499</v>
      </c>
      <c r="P182" s="99">
        <f t="shared" si="20"/>
        <v>30771.831940552489</v>
      </c>
    </row>
    <row r="183" spans="1:16" x14ac:dyDescent="0.35">
      <c r="A183" s="91" t="str">
        <f>LEFT('2025 actual v budget'!A183,4)&amp;"26"</f>
        <v>Jul-26</v>
      </c>
      <c r="B183" s="12" t="str">
        <f>'2025 actual v budget'!B183</f>
        <v>Brazil</v>
      </c>
      <c r="C183" s="12" t="str">
        <f>'2025 actual v budget'!C183</f>
        <v>Cross-border Payouts</v>
      </c>
      <c r="D183" s="14">
        <f>'2025 actual v budget'!D183</f>
        <v>15554657.18</v>
      </c>
      <c r="E183" s="92">
        <f>SUMIFS('Assumption-Worst'!$C$3:$C$32,'Assumption-Worst'!$A$3:$A$32,$B183,'Assumption-Worst'!$B$3:$B$32,$C183)</f>
        <v>0.1</v>
      </c>
      <c r="F183" s="14">
        <f t="shared" si="14"/>
        <v>17110122.898000002</v>
      </c>
      <c r="G183" s="93">
        <f>SUMIFS('Assumption-Worst'!$D$3:$D$32,'Assumption-Worst'!$A$3:$A$32,$B183,'Assumption-Worst'!$B$3:$B$32,$C183)</f>
        <v>7.4999999999999997E-3</v>
      </c>
      <c r="H183" s="94">
        <f t="shared" si="15"/>
        <v>128325.92173500001</v>
      </c>
      <c r="I183" s="92">
        <f>SUMIFS('Assumption-Worst'!$E$3:$E$32,'Assumption-Worst'!$A$3:$A$32,$B183,'Assumption-Worst'!$B$3:$B$32,$C183)</f>
        <v>0.35</v>
      </c>
      <c r="J183" s="14">
        <f t="shared" si="16"/>
        <v>44914.072607250004</v>
      </c>
      <c r="K183" s="95">
        <f>SUMIFS('Assumption-Worst'!$F$3:$F$32,'Assumption-Worst'!$A$3:$A$32,$B183,'Assumption-Worst'!$B$3:$B$32,$C183)</f>
        <v>6.9999999999999994E-5</v>
      </c>
      <c r="L183" s="14">
        <f t="shared" si="17"/>
        <v>1197.7086028599999</v>
      </c>
      <c r="M183" s="94">
        <f t="shared" si="18"/>
        <v>82214.140524889997</v>
      </c>
      <c r="N183" s="92">
        <f>SUMIFS('Assumption-Worst'!$G$3:$G$32,'Assumption-Worst'!$A$3:$A$32,$B183,'Assumption-Worst'!$B$3:$B$32,$C183)</f>
        <v>0.45</v>
      </c>
      <c r="O183" s="14">
        <f t="shared" si="19"/>
        <v>57746.664780750005</v>
      </c>
      <c r="P183" s="94">
        <f t="shared" si="20"/>
        <v>24467.475744139992</v>
      </c>
    </row>
    <row r="184" spans="1:16" x14ac:dyDescent="0.35">
      <c r="A184" s="91" t="str">
        <f>LEFT('2025 actual v budget'!A184,4)&amp;"26"</f>
        <v>Jul-26</v>
      </c>
      <c r="B184" s="12" t="str">
        <f>'2025 actual v budget'!B184</f>
        <v>Brazil</v>
      </c>
      <c r="C184" s="12" t="str">
        <f>'2025 actual v budget'!C184</f>
        <v>FX Conversion</v>
      </c>
      <c r="D184" s="14">
        <f>'2025 actual v budget'!D184</f>
        <v>23902555.920000002</v>
      </c>
      <c r="E184" s="92">
        <f>SUMIFS('Assumption-Worst'!$C$3:$C$32,'Assumption-Worst'!$A$3:$A$32,$B184,'Assumption-Worst'!$B$3:$B$32,$C184)</f>
        <v>0.1</v>
      </c>
      <c r="F184" s="14">
        <f t="shared" si="14"/>
        <v>26292811.512000006</v>
      </c>
      <c r="G184" s="93">
        <f>SUMIFS('Assumption-Worst'!$D$3:$D$32,'Assumption-Worst'!$A$3:$A$32,$B184,'Assumption-Worst'!$B$3:$B$32,$C184)</f>
        <v>1.0500000000000001E-2</v>
      </c>
      <c r="H184" s="94">
        <f t="shared" si="15"/>
        <v>276074.52087600005</v>
      </c>
      <c r="I184" s="92">
        <f>SUMIFS('Assumption-Worst'!$E$3:$E$32,'Assumption-Worst'!$A$3:$A$32,$B184,'Assumption-Worst'!$B$3:$B$32,$C184)</f>
        <v>0.28000000000000003</v>
      </c>
      <c r="J184" s="14">
        <f t="shared" si="16"/>
        <v>77300.865845280015</v>
      </c>
      <c r="K184" s="95">
        <f>SUMIFS('Assumption-Worst'!$F$3:$F$32,'Assumption-Worst'!$A$3:$A$32,$B184,'Assumption-Worst'!$B$3:$B$32,$C184)</f>
        <v>6.9999999999999994E-5</v>
      </c>
      <c r="L184" s="14">
        <f t="shared" si="17"/>
        <v>1840.4968058400002</v>
      </c>
      <c r="M184" s="94">
        <f t="shared" si="18"/>
        <v>196933.15822488006</v>
      </c>
      <c r="N184" s="92">
        <f>SUMIFS('Assumption-Worst'!$G$3:$G$32,'Assumption-Worst'!$A$3:$A$32,$B184,'Assumption-Worst'!$B$3:$B$32,$C184)</f>
        <v>0.45</v>
      </c>
      <c r="O184" s="14">
        <f t="shared" si="19"/>
        <v>124233.53439420003</v>
      </c>
      <c r="P184" s="94">
        <f t="shared" si="20"/>
        <v>72699.623830680022</v>
      </c>
    </row>
    <row r="185" spans="1:16" x14ac:dyDescent="0.35">
      <c r="A185" s="91" t="str">
        <f>LEFT('2025 actual v budget'!A185,4)&amp;"26"</f>
        <v>Jul-26</v>
      </c>
      <c r="B185" s="12" t="str">
        <f>'2025 actual v budget'!B185</f>
        <v>Brazil</v>
      </c>
      <c r="C185" s="12" t="str">
        <f>'2025 actual v budget'!C185</f>
        <v>Stablecoin Settlement</v>
      </c>
      <c r="D185" s="14">
        <f>'2025 actual v budget'!D185</f>
        <v>37473712.109999999</v>
      </c>
      <c r="E185" s="92">
        <f>SUMIFS('Assumption-Worst'!$C$3:$C$32,'Assumption-Worst'!$A$3:$A$32,$B185,'Assumption-Worst'!$B$3:$B$32,$C185)</f>
        <v>0.2</v>
      </c>
      <c r="F185" s="14">
        <f t="shared" si="14"/>
        <v>44968454.531999998</v>
      </c>
      <c r="G185" s="93">
        <f>SUMIFS('Assumption-Worst'!$D$3:$D$32,'Assumption-Worst'!$A$3:$A$32,$B185,'Assumption-Worst'!$B$3:$B$32,$C185)</f>
        <v>6.4999999999999997E-3</v>
      </c>
      <c r="H185" s="94">
        <f t="shared" si="15"/>
        <v>292294.95445799996</v>
      </c>
      <c r="I185" s="92">
        <f>SUMIFS('Assumption-Worst'!$E$3:$E$32,'Assumption-Worst'!$A$3:$A$32,$B185,'Assumption-Worst'!$B$3:$B$32,$C185)</f>
        <v>0.32</v>
      </c>
      <c r="J185" s="14">
        <f t="shared" si="16"/>
        <v>93534.385426559995</v>
      </c>
      <c r="K185" s="95">
        <f>SUMIFS('Assumption-Worst'!$F$3:$F$32,'Assumption-Worst'!$A$3:$A$32,$B185,'Assumption-Worst'!$B$3:$B$32,$C185)</f>
        <v>6.9999999999999994E-5</v>
      </c>
      <c r="L185" s="14">
        <f t="shared" si="17"/>
        <v>3147.7918172399995</v>
      </c>
      <c r="M185" s="94">
        <f t="shared" si="18"/>
        <v>195612.77721419994</v>
      </c>
      <c r="N185" s="92">
        <f>SUMIFS('Assumption-Worst'!$G$3:$G$32,'Assumption-Worst'!$A$3:$A$32,$B185,'Assumption-Worst'!$B$3:$B$32,$C185)</f>
        <v>0.45</v>
      </c>
      <c r="O185" s="14">
        <f t="shared" si="19"/>
        <v>131532.72950609997</v>
      </c>
      <c r="P185" s="94">
        <f t="shared" si="20"/>
        <v>64080.04770809997</v>
      </c>
    </row>
    <row r="186" spans="1:16" x14ac:dyDescent="0.35">
      <c r="A186" s="91" t="str">
        <f>LEFT('2025 actual v budget'!A186,4)&amp;"26"</f>
        <v>Jul-26</v>
      </c>
      <c r="B186" s="12" t="str">
        <f>'2025 actual v budget'!B186</f>
        <v>Brazil</v>
      </c>
      <c r="C186" s="12" t="str">
        <f>'2025 actual v budget'!C186</f>
        <v>Treasury Yield</v>
      </c>
      <c r="D186" s="14">
        <f>'2025 actual v budget'!D186</f>
        <v>10110938.029999999</v>
      </c>
      <c r="E186" s="92">
        <f>SUMIFS('Assumption-Worst'!$C$3:$C$32,'Assumption-Worst'!$A$3:$A$32,$B186,'Assumption-Worst'!$B$3:$B$32,$C186)</f>
        <v>0.1</v>
      </c>
      <c r="F186" s="14">
        <f t="shared" si="14"/>
        <v>11122031.833000001</v>
      </c>
      <c r="G186" s="93">
        <f>SUMIFS('Assumption-Worst'!$D$3:$D$32,'Assumption-Worst'!$A$3:$A$32,$B186,'Assumption-Worst'!$B$3:$B$32,$C186)</f>
        <v>3.0000000000000001E-3</v>
      </c>
      <c r="H186" s="94">
        <f t="shared" si="15"/>
        <v>33366.095499000003</v>
      </c>
      <c r="I186" s="92">
        <f>SUMIFS('Assumption-Worst'!$E$3:$E$32,'Assumption-Worst'!$A$3:$A$32,$B186,'Assumption-Worst'!$B$3:$B$32,$C186)</f>
        <v>0.18</v>
      </c>
      <c r="J186" s="14">
        <f t="shared" si="16"/>
        <v>6005.8971898200007</v>
      </c>
      <c r="K186" s="95">
        <f>SUMIFS('Assumption-Worst'!$F$3:$F$32,'Assumption-Worst'!$A$3:$A$32,$B186,'Assumption-Worst'!$B$3:$B$32,$C186)</f>
        <v>6.9999999999999994E-5</v>
      </c>
      <c r="L186" s="14">
        <f t="shared" si="17"/>
        <v>778.54222830999993</v>
      </c>
      <c r="M186" s="94">
        <f t="shared" si="18"/>
        <v>26581.656080870001</v>
      </c>
      <c r="N186" s="92">
        <f>SUMIFS('Assumption-Worst'!$G$3:$G$32,'Assumption-Worst'!$A$3:$A$32,$B186,'Assumption-Worst'!$B$3:$B$32,$C186)</f>
        <v>0.45</v>
      </c>
      <c r="O186" s="14">
        <f t="shared" si="19"/>
        <v>15014.742974550001</v>
      </c>
      <c r="P186" s="94">
        <f t="shared" si="20"/>
        <v>11566.91310632</v>
      </c>
    </row>
    <row r="187" spans="1:16" x14ac:dyDescent="0.35">
      <c r="A187" s="91" t="str">
        <f>LEFT('2025 actual v budget'!A187,4)&amp;"26"</f>
        <v>Jul-26</v>
      </c>
      <c r="B187" s="12" t="str">
        <f>'2025 actual v budget'!B187</f>
        <v>Brazil</v>
      </c>
      <c r="C187" s="12" t="str">
        <f>'2025 actual v budget'!C187</f>
        <v>Virtual Accounts</v>
      </c>
      <c r="D187" s="14">
        <f>'2025 actual v budget'!D187</f>
        <v>14891813.970000001</v>
      </c>
      <c r="E187" s="92">
        <f>SUMIFS('Assumption-Worst'!$C$3:$C$32,'Assumption-Worst'!$A$3:$A$32,$B187,'Assumption-Worst'!$B$3:$B$32,$C187)</f>
        <v>0.1</v>
      </c>
      <c r="F187" s="14">
        <f t="shared" si="14"/>
        <v>16380995.367000002</v>
      </c>
      <c r="G187" s="93">
        <f>SUMIFS('Assumption-Worst'!$D$3:$D$32,'Assumption-Worst'!$A$3:$A$32,$B187,'Assumption-Worst'!$B$3:$B$32,$C187)</f>
        <v>4.4999999999999997E-3</v>
      </c>
      <c r="H187" s="94">
        <f t="shared" si="15"/>
        <v>73714.479151500011</v>
      </c>
      <c r="I187" s="92">
        <f>SUMIFS('Assumption-Worst'!$E$3:$E$32,'Assumption-Worst'!$A$3:$A$32,$B187,'Assumption-Worst'!$B$3:$B$32,$C187)</f>
        <v>0.22</v>
      </c>
      <c r="J187" s="14">
        <f t="shared" si="16"/>
        <v>16217.185413330002</v>
      </c>
      <c r="K187" s="95">
        <f>SUMIFS('Assumption-Worst'!$F$3:$F$32,'Assumption-Worst'!$A$3:$A$32,$B187,'Assumption-Worst'!$B$3:$B$32,$C187)</f>
        <v>6.9999999999999994E-5</v>
      </c>
      <c r="L187" s="14">
        <f t="shared" si="17"/>
        <v>1146.6696756900001</v>
      </c>
      <c r="M187" s="94">
        <f t="shared" si="18"/>
        <v>56350.624062480012</v>
      </c>
      <c r="N187" s="92">
        <f>SUMIFS('Assumption-Worst'!$G$3:$G$32,'Assumption-Worst'!$A$3:$A$32,$B187,'Assumption-Worst'!$B$3:$B$32,$C187)</f>
        <v>0.45</v>
      </c>
      <c r="O187" s="14">
        <f t="shared" si="19"/>
        <v>33171.515618175006</v>
      </c>
      <c r="P187" s="94">
        <f t="shared" si="20"/>
        <v>23179.108444305006</v>
      </c>
    </row>
    <row r="188" spans="1:16" x14ac:dyDescent="0.35">
      <c r="A188" s="91" t="str">
        <f>LEFT('2025 actual v budget'!A188,4)&amp;"26"</f>
        <v>Jul-26</v>
      </c>
      <c r="B188" s="12" t="str">
        <f>'2025 actual v budget'!B188</f>
        <v>Germany</v>
      </c>
      <c r="C188" s="12" t="str">
        <f>'2025 actual v budget'!C188</f>
        <v>Cross-border Payouts</v>
      </c>
      <c r="D188" s="14">
        <f>'2025 actual v budget'!D188</f>
        <v>7536090.3499999996</v>
      </c>
      <c r="E188" s="92">
        <f>SUMIFS('Assumption-Worst'!$C$3:$C$32,'Assumption-Worst'!$A$3:$A$32,$B188,'Assumption-Worst'!$B$3:$B$32,$C188)</f>
        <v>0.03</v>
      </c>
      <c r="F188" s="14">
        <f t="shared" si="14"/>
        <v>7762173.0604999997</v>
      </c>
      <c r="G188" s="93">
        <f>SUMIFS('Assumption-Worst'!$D$3:$D$32,'Assumption-Worst'!$A$3:$A$32,$B188,'Assumption-Worst'!$B$3:$B$32,$C188)</f>
        <v>7.4999999999999997E-3</v>
      </c>
      <c r="H188" s="94">
        <f t="shared" si="15"/>
        <v>58216.297953749992</v>
      </c>
      <c r="I188" s="92">
        <f>SUMIFS('Assumption-Worst'!$E$3:$E$32,'Assumption-Worst'!$A$3:$A$32,$B188,'Assumption-Worst'!$B$3:$B$32,$C188)</f>
        <v>0.35</v>
      </c>
      <c r="J188" s="14">
        <f t="shared" si="16"/>
        <v>20375.704283812494</v>
      </c>
      <c r="K188" s="95">
        <f>SUMIFS('Assumption-Worst'!$F$3:$F$32,'Assumption-Worst'!$A$3:$A$32,$B188,'Assumption-Worst'!$B$3:$B$32,$C188)</f>
        <v>1.4999999999999999E-4</v>
      </c>
      <c r="L188" s="14">
        <f t="shared" si="17"/>
        <v>1164.3259590749999</v>
      </c>
      <c r="M188" s="94">
        <f t="shared" si="18"/>
        <v>36676.267710862499</v>
      </c>
      <c r="N188" s="92">
        <f>SUMIFS('Assumption-Worst'!$G$3:$G$32,'Assumption-Worst'!$A$3:$A$32,$B188,'Assumption-Worst'!$B$3:$B$32,$C188)</f>
        <v>0.45</v>
      </c>
      <c r="O188" s="14">
        <f t="shared" si="19"/>
        <v>26197.334079187498</v>
      </c>
      <c r="P188" s="94">
        <f t="shared" si="20"/>
        <v>10478.933631675001</v>
      </c>
    </row>
    <row r="189" spans="1:16" x14ac:dyDescent="0.35">
      <c r="A189" s="91" t="str">
        <f>LEFT('2025 actual v budget'!A189,4)&amp;"26"</f>
        <v>Jul-26</v>
      </c>
      <c r="B189" s="12" t="str">
        <f>'2025 actual v budget'!B189</f>
        <v>Germany</v>
      </c>
      <c r="C189" s="12" t="str">
        <f>'2025 actual v budget'!C189</f>
        <v>FX Conversion</v>
      </c>
      <c r="D189" s="14">
        <f>'2025 actual v budget'!D189</f>
        <v>11574300.24</v>
      </c>
      <c r="E189" s="92">
        <f>SUMIFS('Assumption-Worst'!$C$3:$C$32,'Assumption-Worst'!$A$3:$A$32,$B189,'Assumption-Worst'!$B$3:$B$32,$C189)</f>
        <v>0.03</v>
      </c>
      <c r="F189" s="14">
        <f t="shared" si="14"/>
        <v>11921529.247200001</v>
      </c>
      <c r="G189" s="93">
        <f>SUMIFS('Assumption-Worst'!$D$3:$D$32,'Assumption-Worst'!$A$3:$A$32,$B189,'Assumption-Worst'!$B$3:$B$32,$C189)</f>
        <v>1.0500000000000001E-2</v>
      </c>
      <c r="H189" s="94">
        <f t="shared" si="15"/>
        <v>125176.05709560002</v>
      </c>
      <c r="I189" s="92">
        <f>SUMIFS('Assumption-Worst'!$E$3:$E$32,'Assumption-Worst'!$A$3:$A$32,$B189,'Assumption-Worst'!$B$3:$B$32,$C189)</f>
        <v>0.28000000000000003</v>
      </c>
      <c r="J189" s="14">
        <f t="shared" si="16"/>
        <v>35049.295986768011</v>
      </c>
      <c r="K189" s="95">
        <f>SUMIFS('Assumption-Worst'!$F$3:$F$32,'Assumption-Worst'!$A$3:$A$32,$B189,'Assumption-Worst'!$B$3:$B$32,$C189)</f>
        <v>1.4999999999999999E-4</v>
      </c>
      <c r="L189" s="14">
        <f t="shared" si="17"/>
        <v>1788.2293870799999</v>
      </c>
      <c r="M189" s="94">
        <f t="shared" si="18"/>
        <v>88338.531721751991</v>
      </c>
      <c r="N189" s="92">
        <f>SUMIFS('Assumption-Worst'!$G$3:$G$32,'Assumption-Worst'!$A$3:$A$32,$B189,'Assumption-Worst'!$B$3:$B$32,$C189)</f>
        <v>0.45</v>
      </c>
      <c r="O189" s="14">
        <f t="shared" si="19"/>
        <v>56329.225693020009</v>
      </c>
      <c r="P189" s="94">
        <f t="shared" si="20"/>
        <v>32009.306028731982</v>
      </c>
    </row>
    <row r="190" spans="1:16" x14ac:dyDescent="0.35">
      <c r="A190" s="91" t="str">
        <f>LEFT('2025 actual v budget'!A190,4)&amp;"26"</f>
        <v>Jul-26</v>
      </c>
      <c r="B190" s="12" t="str">
        <f>'2025 actual v budget'!B190</f>
        <v>Germany</v>
      </c>
      <c r="C190" s="12" t="str">
        <f>'2025 actual v budget'!C190</f>
        <v>Stablecoin Settlement</v>
      </c>
      <c r="D190" s="14">
        <f>'2025 actual v budget'!D190</f>
        <v>18155673.690000001</v>
      </c>
      <c r="E190" s="92">
        <f>SUMIFS('Assumption-Worst'!$C$3:$C$32,'Assumption-Worst'!$A$3:$A$32,$B190,'Assumption-Worst'!$B$3:$B$32,$C190)</f>
        <v>0.06</v>
      </c>
      <c r="F190" s="14">
        <f t="shared" si="14"/>
        <v>19245014.111400001</v>
      </c>
      <c r="G190" s="93">
        <f>SUMIFS('Assumption-Worst'!$D$3:$D$32,'Assumption-Worst'!$A$3:$A$32,$B190,'Assumption-Worst'!$B$3:$B$32,$C190)</f>
        <v>6.4999999999999997E-3</v>
      </c>
      <c r="H190" s="94">
        <f t="shared" si="15"/>
        <v>125092.5917241</v>
      </c>
      <c r="I190" s="92">
        <f>SUMIFS('Assumption-Worst'!$E$3:$E$32,'Assumption-Worst'!$A$3:$A$32,$B190,'Assumption-Worst'!$B$3:$B$32,$C190)</f>
        <v>0.32</v>
      </c>
      <c r="J190" s="14">
        <f t="shared" si="16"/>
        <v>40029.629351711999</v>
      </c>
      <c r="K190" s="95">
        <f>SUMIFS('Assumption-Worst'!$F$3:$F$32,'Assumption-Worst'!$A$3:$A$32,$B190,'Assumption-Worst'!$B$3:$B$32,$C190)</f>
        <v>1.4999999999999999E-4</v>
      </c>
      <c r="L190" s="14">
        <f t="shared" si="17"/>
        <v>2886.7521167099999</v>
      </c>
      <c r="M190" s="94">
        <f t="shared" si="18"/>
        <v>82176.210255677986</v>
      </c>
      <c r="N190" s="92">
        <f>SUMIFS('Assumption-Worst'!$G$3:$G$32,'Assumption-Worst'!$A$3:$A$32,$B190,'Assumption-Worst'!$B$3:$B$32,$C190)</f>
        <v>0.45</v>
      </c>
      <c r="O190" s="14">
        <f t="shared" si="19"/>
        <v>56291.666275845004</v>
      </c>
      <c r="P190" s="94">
        <f t="shared" si="20"/>
        <v>25884.543979832983</v>
      </c>
    </row>
    <row r="191" spans="1:16" x14ac:dyDescent="0.35">
      <c r="A191" s="91" t="str">
        <f>LEFT('2025 actual v budget'!A191,4)&amp;"26"</f>
        <v>Jul-26</v>
      </c>
      <c r="B191" s="12" t="str">
        <f>'2025 actual v budget'!B191</f>
        <v>Germany</v>
      </c>
      <c r="C191" s="12" t="str">
        <f>'2025 actual v budget'!C191</f>
        <v>Treasury Yield</v>
      </c>
      <c r="D191" s="14">
        <f>'2025 actual v budget'!D191</f>
        <v>4896004.96</v>
      </c>
      <c r="E191" s="92">
        <f>SUMIFS('Assumption-Worst'!$C$3:$C$32,'Assumption-Worst'!$A$3:$A$32,$B191,'Assumption-Worst'!$B$3:$B$32,$C191)</f>
        <v>0.03</v>
      </c>
      <c r="F191" s="14">
        <f t="shared" si="14"/>
        <v>5042885.1088000005</v>
      </c>
      <c r="G191" s="93">
        <f>SUMIFS('Assumption-Worst'!$D$3:$D$32,'Assumption-Worst'!$A$3:$A$32,$B191,'Assumption-Worst'!$B$3:$B$32,$C191)</f>
        <v>3.0000000000000001E-3</v>
      </c>
      <c r="H191" s="94">
        <f t="shared" si="15"/>
        <v>15128.655326400001</v>
      </c>
      <c r="I191" s="92">
        <f>SUMIFS('Assumption-Worst'!$E$3:$E$32,'Assumption-Worst'!$A$3:$A$32,$B191,'Assumption-Worst'!$B$3:$B$32,$C191)</f>
        <v>0.18</v>
      </c>
      <c r="J191" s="14">
        <f t="shared" si="16"/>
        <v>2723.157958752</v>
      </c>
      <c r="K191" s="95">
        <f>SUMIFS('Assumption-Worst'!$F$3:$F$32,'Assumption-Worst'!$A$3:$A$32,$B191,'Assumption-Worst'!$B$3:$B$32,$C191)</f>
        <v>1.4999999999999999E-4</v>
      </c>
      <c r="L191" s="14">
        <f t="shared" si="17"/>
        <v>756.43276632000004</v>
      </c>
      <c r="M191" s="94">
        <f t="shared" si="18"/>
        <v>11649.064601328</v>
      </c>
      <c r="N191" s="92">
        <f>SUMIFS('Assumption-Worst'!$G$3:$G$32,'Assumption-Worst'!$A$3:$A$32,$B191,'Assumption-Worst'!$B$3:$B$32,$C191)</f>
        <v>0.45</v>
      </c>
      <c r="O191" s="14">
        <f t="shared" si="19"/>
        <v>6807.8948968800005</v>
      </c>
      <c r="P191" s="94">
        <f t="shared" si="20"/>
        <v>4841.1697044479997</v>
      </c>
    </row>
    <row r="192" spans="1:16" x14ac:dyDescent="0.35">
      <c r="A192" s="91" t="str">
        <f>LEFT('2025 actual v budget'!A192,4)&amp;"26"</f>
        <v>Jul-26</v>
      </c>
      <c r="B192" s="12" t="str">
        <f>'2025 actual v budget'!B192</f>
        <v>Germany</v>
      </c>
      <c r="C192" s="12" t="str">
        <f>'2025 actual v budget'!C192</f>
        <v>Virtual Accounts</v>
      </c>
      <c r="D192" s="14">
        <f>'2025 actual v budget'!D192</f>
        <v>7211041.6399999997</v>
      </c>
      <c r="E192" s="92">
        <f>SUMIFS('Assumption-Worst'!$C$3:$C$32,'Assumption-Worst'!$A$3:$A$32,$B192,'Assumption-Worst'!$B$3:$B$32,$C192)</f>
        <v>0.03</v>
      </c>
      <c r="F192" s="14">
        <f t="shared" si="14"/>
        <v>7427372.8892000001</v>
      </c>
      <c r="G192" s="93">
        <f>SUMIFS('Assumption-Worst'!$D$3:$D$32,'Assumption-Worst'!$A$3:$A$32,$B192,'Assumption-Worst'!$B$3:$B$32,$C192)</f>
        <v>4.4999999999999997E-3</v>
      </c>
      <c r="H192" s="94">
        <f t="shared" si="15"/>
        <v>33423.178001399996</v>
      </c>
      <c r="I192" s="92">
        <f>SUMIFS('Assumption-Worst'!$E$3:$E$32,'Assumption-Worst'!$A$3:$A$32,$B192,'Assumption-Worst'!$B$3:$B$32,$C192)</f>
        <v>0.22</v>
      </c>
      <c r="J192" s="14">
        <f t="shared" si="16"/>
        <v>7353.0991603079992</v>
      </c>
      <c r="K192" s="95">
        <f>SUMIFS('Assumption-Worst'!$F$3:$F$32,'Assumption-Worst'!$A$3:$A$32,$B192,'Assumption-Worst'!$B$3:$B$32,$C192)</f>
        <v>1.4999999999999999E-4</v>
      </c>
      <c r="L192" s="14">
        <f t="shared" si="17"/>
        <v>1114.1059333799999</v>
      </c>
      <c r="M192" s="94">
        <f t="shared" si="18"/>
        <v>24955.972907711996</v>
      </c>
      <c r="N192" s="92">
        <f>SUMIFS('Assumption-Worst'!$G$3:$G$32,'Assumption-Worst'!$A$3:$A$32,$B192,'Assumption-Worst'!$B$3:$B$32,$C192)</f>
        <v>0.45</v>
      </c>
      <c r="O192" s="14">
        <f t="shared" si="19"/>
        <v>15040.430100629999</v>
      </c>
      <c r="P192" s="94">
        <f t="shared" si="20"/>
        <v>9915.5428070819962</v>
      </c>
    </row>
    <row r="193" spans="1:16" x14ac:dyDescent="0.35">
      <c r="A193" s="91" t="str">
        <f>LEFT('2025 actual v budget'!A193,4)&amp;"26"</f>
        <v>Jul-26</v>
      </c>
      <c r="B193" s="12" t="str">
        <f>'2025 actual v budget'!B193</f>
        <v>India</v>
      </c>
      <c r="C193" s="12" t="str">
        <f>'2025 actual v budget'!C193</f>
        <v>Cross-border Payouts</v>
      </c>
      <c r="D193" s="14">
        <f>'2025 actual v budget'!D193</f>
        <v>10576161.08</v>
      </c>
      <c r="E193" s="92">
        <f>SUMIFS('Assumption-Worst'!$C$3:$C$32,'Assumption-Worst'!$A$3:$A$32,$B193,'Assumption-Worst'!$B$3:$B$32,$C193)</f>
        <v>0.06</v>
      </c>
      <c r="F193" s="14">
        <f t="shared" si="14"/>
        <v>11210730.744800001</v>
      </c>
      <c r="G193" s="93">
        <f>SUMIFS('Assumption-Worst'!$D$3:$D$32,'Assumption-Worst'!$A$3:$A$32,$B193,'Assumption-Worst'!$B$3:$B$32,$C193)</f>
        <v>7.4999999999999997E-3</v>
      </c>
      <c r="H193" s="94">
        <f t="shared" si="15"/>
        <v>84080.480586000005</v>
      </c>
      <c r="I193" s="92">
        <f>SUMIFS('Assumption-Worst'!$E$3:$E$32,'Assumption-Worst'!$A$3:$A$32,$B193,'Assumption-Worst'!$B$3:$B$32,$C193)</f>
        <v>0.35</v>
      </c>
      <c r="J193" s="14">
        <f t="shared" si="16"/>
        <v>29428.168205099999</v>
      </c>
      <c r="K193" s="95">
        <f>SUMIFS('Assumption-Worst'!$F$3:$F$32,'Assumption-Worst'!$A$3:$A$32,$B193,'Assumption-Worst'!$B$3:$B$32,$C193)</f>
        <v>1.8000000000000001E-4</v>
      </c>
      <c r="L193" s="14">
        <f t="shared" si="17"/>
        <v>2017.9315340640003</v>
      </c>
      <c r="M193" s="94">
        <f t="shared" si="18"/>
        <v>52634.380846836008</v>
      </c>
      <c r="N193" s="92">
        <f>SUMIFS('Assumption-Worst'!$G$3:$G$32,'Assumption-Worst'!$A$3:$A$32,$B193,'Assumption-Worst'!$B$3:$B$32,$C193)</f>
        <v>0.45</v>
      </c>
      <c r="O193" s="14">
        <f t="shared" si="19"/>
        <v>37836.2162637</v>
      </c>
      <c r="P193" s="94">
        <f t="shared" si="20"/>
        <v>14798.164583136007</v>
      </c>
    </row>
    <row r="194" spans="1:16" x14ac:dyDescent="0.35">
      <c r="A194" s="91" t="str">
        <f>LEFT('2025 actual v budget'!A194,4)&amp;"26"</f>
        <v>Jul-26</v>
      </c>
      <c r="B194" s="12" t="str">
        <f>'2025 actual v budget'!B194</f>
        <v>India</v>
      </c>
      <c r="C194" s="12" t="str">
        <f>'2025 actual v budget'!C194</f>
        <v>FX Conversion</v>
      </c>
      <c r="D194" s="14">
        <f>'2025 actual v budget'!D194</f>
        <v>16256471.66</v>
      </c>
      <c r="E194" s="92">
        <f>SUMIFS('Assumption-Worst'!$C$3:$C$32,'Assumption-Worst'!$A$3:$A$32,$B194,'Assumption-Worst'!$B$3:$B$32,$C194)</f>
        <v>0.06</v>
      </c>
      <c r="F194" s="14">
        <f t="shared" si="14"/>
        <v>17231859.959600002</v>
      </c>
      <c r="G194" s="93">
        <f>SUMIFS('Assumption-Worst'!$D$3:$D$32,'Assumption-Worst'!$A$3:$A$32,$B194,'Assumption-Worst'!$B$3:$B$32,$C194)</f>
        <v>1.0500000000000001E-2</v>
      </c>
      <c r="H194" s="94">
        <f t="shared" si="15"/>
        <v>180934.52957580003</v>
      </c>
      <c r="I194" s="92">
        <f>SUMIFS('Assumption-Worst'!$E$3:$E$32,'Assumption-Worst'!$A$3:$A$32,$B194,'Assumption-Worst'!$B$3:$B$32,$C194)</f>
        <v>0.28000000000000003</v>
      </c>
      <c r="J194" s="14">
        <f t="shared" si="16"/>
        <v>50661.668281224011</v>
      </c>
      <c r="K194" s="95">
        <f>SUMIFS('Assumption-Worst'!$F$3:$F$32,'Assumption-Worst'!$A$3:$A$32,$B194,'Assumption-Worst'!$B$3:$B$32,$C194)</f>
        <v>1.8000000000000001E-4</v>
      </c>
      <c r="L194" s="14">
        <f t="shared" si="17"/>
        <v>3101.7347927280007</v>
      </c>
      <c r="M194" s="94">
        <f t="shared" si="18"/>
        <v>127171.12650184802</v>
      </c>
      <c r="N194" s="92">
        <f>SUMIFS('Assumption-Worst'!$G$3:$G$32,'Assumption-Worst'!$A$3:$A$32,$B194,'Assumption-Worst'!$B$3:$B$32,$C194)</f>
        <v>0.45</v>
      </c>
      <c r="O194" s="14">
        <f t="shared" si="19"/>
        <v>81420.538309110008</v>
      </c>
      <c r="P194" s="94">
        <f t="shared" si="20"/>
        <v>45750.588192738011</v>
      </c>
    </row>
    <row r="195" spans="1:16" x14ac:dyDescent="0.35">
      <c r="A195" s="91" t="str">
        <f>LEFT('2025 actual v budget'!A195,4)&amp;"26"</f>
        <v>Jul-26</v>
      </c>
      <c r="B195" s="12" t="str">
        <f>'2025 actual v budget'!B195</f>
        <v>India</v>
      </c>
      <c r="C195" s="12" t="str">
        <f>'2025 actual v budget'!C195</f>
        <v>Stablecoin Settlement</v>
      </c>
      <c r="D195" s="14">
        <f>'2025 actual v budget'!D195</f>
        <v>25479701.079999998</v>
      </c>
      <c r="E195" s="92">
        <f>SUMIFS('Assumption-Worst'!$C$3:$C$32,'Assumption-Worst'!$A$3:$A$32,$B195,'Assumption-Worst'!$B$3:$B$32,$C195)</f>
        <v>0.12</v>
      </c>
      <c r="F195" s="14">
        <f t="shared" ref="F195:F258" si="21">D195*(1+E195)</f>
        <v>28537265.209600002</v>
      </c>
      <c r="G195" s="93">
        <f>SUMIFS('Assumption-Worst'!$D$3:$D$32,'Assumption-Worst'!$A$3:$A$32,$B195,'Assumption-Worst'!$B$3:$B$32,$C195)</f>
        <v>6.4999999999999997E-3</v>
      </c>
      <c r="H195" s="94">
        <f t="shared" ref="H195:H258" si="22">F195*G195</f>
        <v>185492.22386239999</v>
      </c>
      <c r="I195" s="92">
        <f>SUMIFS('Assumption-Worst'!$E$3:$E$32,'Assumption-Worst'!$A$3:$A$32,$B195,'Assumption-Worst'!$B$3:$B$32,$C195)</f>
        <v>0.32</v>
      </c>
      <c r="J195" s="14">
        <f t="shared" ref="J195:J258" si="23">H195*I195</f>
        <v>59357.511635967996</v>
      </c>
      <c r="K195" s="95">
        <f>SUMIFS('Assumption-Worst'!$F$3:$F$32,'Assumption-Worst'!$A$3:$A$32,$B195,'Assumption-Worst'!$B$3:$B$32,$C195)</f>
        <v>1.8000000000000001E-4</v>
      </c>
      <c r="L195" s="14">
        <f t="shared" ref="L195:L258" si="24">F195*K195</f>
        <v>5136.7077377280002</v>
      </c>
      <c r="M195" s="94">
        <f t="shared" ref="M195:M258" si="25">H195-J195-L195</f>
        <v>120998.004488704</v>
      </c>
      <c r="N195" s="92">
        <f>SUMIFS('Assumption-Worst'!$G$3:$G$32,'Assumption-Worst'!$A$3:$A$32,$B195,'Assumption-Worst'!$B$3:$B$32,$C195)</f>
        <v>0.45</v>
      </c>
      <c r="O195" s="14">
        <f t="shared" ref="O195:O258" si="26">H195*N195</f>
        <v>83471.500738079994</v>
      </c>
      <c r="P195" s="94">
        <f t="shared" ref="P195:P258" si="27">M195-O195</f>
        <v>37526.503750624004</v>
      </c>
    </row>
    <row r="196" spans="1:16" x14ac:dyDescent="0.35">
      <c r="A196" s="91" t="str">
        <f>LEFT('2025 actual v budget'!A196,4)&amp;"26"</f>
        <v>Jul-26</v>
      </c>
      <c r="B196" s="12" t="str">
        <f>'2025 actual v budget'!B196</f>
        <v>India</v>
      </c>
      <c r="C196" s="12" t="str">
        <f>'2025 actual v budget'!C196</f>
        <v>Treasury Yield</v>
      </c>
      <c r="D196" s="14">
        <f>'2025 actual v budget'!D196</f>
        <v>6876594.2000000002</v>
      </c>
      <c r="E196" s="92">
        <f>SUMIFS('Assumption-Worst'!$C$3:$C$32,'Assumption-Worst'!$A$3:$A$32,$B196,'Assumption-Worst'!$B$3:$B$32,$C196)</f>
        <v>0.06</v>
      </c>
      <c r="F196" s="14">
        <f t="shared" si="21"/>
        <v>7289189.8520000009</v>
      </c>
      <c r="G196" s="93">
        <f>SUMIFS('Assumption-Worst'!$D$3:$D$32,'Assumption-Worst'!$A$3:$A$32,$B196,'Assumption-Worst'!$B$3:$B$32,$C196)</f>
        <v>3.0000000000000001E-3</v>
      </c>
      <c r="H196" s="94">
        <f t="shared" si="22"/>
        <v>21867.569556000002</v>
      </c>
      <c r="I196" s="92">
        <f>SUMIFS('Assumption-Worst'!$E$3:$E$32,'Assumption-Worst'!$A$3:$A$32,$B196,'Assumption-Worst'!$B$3:$B$32,$C196)</f>
        <v>0.18</v>
      </c>
      <c r="J196" s="14">
        <f t="shared" si="23"/>
        <v>3936.1625200800004</v>
      </c>
      <c r="K196" s="95">
        <f>SUMIFS('Assumption-Worst'!$F$3:$F$32,'Assumption-Worst'!$A$3:$A$32,$B196,'Assumption-Worst'!$B$3:$B$32,$C196)</f>
        <v>1.8000000000000001E-4</v>
      </c>
      <c r="L196" s="14">
        <f t="shared" si="24"/>
        <v>1312.0541733600003</v>
      </c>
      <c r="M196" s="94">
        <f t="shared" si="25"/>
        <v>16619.352862560001</v>
      </c>
      <c r="N196" s="92">
        <f>SUMIFS('Assumption-Worst'!$G$3:$G$32,'Assumption-Worst'!$A$3:$A$32,$B196,'Assumption-Worst'!$B$3:$B$32,$C196)</f>
        <v>0.45</v>
      </c>
      <c r="O196" s="14">
        <f t="shared" si="26"/>
        <v>9840.4063002000021</v>
      </c>
      <c r="P196" s="94">
        <f t="shared" si="27"/>
        <v>6778.946562359999</v>
      </c>
    </row>
    <row r="197" spans="1:16" x14ac:dyDescent="0.35">
      <c r="A197" s="91" t="str">
        <f>LEFT('2025 actual v budget'!A197,4)&amp;"26"</f>
        <v>Jul-26</v>
      </c>
      <c r="B197" s="12" t="str">
        <f>'2025 actual v budget'!B197</f>
        <v>India</v>
      </c>
      <c r="C197" s="12" t="str">
        <f>'2025 actual v budget'!C197</f>
        <v>Virtual Accounts</v>
      </c>
      <c r="D197" s="14">
        <f>'2025 actual v budget'!D197</f>
        <v>10128136.609999999</v>
      </c>
      <c r="E197" s="92">
        <f>SUMIFS('Assumption-Worst'!$C$3:$C$32,'Assumption-Worst'!$A$3:$A$32,$B197,'Assumption-Worst'!$B$3:$B$32,$C197)</f>
        <v>0.06</v>
      </c>
      <c r="F197" s="14">
        <f t="shared" si="21"/>
        <v>10735824.806600001</v>
      </c>
      <c r="G197" s="93">
        <f>SUMIFS('Assumption-Worst'!$D$3:$D$32,'Assumption-Worst'!$A$3:$A$32,$B197,'Assumption-Worst'!$B$3:$B$32,$C197)</f>
        <v>4.4999999999999997E-3</v>
      </c>
      <c r="H197" s="94">
        <f t="shared" si="22"/>
        <v>48311.211629700003</v>
      </c>
      <c r="I197" s="92">
        <f>SUMIFS('Assumption-Worst'!$E$3:$E$32,'Assumption-Worst'!$A$3:$A$32,$B197,'Assumption-Worst'!$B$3:$B$32,$C197)</f>
        <v>0.22</v>
      </c>
      <c r="J197" s="14">
        <f t="shared" si="23"/>
        <v>10628.466558534001</v>
      </c>
      <c r="K197" s="95">
        <f>SUMIFS('Assumption-Worst'!$F$3:$F$32,'Assumption-Worst'!$A$3:$A$32,$B197,'Assumption-Worst'!$B$3:$B$32,$C197)</f>
        <v>1.8000000000000001E-4</v>
      </c>
      <c r="L197" s="14">
        <f t="shared" si="24"/>
        <v>1932.4484651880002</v>
      </c>
      <c r="M197" s="94">
        <f t="shared" si="25"/>
        <v>35750.296605978008</v>
      </c>
      <c r="N197" s="92">
        <f>SUMIFS('Assumption-Worst'!$G$3:$G$32,'Assumption-Worst'!$A$3:$A$32,$B197,'Assumption-Worst'!$B$3:$B$32,$C197)</f>
        <v>0.45</v>
      </c>
      <c r="O197" s="14">
        <f t="shared" si="26"/>
        <v>21740.045233365003</v>
      </c>
      <c r="P197" s="94">
        <f t="shared" si="27"/>
        <v>14010.251372613006</v>
      </c>
    </row>
    <row r="198" spans="1:16" x14ac:dyDescent="0.35">
      <c r="A198" s="91" t="str">
        <f>LEFT('2025 actual v budget'!A198,4)&amp;"26"</f>
        <v>Jul-26</v>
      </c>
      <c r="B198" s="12" t="str">
        <f>'2025 actual v budget'!B198</f>
        <v>Mexico</v>
      </c>
      <c r="C198" s="12" t="str">
        <f>'2025 actual v budget'!C198</f>
        <v>Cross-border Payouts</v>
      </c>
      <c r="D198" s="14">
        <f>'2025 actual v budget'!D198</f>
        <v>12569850.51</v>
      </c>
      <c r="E198" s="92">
        <f>SUMIFS('Assumption-Worst'!$C$3:$C$32,'Assumption-Worst'!$A$3:$A$32,$B198,'Assumption-Worst'!$B$3:$B$32,$C198)</f>
        <v>7.4999999999999997E-2</v>
      </c>
      <c r="F198" s="14">
        <f t="shared" si="21"/>
        <v>13512589.298249999</v>
      </c>
      <c r="G198" s="93">
        <f>SUMIFS('Assumption-Worst'!$D$3:$D$32,'Assumption-Worst'!$A$3:$A$32,$B198,'Assumption-Worst'!$B$3:$B$32,$C198)</f>
        <v>7.4999999999999997E-3</v>
      </c>
      <c r="H198" s="94">
        <f t="shared" si="22"/>
        <v>101344.41973687499</v>
      </c>
      <c r="I198" s="92">
        <f>SUMIFS('Assumption-Worst'!$E$3:$E$32,'Assumption-Worst'!$A$3:$A$32,$B198,'Assumption-Worst'!$B$3:$B$32,$C198)</f>
        <v>0.35</v>
      </c>
      <c r="J198" s="14">
        <f t="shared" si="23"/>
        <v>35470.546907906246</v>
      </c>
      <c r="K198" s="95">
        <f>SUMIFS('Assumption-Worst'!$F$3:$F$32,'Assumption-Worst'!$A$3:$A$32,$B198,'Assumption-Worst'!$B$3:$B$32,$C198)</f>
        <v>8.0000000000000007E-5</v>
      </c>
      <c r="L198" s="14">
        <f t="shared" si="24"/>
        <v>1081.00714386</v>
      </c>
      <c r="M198" s="94">
        <f t="shared" si="25"/>
        <v>64792.865685108743</v>
      </c>
      <c r="N198" s="92">
        <f>SUMIFS('Assumption-Worst'!$G$3:$G$32,'Assumption-Worst'!$A$3:$A$32,$B198,'Assumption-Worst'!$B$3:$B$32,$C198)</f>
        <v>0.45</v>
      </c>
      <c r="O198" s="14">
        <f t="shared" si="26"/>
        <v>45604.988881593745</v>
      </c>
      <c r="P198" s="94">
        <f t="shared" si="27"/>
        <v>19187.876803514999</v>
      </c>
    </row>
    <row r="199" spans="1:16" x14ac:dyDescent="0.35">
      <c r="A199" s="91" t="str">
        <f>LEFT('2025 actual v budget'!A199,4)&amp;"26"</f>
        <v>Jul-26</v>
      </c>
      <c r="B199" s="12" t="str">
        <f>'2025 actual v budget'!B199</f>
        <v>Mexico</v>
      </c>
      <c r="C199" s="12" t="str">
        <f>'2025 actual v budget'!C199</f>
        <v>FX Conversion</v>
      </c>
      <c r="D199" s="14">
        <f>'2025 actual v budget'!D199</f>
        <v>19318413.050000001</v>
      </c>
      <c r="E199" s="92">
        <f>SUMIFS('Assumption-Worst'!$C$3:$C$32,'Assumption-Worst'!$A$3:$A$32,$B199,'Assumption-Worst'!$B$3:$B$32,$C199)</f>
        <v>7.4999999999999997E-2</v>
      </c>
      <c r="F199" s="14">
        <f t="shared" si="21"/>
        <v>20767294.028749999</v>
      </c>
      <c r="G199" s="93">
        <f>SUMIFS('Assumption-Worst'!$D$3:$D$32,'Assumption-Worst'!$A$3:$A$32,$B199,'Assumption-Worst'!$B$3:$B$32,$C199)</f>
        <v>1.0500000000000001E-2</v>
      </c>
      <c r="H199" s="94">
        <f t="shared" si="22"/>
        <v>218056.587301875</v>
      </c>
      <c r="I199" s="92">
        <f>SUMIFS('Assumption-Worst'!$E$3:$E$32,'Assumption-Worst'!$A$3:$A$32,$B199,'Assumption-Worst'!$B$3:$B$32,$C199)</f>
        <v>0.28000000000000003</v>
      </c>
      <c r="J199" s="14">
        <f t="shared" si="23"/>
        <v>61055.844444525006</v>
      </c>
      <c r="K199" s="95">
        <f>SUMIFS('Assumption-Worst'!$F$3:$F$32,'Assumption-Worst'!$A$3:$A$32,$B199,'Assumption-Worst'!$B$3:$B$32,$C199)</f>
        <v>8.0000000000000007E-5</v>
      </c>
      <c r="L199" s="14">
        <f t="shared" si="24"/>
        <v>1661.3835223000001</v>
      </c>
      <c r="M199" s="94">
        <f t="shared" si="25"/>
        <v>155339.35933504999</v>
      </c>
      <c r="N199" s="92">
        <f>SUMIFS('Assumption-Worst'!$G$3:$G$32,'Assumption-Worst'!$A$3:$A$32,$B199,'Assumption-Worst'!$B$3:$B$32,$C199)</f>
        <v>0.45</v>
      </c>
      <c r="O199" s="14">
        <f t="shared" si="26"/>
        <v>98125.464285843758</v>
      </c>
      <c r="P199" s="94">
        <f t="shared" si="27"/>
        <v>57213.895049206229</v>
      </c>
    </row>
    <row r="200" spans="1:16" x14ac:dyDescent="0.35">
      <c r="A200" s="91" t="str">
        <f>LEFT('2025 actual v budget'!A200,4)&amp;"26"</f>
        <v>Jul-26</v>
      </c>
      <c r="B200" s="12" t="str">
        <f>'2025 actual v budget'!B200</f>
        <v>Mexico</v>
      </c>
      <c r="C200" s="12" t="str">
        <f>'2025 actual v budget'!C200</f>
        <v>Stablecoin Settlement</v>
      </c>
      <c r="D200" s="14">
        <f>'2025 actual v budget'!D200</f>
        <v>30282824.870000001</v>
      </c>
      <c r="E200" s="92">
        <f>SUMIFS('Assumption-Worst'!$C$3:$C$32,'Assumption-Worst'!$A$3:$A$32,$B200,'Assumption-Worst'!$B$3:$B$32,$C200)</f>
        <v>0.15</v>
      </c>
      <c r="F200" s="14">
        <f t="shared" si="21"/>
        <v>34825248.600499995</v>
      </c>
      <c r="G200" s="93">
        <f>SUMIFS('Assumption-Worst'!$D$3:$D$32,'Assumption-Worst'!$A$3:$A$32,$B200,'Assumption-Worst'!$B$3:$B$32,$C200)</f>
        <v>6.4999999999999997E-3</v>
      </c>
      <c r="H200" s="94">
        <f t="shared" si="22"/>
        <v>226364.11590324997</v>
      </c>
      <c r="I200" s="92">
        <f>SUMIFS('Assumption-Worst'!$E$3:$E$32,'Assumption-Worst'!$A$3:$A$32,$B200,'Assumption-Worst'!$B$3:$B$32,$C200)</f>
        <v>0.32</v>
      </c>
      <c r="J200" s="14">
        <f t="shared" si="23"/>
        <v>72436.51708903999</v>
      </c>
      <c r="K200" s="95">
        <f>SUMIFS('Assumption-Worst'!$F$3:$F$32,'Assumption-Worst'!$A$3:$A$32,$B200,'Assumption-Worst'!$B$3:$B$32,$C200)</f>
        <v>8.0000000000000007E-5</v>
      </c>
      <c r="L200" s="14">
        <f t="shared" si="24"/>
        <v>2786.0198880399998</v>
      </c>
      <c r="M200" s="94">
        <f t="shared" si="25"/>
        <v>151141.57892616998</v>
      </c>
      <c r="N200" s="92">
        <f>SUMIFS('Assumption-Worst'!$G$3:$G$32,'Assumption-Worst'!$A$3:$A$32,$B200,'Assumption-Worst'!$B$3:$B$32,$C200)</f>
        <v>0.45</v>
      </c>
      <c r="O200" s="14">
        <f t="shared" si="26"/>
        <v>101863.85215646248</v>
      </c>
      <c r="P200" s="94">
        <f t="shared" si="27"/>
        <v>49277.7267697075</v>
      </c>
    </row>
    <row r="201" spans="1:16" x14ac:dyDescent="0.35">
      <c r="A201" s="91" t="str">
        <f>LEFT('2025 actual v budget'!A201,4)&amp;"26"</f>
        <v>Jul-26</v>
      </c>
      <c r="B201" s="12" t="str">
        <f>'2025 actual v budget'!B201</f>
        <v>Mexico</v>
      </c>
      <c r="C201" s="12" t="str">
        <f>'2025 actual v budget'!C201</f>
        <v>Treasury Yield</v>
      </c>
      <c r="D201" s="14">
        <f>'2025 actual v budget'!D201</f>
        <v>8171815.5</v>
      </c>
      <c r="E201" s="92">
        <f>SUMIFS('Assumption-Worst'!$C$3:$C$32,'Assumption-Worst'!$A$3:$A$32,$B201,'Assumption-Worst'!$B$3:$B$32,$C201)</f>
        <v>7.4999999999999997E-2</v>
      </c>
      <c r="F201" s="14">
        <f t="shared" si="21"/>
        <v>8784701.6624999996</v>
      </c>
      <c r="G201" s="93">
        <f>SUMIFS('Assumption-Worst'!$D$3:$D$32,'Assumption-Worst'!$A$3:$A$32,$B201,'Assumption-Worst'!$B$3:$B$32,$C201)</f>
        <v>3.0000000000000001E-3</v>
      </c>
      <c r="H201" s="94">
        <f t="shared" si="22"/>
        <v>26354.104987499999</v>
      </c>
      <c r="I201" s="92">
        <f>SUMIFS('Assumption-Worst'!$E$3:$E$32,'Assumption-Worst'!$A$3:$A$32,$B201,'Assumption-Worst'!$B$3:$B$32,$C201)</f>
        <v>0.18</v>
      </c>
      <c r="J201" s="14">
        <f t="shared" si="23"/>
        <v>4743.7388977499995</v>
      </c>
      <c r="K201" s="95">
        <f>SUMIFS('Assumption-Worst'!$F$3:$F$32,'Assumption-Worst'!$A$3:$A$32,$B201,'Assumption-Worst'!$B$3:$B$32,$C201)</f>
        <v>8.0000000000000007E-5</v>
      </c>
      <c r="L201" s="14">
        <f t="shared" si="24"/>
        <v>702.77613300000007</v>
      </c>
      <c r="M201" s="94">
        <f t="shared" si="25"/>
        <v>20907.589956750002</v>
      </c>
      <c r="N201" s="92">
        <f>SUMIFS('Assumption-Worst'!$G$3:$G$32,'Assumption-Worst'!$A$3:$A$32,$B201,'Assumption-Worst'!$B$3:$B$32,$C201)</f>
        <v>0.45</v>
      </c>
      <c r="O201" s="14">
        <f t="shared" si="26"/>
        <v>11859.347244375</v>
      </c>
      <c r="P201" s="94">
        <f t="shared" si="27"/>
        <v>9048.2427123750022</v>
      </c>
    </row>
    <row r="202" spans="1:16" x14ac:dyDescent="0.35">
      <c r="A202" s="91" t="str">
        <f>LEFT('2025 actual v budget'!A202,4)&amp;"26"</f>
        <v>Jul-26</v>
      </c>
      <c r="B202" s="12" t="str">
        <f>'2025 actual v budget'!B202</f>
        <v>Mexico</v>
      </c>
      <c r="C202" s="12" t="str">
        <f>'2025 actual v budget'!C202</f>
        <v>Virtual Accounts</v>
      </c>
      <c r="D202" s="14">
        <f>'2025 actual v budget'!D202</f>
        <v>12035792.92</v>
      </c>
      <c r="E202" s="92">
        <f>SUMIFS('Assumption-Worst'!$C$3:$C$32,'Assumption-Worst'!$A$3:$A$32,$B202,'Assumption-Worst'!$B$3:$B$32,$C202)</f>
        <v>7.4999999999999997E-2</v>
      </c>
      <c r="F202" s="14">
        <f t="shared" si="21"/>
        <v>12938477.388999999</v>
      </c>
      <c r="G202" s="93">
        <f>SUMIFS('Assumption-Worst'!$D$3:$D$32,'Assumption-Worst'!$A$3:$A$32,$B202,'Assumption-Worst'!$B$3:$B$32,$C202)</f>
        <v>4.4999999999999997E-3</v>
      </c>
      <c r="H202" s="94">
        <f t="shared" si="22"/>
        <v>58223.148250499988</v>
      </c>
      <c r="I202" s="92">
        <f>SUMIFS('Assumption-Worst'!$E$3:$E$32,'Assumption-Worst'!$A$3:$A$32,$B202,'Assumption-Worst'!$B$3:$B$32,$C202)</f>
        <v>0.22</v>
      </c>
      <c r="J202" s="14">
        <f t="shared" si="23"/>
        <v>12809.092615109997</v>
      </c>
      <c r="K202" s="95">
        <f>SUMIFS('Assumption-Worst'!$F$3:$F$32,'Assumption-Worst'!$A$3:$A$32,$B202,'Assumption-Worst'!$B$3:$B$32,$C202)</f>
        <v>8.0000000000000007E-5</v>
      </c>
      <c r="L202" s="14">
        <f t="shared" si="24"/>
        <v>1035.0781911199999</v>
      </c>
      <c r="M202" s="94">
        <f t="shared" si="25"/>
        <v>44378.977444269985</v>
      </c>
      <c r="N202" s="92">
        <f>SUMIFS('Assumption-Worst'!$G$3:$G$32,'Assumption-Worst'!$A$3:$A$32,$B202,'Assumption-Worst'!$B$3:$B$32,$C202)</f>
        <v>0.45</v>
      </c>
      <c r="O202" s="14">
        <f t="shared" si="26"/>
        <v>26200.416712724997</v>
      </c>
      <c r="P202" s="94">
        <f t="shared" si="27"/>
        <v>18178.560731544989</v>
      </c>
    </row>
    <row r="203" spans="1:16" x14ac:dyDescent="0.35">
      <c r="A203" s="91" t="str">
        <f>LEFT('2025 actual v budget'!A203,4)&amp;"26"</f>
        <v>Jul-26</v>
      </c>
      <c r="B203" s="12" t="str">
        <f>'2025 actual v budget'!B203</f>
        <v>Singapore</v>
      </c>
      <c r="C203" s="12" t="str">
        <f>'2025 actual v budget'!C203</f>
        <v>Cross-border Payouts</v>
      </c>
      <c r="D203" s="14">
        <f>'2025 actual v budget'!D203</f>
        <v>10079076.75</v>
      </c>
      <c r="E203" s="92">
        <f>SUMIFS('Assumption-Worst'!$C$3:$C$32,'Assumption-Worst'!$A$3:$A$32,$B203,'Assumption-Worst'!$B$3:$B$32,$C203)</f>
        <v>2.5000000000000001E-2</v>
      </c>
      <c r="F203" s="14">
        <f t="shared" si="21"/>
        <v>10331053.668749999</v>
      </c>
      <c r="G203" s="93">
        <f>SUMIFS('Assumption-Worst'!$D$3:$D$32,'Assumption-Worst'!$A$3:$A$32,$B203,'Assumption-Worst'!$B$3:$B$32,$C203)</f>
        <v>7.4999999999999997E-3</v>
      </c>
      <c r="H203" s="94">
        <f t="shared" si="22"/>
        <v>77482.902515624985</v>
      </c>
      <c r="I203" s="92">
        <f>SUMIFS('Assumption-Worst'!$E$3:$E$32,'Assumption-Worst'!$A$3:$A$32,$B203,'Assumption-Worst'!$B$3:$B$32,$C203)</f>
        <v>0.35</v>
      </c>
      <c r="J203" s="14">
        <f t="shared" si="23"/>
        <v>27119.015880468742</v>
      </c>
      <c r="K203" s="95">
        <f>SUMIFS('Assumption-Worst'!$F$3:$F$32,'Assumption-Worst'!$A$3:$A$32,$B203,'Assumption-Worst'!$B$3:$B$32,$C203)</f>
        <v>9.0000000000000006E-5</v>
      </c>
      <c r="L203" s="14">
        <f t="shared" si="24"/>
        <v>929.7948301875</v>
      </c>
      <c r="M203" s="94">
        <f t="shared" si="25"/>
        <v>49434.091804968746</v>
      </c>
      <c r="N203" s="92">
        <f>SUMIFS('Assumption-Worst'!$G$3:$G$32,'Assumption-Worst'!$A$3:$A$32,$B203,'Assumption-Worst'!$B$3:$B$32,$C203)</f>
        <v>0.45</v>
      </c>
      <c r="O203" s="14">
        <f t="shared" si="26"/>
        <v>34867.306132031241</v>
      </c>
      <c r="P203" s="94">
        <f t="shared" si="27"/>
        <v>14566.785672937505</v>
      </c>
    </row>
    <row r="204" spans="1:16" x14ac:dyDescent="0.35">
      <c r="A204" s="91" t="str">
        <f>LEFT('2025 actual v budget'!A204,4)&amp;"26"</f>
        <v>Jul-26</v>
      </c>
      <c r="B204" s="12" t="str">
        <f>'2025 actual v budget'!B204</f>
        <v>Singapore</v>
      </c>
      <c r="C204" s="12" t="str">
        <f>'2025 actual v budget'!C204</f>
        <v>FX Conversion</v>
      </c>
      <c r="D204" s="14">
        <f>'2025 actual v budget'!D204</f>
        <v>15484177.57</v>
      </c>
      <c r="E204" s="92">
        <f>SUMIFS('Assumption-Worst'!$C$3:$C$32,'Assumption-Worst'!$A$3:$A$32,$B204,'Assumption-Worst'!$B$3:$B$32,$C204)</f>
        <v>2.5000000000000001E-2</v>
      </c>
      <c r="F204" s="14">
        <f t="shared" si="21"/>
        <v>15871282.009249998</v>
      </c>
      <c r="G204" s="93">
        <f>SUMIFS('Assumption-Worst'!$D$3:$D$32,'Assumption-Worst'!$A$3:$A$32,$B204,'Assumption-Worst'!$B$3:$B$32,$C204)</f>
        <v>1.0500000000000001E-2</v>
      </c>
      <c r="H204" s="94">
        <f t="shared" si="22"/>
        <v>166648.46109712499</v>
      </c>
      <c r="I204" s="92">
        <f>SUMIFS('Assumption-Worst'!$E$3:$E$32,'Assumption-Worst'!$A$3:$A$32,$B204,'Assumption-Worst'!$B$3:$B$32,$C204)</f>
        <v>0.28000000000000003</v>
      </c>
      <c r="J204" s="14">
        <f t="shared" si="23"/>
        <v>46661.569107195006</v>
      </c>
      <c r="K204" s="95">
        <f>SUMIFS('Assumption-Worst'!$F$3:$F$32,'Assumption-Worst'!$A$3:$A$32,$B204,'Assumption-Worst'!$B$3:$B$32,$C204)</f>
        <v>9.0000000000000006E-5</v>
      </c>
      <c r="L204" s="14">
        <f t="shared" si="24"/>
        <v>1428.4153808325</v>
      </c>
      <c r="M204" s="94">
        <f t="shared" si="25"/>
        <v>118558.47660909747</v>
      </c>
      <c r="N204" s="92">
        <f>SUMIFS('Assumption-Worst'!$G$3:$G$32,'Assumption-Worst'!$A$3:$A$32,$B204,'Assumption-Worst'!$B$3:$B$32,$C204)</f>
        <v>0.45</v>
      </c>
      <c r="O204" s="14">
        <f t="shared" si="26"/>
        <v>74991.807493706248</v>
      </c>
      <c r="P204" s="94">
        <f t="shared" si="27"/>
        <v>43566.669115391225</v>
      </c>
    </row>
    <row r="205" spans="1:16" x14ac:dyDescent="0.35">
      <c r="A205" s="91" t="str">
        <f>LEFT('2025 actual v budget'!A205,4)&amp;"26"</f>
        <v>Jul-26</v>
      </c>
      <c r="B205" s="12" t="str">
        <f>'2025 actual v budget'!B205</f>
        <v>Singapore</v>
      </c>
      <c r="C205" s="12" t="str">
        <f>'2025 actual v budget'!C205</f>
        <v>Stablecoin Settlement</v>
      </c>
      <c r="D205" s="14">
        <f>'2025 actual v budget'!D205</f>
        <v>24282143.68</v>
      </c>
      <c r="E205" s="92">
        <f>SUMIFS('Assumption-Worst'!$C$3:$C$32,'Assumption-Worst'!$A$3:$A$32,$B205,'Assumption-Worst'!$B$3:$B$32,$C205)</f>
        <v>0.05</v>
      </c>
      <c r="F205" s="14">
        <f t="shared" si="21"/>
        <v>25496250.864</v>
      </c>
      <c r="G205" s="93">
        <f>SUMIFS('Assumption-Worst'!$D$3:$D$32,'Assumption-Worst'!$A$3:$A$32,$B205,'Assumption-Worst'!$B$3:$B$32,$C205)</f>
        <v>6.4999999999999997E-3</v>
      </c>
      <c r="H205" s="94">
        <f t="shared" si="22"/>
        <v>165725.63061599998</v>
      </c>
      <c r="I205" s="92">
        <f>SUMIFS('Assumption-Worst'!$E$3:$E$32,'Assumption-Worst'!$A$3:$A$32,$B205,'Assumption-Worst'!$B$3:$B$32,$C205)</f>
        <v>0.32</v>
      </c>
      <c r="J205" s="14">
        <f t="shared" si="23"/>
        <v>53032.201797119997</v>
      </c>
      <c r="K205" s="95">
        <f>SUMIFS('Assumption-Worst'!$F$3:$F$32,'Assumption-Worst'!$A$3:$A$32,$B205,'Assumption-Worst'!$B$3:$B$32,$C205)</f>
        <v>9.0000000000000006E-5</v>
      </c>
      <c r="L205" s="14">
        <f t="shared" si="24"/>
        <v>2294.6625777600002</v>
      </c>
      <c r="M205" s="94">
        <f t="shared" si="25"/>
        <v>110398.76624111999</v>
      </c>
      <c r="N205" s="92">
        <f>SUMIFS('Assumption-Worst'!$G$3:$G$32,'Assumption-Worst'!$A$3:$A$32,$B205,'Assumption-Worst'!$B$3:$B$32,$C205)</f>
        <v>0.45</v>
      </c>
      <c r="O205" s="14">
        <f t="shared" si="26"/>
        <v>74576.533777199991</v>
      </c>
      <c r="P205" s="94">
        <f t="shared" si="27"/>
        <v>35822.232463919994</v>
      </c>
    </row>
    <row r="206" spans="1:16" x14ac:dyDescent="0.35">
      <c r="A206" s="91" t="str">
        <f>LEFT('2025 actual v budget'!A206,4)&amp;"26"</f>
        <v>Jul-26</v>
      </c>
      <c r="B206" s="12" t="str">
        <f>'2025 actual v budget'!B206</f>
        <v>Singapore</v>
      </c>
      <c r="C206" s="12" t="str">
        <f>'2025 actual v budget'!C206</f>
        <v>Treasury Yield</v>
      </c>
      <c r="D206" s="14">
        <f>'2025 actual v budget'!D206</f>
        <v>6549908.7300000004</v>
      </c>
      <c r="E206" s="92">
        <f>SUMIFS('Assumption-Worst'!$C$3:$C$32,'Assumption-Worst'!$A$3:$A$32,$B206,'Assumption-Worst'!$B$3:$B$32,$C206)</f>
        <v>2.5000000000000001E-2</v>
      </c>
      <c r="F206" s="14">
        <f t="shared" si="21"/>
        <v>6713656.4482499994</v>
      </c>
      <c r="G206" s="93">
        <f>SUMIFS('Assumption-Worst'!$D$3:$D$32,'Assumption-Worst'!$A$3:$A$32,$B206,'Assumption-Worst'!$B$3:$B$32,$C206)</f>
        <v>3.0000000000000001E-3</v>
      </c>
      <c r="H206" s="94">
        <f t="shared" si="22"/>
        <v>20140.969344749999</v>
      </c>
      <c r="I206" s="92">
        <f>SUMIFS('Assumption-Worst'!$E$3:$E$32,'Assumption-Worst'!$A$3:$A$32,$B206,'Assumption-Worst'!$B$3:$B$32,$C206)</f>
        <v>0.18</v>
      </c>
      <c r="J206" s="14">
        <f t="shared" si="23"/>
        <v>3625.3744820549996</v>
      </c>
      <c r="K206" s="95">
        <f>SUMIFS('Assumption-Worst'!$F$3:$F$32,'Assumption-Worst'!$A$3:$A$32,$B206,'Assumption-Worst'!$B$3:$B$32,$C206)</f>
        <v>9.0000000000000006E-5</v>
      </c>
      <c r="L206" s="14">
        <f t="shared" si="24"/>
        <v>604.22908034249997</v>
      </c>
      <c r="M206" s="94">
        <f t="shared" si="25"/>
        <v>15911.365782352501</v>
      </c>
      <c r="N206" s="92">
        <f>SUMIFS('Assumption-Worst'!$G$3:$G$32,'Assumption-Worst'!$A$3:$A$32,$B206,'Assumption-Worst'!$B$3:$B$32,$C206)</f>
        <v>0.45</v>
      </c>
      <c r="O206" s="14">
        <f t="shared" si="26"/>
        <v>9063.4362051374992</v>
      </c>
      <c r="P206" s="94">
        <f t="shared" si="27"/>
        <v>6847.9295772150017</v>
      </c>
    </row>
    <row r="207" spans="1:16" x14ac:dyDescent="0.35">
      <c r="A207" s="91" t="str">
        <f>LEFT('2025 actual v budget'!A207,4)&amp;"26"</f>
        <v>Jul-26</v>
      </c>
      <c r="B207" s="12" t="str">
        <f>'2025 actual v budget'!B207</f>
        <v>Singapore</v>
      </c>
      <c r="C207" s="12" t="str">
        <f>'2025 actual v budget'!C207</f>
        <v>Virtual Accounts</v>
      </c>
      <c r="D207" s="14">
        <f>'2025 actual v budget'!D207</f>
        <v>9646980.5399999991</v>
      </c>
      <c r="E207" s="92">
        <f>SUMIFS('Assumption-Worst'!$C$3:$C$32,'Assumption-Worst'!$A$3:$A$32,$B207,'Assumption-Worst'!$B$3:$B$32,$C207)</f>
        <v>2.5000000000000001E-2</v>
      </c>
      <c r="F207" s="14">
        <f t="shared" si="21"/>
        <v>9888155.0534999985</v>
      </c>
      <c r="G207" s="93">
        <f>SUMIFS('Assumption-Worst'!$D$3:$D$32,'Assumption-Worst'!$A$3:$A$32,$B207,'Assumption-Worst'!$B$3:$B$32,$C207)</f>
        <v>4.4999999999999997E-3</v>
      </c>
      <c r="H207" s="94">
        <f t="shared" si="22"/>
        <v>44496.697740749987</v>
      </c>
      <c r="I207" s="92">
        <f>SUMIFS('Assumption-Worst'!$E$3:$E$32,'Assumption-Worst'!$A$3:$A$32,$B207,'Assumption-Worst'!$B$3:$B$32,$C207)</f>
        <v>0.22</v>
      </c>
      <c r="J207" s="14">
        <f t="shared" si="23"/>
        <v>9789.2735029649975</v>
      </c>
      <c r="K207" s="95">
        <f>SUMIFS('Assumption-Worst'!$F$3:$F$32,'Assumption-Worst'!$A$3:$A$32,$B207,'Assumption-Worst'!$B$3:$B$32,$C207)</f>
        <v>9.0000000000000006E-5</v>
      </c>
      <c r="L207" s="14">
        <f t="shared" si="24"/>
        <v>889.93395481499988</v>
      </c>
      <c r="M207" s="94">
        <f t="shared" si="25"/>
        <v>33817.490282969986</v>
      </c>
      <c r="N207" s="92">
        <f>SUMIFS('Assumption-Worst'!$G$3:$G$32,'Assumption-Worst'!$A$3:$A$32,$B207,'Assumption-Worst'!$B$3:$B$32,$C207)</f>
        <v>0.45</v>
      </c>
      <c r="O207" s="14">
        <f t="shared" si="26"/>
        <v>20023.513983337496</v>
      </c>
      <c r="P207" s="94">
        <f t="shared" si="27"/>
        <v>13793.97629963249</v>
      </c>
    </row>
    <row r="208" spans="1:16" x14ac:dyDescent="0.35">
      <c r="A208" s="91" t="str">
        <f>LEFT('2025 actual v budget'!A208,4)&amp;"26"</f>
        <v>Jul-26</v>
      </c>
      <c r="B208" s="12" t="str">
        <f>'2025 actual v budget'!B208</f>
        <v>USA</v>
      </c>
      <c r="C208" s="12" t="str">
        <f>'2025 actual v budget'!C208</f>
        <v>Cross-border Payouts</v>
      </c>
      <c r="D208" s="14">
        <f>'2025 actual v budget'!D208</f>
        <v>24489605.98</v>
      </c>
      <c r="E208" s="92">
        <f>SUMIFS('Assumption-Worst'!$C$3:$C$32,'Assumption-Worst'!$A$3:$A$32,$B208,'Assumption-Worst'!$B$3:$B$32,$C208)</f>
        <v>0.05</v>
      </c>
      <c r="F208" s="14">
        <f t="shared" si="21"/>
        <v>25714086.279000003</v>
      </c>
      <c r="G208" s="93">
        <f>SUMIFS('Assumption-Worst'!$D$3:$D$32,'Assumption-Worst'!$A$3:$A$32,$B208,'Assumption-Worst'!$B$3:$B$32,$C208)</f>
        <v>7.4999999999999997E-3</v>
      </c>
      <c r="H208" s="94">
        <f t="shared" si="22"/>
        <v>192855.6470925</v>
      </c>
      <c r="I208" s="92">
        <f>SUMIFS('Assumption-Worst'!$E$3:$E$32,'Assumption-Worst'!$A$3:$A$32,$B208,'Assumption-Worst'!$B$3:$B$32,$C208)</f>
        <v>0.35</v>
      </c>
      <c r="J208" s="14">
        <f t="shared" si="23"/>
        <v>67499.476482375001</v>
      </c>
      <c r="K208" s="95">
        <f>SUMIFS('Assumption-Worst'!$F$3:$F$32,'Assumption-Worst'!$A$3:$A$32,$B208,'Assumption-Worst'!$B$3:$B$32,$C208)</f>
        <v>2.0000000000000001E-4</v>
      </c>
      <c r="L208" s="14">
        <f t="shared" si="24"/>
        <v>5142.8172558000006</v>
      </c>
      <c r="M208" s="94">
        <f t="shared" si="25"/>
        <v>120213.35335432499</v>
      </c>
      <c r="N208" s="92">
        <f>SUMIFS('Assumption-Worst'!$G$3:$G$32,'Assumption-Worst'!$A$3:$A$32,$B208,'Assumption-Worst'!$B$3:$B$32,$C208)</f>
        <v>0.45</v>
      </c>
      <c r="O208" s="14">
        <f t="shared" si="26"/>
        <v>86785.041191625001</v>
      </c>
      <c r="P208" s="94">
        <f t="shared" si="27"/>
        <v>33428.312162699993</v>
      </c>
    </row>
    <row r="209" spans="1:16" x14ac:dyDescent="0.35">
      <c r="A209" s="91" t="str">
        <f>LEFT('2025 actual v budget'!A209,4)&amp;"26"</f>
        <v>Jul-26</v>
      </c>
      <c r="B209" s="12" t="str">
        <f>'2025 actual v budget'!B209</f>
        <v>USA</v>
      </c>
      <c r="C209" s="12" t="str">
        <f>'2025 actual v budget'!C209</f>
        <v>FX Conversion</v>
      </c>
      <c r="D209" s="14">
        <f>'2025 actual v budget'!D209</f>
        <v>37617514.770000003</v>
      </c>
      <c r="E209" s="92">
        <f>SUMIFS('Assumption-Worst'!$C$3:$C$32,'Assumption-Worst'!$A$3:$A$32,$B209,'Assumption-Worst'!$B$3:$B$32,$C209)</f>
        <v>0.05</v>
      </c>
      <c r="F209" s="14">
        <f t="shared" si="21"/>
        <v>39498390.508500002</v>
      </c>
      <c r="G209" s="93">
        <f>SUMIFS('Assumption-Worst'!$D$3:$D$32,'Assumption-Worst'!$A$3:$A$32,$B209,'Assumption-Worst'!$B$3:$B$32,$C209)</f>
        <v>1.0500000000000001E-2</v>
      </c>
      <c r="H209" s="94">
        <f t="shared" si="22"/>
        <v>414733.10033925006</v>
      </c>
      <c r="I209" s="92">
        <f>SUMIFS('Assumption-Worst'!$E$3:$E$32,'Assumption-Worst'!$A$3:$A$32,$B209,'Assumption-Worst'!$B$3:$B$32,$C209)</f>
        <v>0.28000000000000003</v>
      </c>
      <c r="J209" s="14">
        <f t="shared" si="23"/>
        <v>116125.26809499002</v>
      </c>
      <c r="K209" s="95">
        <f>SUMIFS('Assumption-Worst'!$F$3:$F$32,'Assumption-Worst'!$A$3:$A$32,$B209,'Assumption-Worst'!$B$3:$B$32,$C209)</f>
        <v>2.0000000000000001E-4</v>
      </c>
      <c r="L209" s="14">
        <f t="shared" si="24"/>
        <v>7899.6781017000012</v>
      </c>
      <c r="M209" s="94">
        <f t="shared" si="25"/>
        <v>290708.15414256003</v>
      </c>
      <c r="N209" s="92">
        <f>SUMIFS('Assumption-Worst'!$G$3:$G$32,'Assumption-Worst'!$A$3:$A$32,$B209,'Assumption-Worst'!$B$3:$B$32,$C209)</f>
        <v>0.45</v>
      </c>
      <c r="O209" s="14">
        <f t="shared" si="26"/>
        <v>186629.89515266253</v>
      </c>
      <c r="P209" s="94">
        <f t="shared" si="27"/>
        <v>104078.2589898975</v>
      </c>
    </row>
    <row r="210" spans="1:16" x14ac:dyDescent="0.35">
      <c r="A210" s="91" t="str">
        <f>LEFT('2025 actual v budget'!A210,4)&amp;"26"</f>
        <v>Jul-26</v>
      </c>
      <c r="B210" s="12" t="str">
        <f>'2025 actual v budget'!B210</f>
        <v>USA</v>
      </c>
      <c r="C210" s="12" t="str">
        <f>'2025 actual v budget'!C210</f>
        <v>Stablecoin Settlement</v>
      </c>
      <c r="D210" s="14">
        <f>'2025 actual v budget'!D210</f>
        <v>58999464.5</v>
      </c>
      <c r="E210" s="92">
        <f>SUMIFS('Assumption-Worst'!$C$3:$C$32,'Assumption-Worst'!$A$3:$A$32,$B210,'Assumption-Worst'!$B$3:$B$32,$C210)</f>
        <v>0.1</v>
      </c>
      <c r="F210" s="14">
        <f t="shared" si="21"/>
        <v>64899410.950000003</v>
      </c>
      <c r="G210" s="93">
        <f>SUMIFS('Assumption-Worst'!$D$3:$D$32,'Assumption-Worst'!$A$3:$A$32,$B210,'Assumption-Worst'!$B$3:$B$32,$C210)</f>
        <v>6.4999999999999997E-3</v>
      </c>
      <c r="H210" s="94">
        <f t="shared" si="22"/>
        <v>421846.17117500002</v>
      </c>
      <c r="I210" s="92">
        <f>SUMIFS('Assumption-Worst'!$E$3:$E$32,'Assumption-Worst'!$A$3:$A$32,$B210,'Assumption-Worst'!$B$3:$B$32,$C210)</f>
        <v>0.32</v>
      </c>
      <c r="J210" s="14">
        <f t="shared" si="23"/>
        <v>134990.77477600001</v>
      </c>
      <c r="K210" s="95">
        <f>SUMIFS('Assumption-Worst'!$F$3:$F$32,'Assumption-Worst'!$A$3:$A$32,$B210,'Assumption-Worst'!$B$3:$B$32,$C210)</f>
        <v>2.0000000000000001E-4</v>
      </c>
      <c r="L210" s="14">
        <f t="shared" si="24"/>
        <v>12979.882190000002</v>
      </c>
      <c r="M210" s="94">
        <f t="shared" si="25"/>
        <v>273875.51420900004</v>
      </c>
      <c r="N210" s="92">
        <f>SUMIFS('Assumption-Worst'!$G$3:$G$32,'Assumption-Worst'!$A$3:$A$32,$B210,'Assumption-Worst'!$B$3:$B$32,$C210)</f>
        <v>0.45</v>
      </c>
      <c r="O210" s="14">
        <f t="shared" si="26"/>
        <v>189830.77702875002</v>
      </c>
      <c r="P210" s="94">
        <f t="shared" si="27"/>
        <v>84044.737180250027</v>
      </c>
    </row>
    <row r="211" spans="1:16" x14ac:dyDescent="0.35">
      <c r="A211" s="91" t="str">
        <f>LEFT('2025 actual v budget'!A211,4)&amp;"26"</f>
        <v>Jul-26</v>
      </c>
      <c r="B211" s="12" t="str">
        <f>'2025 actual v budget'!B211</f>
        <v>USA</v>
      </c>
      <c r="C211" s="12" t="str">
        <f>'2025 actual v budget'!C211</f>
        <v>Treasury Yield</v>
      </c>
      <c r="D211" s="14">
        <f>'2025 actual v budget'!D211</f>
        <v>15912455.630000001</v>
      </c>
      <c r="E211" s="92">
        <f>SUMIFS('Assumption-Worst'!$C$3:$C$32,'Assumption-Worst'!$A$3:$A$32,$B211,'Assumption-Worst'!$B$3:$B$32,$C211)</f>
        <v>0.05</v>
      </c>
      <c r="F211" s="14">
        <f t="shared" si="21"/>
        <v>16708078.411500001</v>
      </c>
      <c r="G211" s="93">
        <f>SUMIFS('Assumption-Worst'!$D$3:$D$32,'Assumption-Worst'!$A$3:$A$32,$B211,'Assumption-Worst'!$B$3:$B$32,$C211)</f>
        <v>3.0000000000000001E-3</v>
      </c>
      <c r="H211" s="94">
        <f t="shared" si="22"/>
        <v>50124.235234500004</v>
      </c>
      <c r="I211" s="92">
        <f>SUMIFS('Assumption-Worst'!$E$3:$E$32,'Assumption-Worst'!$A$3:$A$32,$B211,'Assumption-Worst'!$B$3:$B$32,$C211)</f>
        <v>0.18</v>
      </c>
      <c r="J211" s="14">
        <f t="shared" si="23"/>
        <v>9022.3623422100009</v>
      </c>
      <c r="K211" s="95">
        <f>SUMIFS('Assumption-Worst'!$F$3:$F$32,'Assumption-Worst'!$A$3:$A$32,$B211,'Assumption-Worst'!$B$3:$B$32,$C211)</f>
        <v>2.0000000000000001E-4</v>
      </c>
      <c r="L211" s="14">
        <f t="shared" si="24"/>
        <v>3341.6156823000006</v>
      </c>
      <c r="M211" s="94">
        <f t="shared" si="25"/>
        <v>37760.257209990006</v>
      </c>
      <c r="N211" s="92">
        <f>SUMIFS('Assumption-Worst'!$G$3:$G$32,'Assumption-Worst'!$A$3:$A$32,$B211,'Assumption-Worst'!$B$3:$B$32,$C211)</f>
        <v>0.45</v>
      </c>
      <c r="O211" s="14">
        <f t="shared" si="26"/>
        <v>22555.905855525001</v>
      </c>
      <c r="P211" s="94">
        <f t="shared" si="27"/>
        <v>15204.351354465005</v>
      </c>
    </row>
    <row r="212" spans="1:16" x14ac:dyDescent="0.35">
      <c r="A212" s="91" t="str">
        <f>LEFT('2025 actual v budget'!A212,4)&amp;"26"</f>
        <v>Jul-26</v>
      </c>
      <c r="B212" s="12" t="str">
        <f>'2025 actual v budget'!B212</f>
        <v>USA</v>
      </c>
      <c r="C212" s="12" t="str">
        <f>'2025 actual v budget'!C212</f>
        <v>Virtual Accounts</v>
      </c>
      <c r="D212" s="14">
        <f>'2025 actual v budget'!D212</f>
        <v>23436532.629999999</v>
      </c>
      <c r="E212" s="92">
        <f>SUMIFS('Assumption-Worst'!$C$3:$C$32,'Assumption-Worst'!$A$3:$A$32,$B212,'Assumption-Worst'!$B$3:$B$32,$C212)</f>
        <v>0.05</v>
      </c>
      <c r="F212" s="14">
        <f t="shared" si="21"/>
        <v>24608359.261500001</v>
      </c>
      <c r="G212" s="93">
        <f>SUMIFS('Assumption-Worst'!$D$3:$D$32,'Assumption-Worst'!$A$3:$A$32,$B212,'Assumption-Worst'!$B$3:$B$32,$C212)</f>
        <v>4.4999999999999997E-3</v>
      </c>
      <c r="H212" s="94">
        <f t="shared" si="22"/>
        <v>110737.61667675</v>
      </c>
      <c r="I212" s="92">
        <f>SUMIFS('Assumption-Worst'!$E$3:$E$32,'Assumption-Worst'!$A$3:$A$32,$B212,'Assumption-Worst'!$B$3:$B$32,$C212)</f>
        <v>0.22</v>
      </c>
      <c r="J212" s="14">
        <f t="shared" si="23"/>
        <v>24362.275668884999</v>
      </c>
      <c r="K212" s="95">
        <f>SUMIFS('Assumption-Worst'!$F$3:$F$32,'Assumption-Worst'!$A$3:$A$32,$B212,'Assumption-Worst'!$B$3:$B$32,$C212)</f>
        <v>2.0000000000000001E-4</v>
      </c>
      <c r="L212" s="14">
        <f t="shared" si="24"/>
        <v>4921.6718523000009</v>
      </c>
      <c r="M212" s="94">
        <f t="shared" si="25"/>
        <v>81453.669155565003</v>
      </c>
      <c r="N212" s="92">
        <f>SUMIFS('Assumption-Worst'!$G$3:$G$32,'Assumption-Worst'!$A$3:$A$32,$B212,'Assumption-Worst'!$B$3:$B$32,$C212)</f>
        <v>0.45</v>
      </c>
      <c r="O212" s="14">
        <f t="shared" si="26"/>
        <v>49831.927504537496</v>
      </c>
      <c r="P212" s="94">
        <f t="shared" si="27"/>
        <v>31621.741651027507</v>
      </c>
    </row>
    <row r="213" spans="1:16" x14ac:dyDescent="0.35">
      <c r="A213" s="96" t="str">
        <f>LEFT('2025 actual v budget'!A213,4)&amp;"26"</f>
        <v>Aug-26</v>
      </c>
      <c r="B213" s="17" t="str">
        <f>'2025 actual v budget'!B213</f>
        <v>Brazil</v>
      </c>
      <c r="C213" s="17" t="str">
        <f>'2025 actual v budget'!C213</f>
        <v>Cross-border Payouts</v>
      </c>
      <c r="D213" s="19">
        <f>'2025 actual v budget'!D213</f>
        <v>16628959.75</v>
      </c>
      <c r="E213" s="97">
        <f>SUMIFS('Assumption-Worst'!$C$3:$C$32,'Assumption-Worst'!$A$3:$A$32,$B213,'Assumption-Worst'!$B$3:$B$32,$C213)</f>
        <v>0.1</v>
      </c>
      <c r="F213" s="19">
        <f t="shared" si="21"/>
        <v>18291855.725000001</v>
      </c>
      <c r="G213" s="98">
        <f>SUMIFS('Assumption-Worst'!$D$3:$D$32,'Assumption-Worst'!$A$3:$A$32,$B213,'Assumption-Worst'!$B$3:$B$32,$C213)</f>
        <v>7.4999999999999997E-3</v>
      </c>
      <c r="H213" s="99">
        <f t="shared" si="22"/>
        <v>137188.91793749999</v>
      </c>
      <c r="I213" s="97">
        <f>SUMIFS('Assumption-Worst'!$E$3:$E$32,'Assumption-Worst'!$A$3:$A$32,$B213,'Assumption-Worst'!$B$3:$B$32,$C213)</f>
        <v>0.35</v>
      </c>
      <c r="J213" s="19">
        <f t="shared" si="23"/>
        <v>48016.121278124992</v>
      </c>
      <c r="K213" s="100">
        <f>SUMIFS('Assumption-Worst'!$F$3:$F$32,'Assumption-Worst'!$A$3:$A$32,$B213,'Assumption-Worst'!$B$3:$B$32,$C213)</f>
        <v>6.9999999999999994E-5</v>
      </c>
      <c r="L213" s="19">
        <f t="shared" si="24"/>
        <v>1280.4299007499999</v>
      </c>
      <c r="M213" s="99">
        <f t="shared" si="25"/>
        <v>87892.366758625009</v>
      </c>
      <c r="N213" s="97">
        <f>SUMIFS('Assumption-Worst'!$G$3:$G$32,'Assumption-Worst'!$A$3:$A$32,$B213,'Assumption-Worst'!$B$3:$B$32,$C213)</f>
        <v>0.45</v>
      </c>
      <c r="O213" s="19">
        <f t="shared" si="26"/>
        <v>61735.013071875001</v>
      </c>
      <c r="P213" s="99">
        <f t="shared" si="27"/>
        <v>26157.353686750008</v>
      </c>
    </row>
    <row r="214" spans="1:16" x14ac:dyDescent="0.35">
      <c r="A214" s="96" t="str">
        <f>LEFT('2025 actual v budget'!A214,4)&amp;"26"</f>
        <v>Aug-26</v>
      </c>
      <c r="B214" s="17" t="str">
        <f>'2025 actual v budget'!B214</f>
        <v>Brazil</v>
      </c>
      <c r="C214" s="17" t="str">
        <f>'2025 actual v budget'!C214</f>
        <v>FX Conversion</v>
      </c>
      <c r="D214" s="19">
        <f>'2025 actual v budget'!D214</f>
        <v>25722226.34</v>
      </c>
      <c r="E214" s="97">
        <f>SUMIFS('Assumption-Worst'!$C$3:$C$32,'Assumption-Worst'!$A$3:$A$32,$B214,'Assumption-Worst'!$B$3:$B$32,$C214)</f>
        <v>0.1</v>
      </c>
      <c r="F214" s="19">
        <f t="shared" si="21"/>
        <v>28294448.974000003</v>
      </c>
      <c r="G214" s="98">
        <f>SUMIFS('Assumption-Worst'!$D$3:$D$32,'Assumption-Worst'!$A$3:$A$32,$B214,'Assumption-Worst'!$B$3:$B$32,$C214)</f>
        <v>1.0500000000000001E-2</v>
      </c>
      <c r="H214" s="99">
        <f t="shared" si="22"/>
        <v>297091.71422700008</v>
      </c>
      <c r="I214" s="97">
        <f>SUMIFS('Assumption-Worst'!$E$3:$E$32,'Assumption-Worst'!$A$3:$A$32,$B214,'Assumption-Worst'!$B$3:$B$32,$C214)</f>
        <v>0.28000000000000003</v>
      </c>
      <c r="J214" s="19">
        <f t="shared" si="23"/>
        <v>83185.679983560025</v>
      </c>
      <c r="K214" s="100">
        <f>SUMIFS('Assumption-Worst'!$F$3:$F$32,'Assumption-Worst'!$A$3:$A$32,$B214,'Assumption-Worst'!$B$3:$B$32,$C214)</f>
        <v>6.9999999999999994E-5</v>
      </c>
      <c r="L214" s="19">
        <f t="shared" si="24"/>
        <v>1980.6114281800001</v>
      </c>
      <c r="M214" s="99">
        <f t="shared" si="25"/>
        <v>211925.42281526004</v>
      </c>
      <c r="N214" s="97">
        <f>SUMIFS('Assumption-Worst'!$G$3:$G$32,'Assumption-Worst'!$A$3:$A$32,$B214,'Assumption-Worst'!$B$3:$B$32,$C214)</f>
        <v>0.45</v>
      </c>
      <c r="O214" s="19">
        <f t="shared" si="26"/>
        <v>133691.27140215004</v>
      </c>
      <c r="P214" s="99">
        <f t="shared" si="27"/>
        <v>78234.151413109998</v>
      </c>
    </row>
    <row r="215" spans="1:16" x14ac:dyDescent="0.35">
      <c r="A215" s="96" t="str">
        <f>LEFT('2025 actual v budget'!A215,4)&amp;"26"</f>
        <v>Aug-26</v>
      </c>
      <c r="B215" s="17" t="str">
        <f>'2025 actual v budget'!B215</f>
        <v>Brazil</v>
      </c>
      <c r="C215" s="17" t="str">
        <f>'2025 actual v budget'!C215</f>
        <v>Stablecoin Settlement</v>
      </c>
      <c r="D215" s="19">
        <f>'2025 actual v budget'!D215</f>
        <v>39372636.869999997</v>
      </c>
      <c r="E215" s="97">
        <f>SUMIFS('Assumption-Worst'!$C$3:$C$32,'Assumption-Worst'!$A$3:$A$32,$B215,'Assumption-Worst'!$B$3:$B$32,$C215)</f>
        <v>0.2</v>
      </c>
      <c r="F215" s="19">
        <f t="shared" si="21"/>
        <v>47247164.243999995</v>
      </c>
      <c r="G215" s="98">
        <f>SUMIFS('Assumption-Worst'!$D$3:$D$32,'Assumption-Worst'!$A$3:$A$32,$B215,'Assumption-Worst'!$B$3:$B$32,$C215)</f>
        <v>6.4999999999999997E-3</v>
      </c>
      <c r="H215" s="99">
        <f t="shared" si="22"/>
        <v>307106.56758599996</v>
      </c>
      <c r="I215" s="97">
        <f>SUMIFS('Assumption-Worst'!$E$3:$E$32,'Assumption-Worst'!$A$3:$A$32,$B215,'Assumption-Worst'!$B$3:$B$32,$C215)</f>
        <v>0.32</v>
      </c>
      <c r="J215" s="19">
        <f t="shared" si="23"/>
        <v>98274.101627519995</v>
      </c>
      <c r="K215" s="100">
        <f>SUMIFS('Assumption-Worst'!$F$3:$F$32,'Assumption-Worst'!$A$3:$A$32,$B215,'Assumption-Worst'!$B$3:$B$32,$C215)</f>
        <v>6.9999999999999994E-5</v>
      </c>
      <c r="L215" s="19">
        <f t="shared" si="24"/>
        <v>3307.3014970799995</v>
      </c>
      <c r="M215" s="99">
        <f t="shared" si="25"/>
        <v>205525.16446139995</v>
      </c>
      <c r="N215" s="97">
        <f>SUMIFS('Assumption-Worst'!$G$3:$G$32,'Assumption-Worst'!$A$3:$A$32,$B215,'Assumption-Worst'!$B$3:$B$32,$C215)</f>
        <v>0.45</v>
      </c>
      <c r="O215" s="19">
        <f t="shared" si="26"/>
        <v>138197.95541369999</v>
      </c>
      <c r="P215" s="99">
        <f t="shared" si="27"/>
        <v>67327.209047699958</v>
      </c>
    </row>
    <row r="216" spans="1:16" x14ac:dyDescent="0.35">
      <c r="A216" s="96" t="str">
        <f>LEFT('2025 actual v budget'!A216,4)&amp;"26"</f>
        <v>Aug-26</v>
      </c>
      <c r="B216" s="17" t="str">
        <f>'2025 actual v budget'!B216</f>
        <v>Brazil</v>
      </c>
      <c r="C216" s="17" t="str">
        <f>'2025 actual v budget'!C216</f>
        <v>Treasury Yield</v>
      </c>
      <c r="D216" s="19">
        <f>'2025 actual v budget'!D216</f>
        <v>10701534.720000001</v>
      </c>
      <c r="E216" s="97">
        <f>SUMIFS('Assumption-Worst'!$C$3:$C$32,'Assumption-Worst'!$A$3:$A$32,$B216,'Assumption-Worst'!$B$3:$B$32,$C216)</f>
        <v>0.1</v>
      </c>
      <c r="F216" s="19">
        <f t="shared" si="21"/>
        <v>11771688.192000002</v>
      </c>
      <c r="G216" s="98">
        <f>SUMIFS('Assumption-Worst'!$D$3:$D$32,'Assumption-Worst'!$A$3:$A$32,$B216,'Assumption-Worst'!$B$3:$B$32,$C216)</f>
        <v>3.0000000000000001E-3</v>
      </c>
      <c r="H216" s="99">
        <f t="shared" si="22"/>
        <v>35315.064576000004</v>
      </c>
      <c r="I216" s="97">
        <f>SUMIFS('Assumption-Worst'!$E$3:$E$32,'Assumption-Worst'!$A$3:$A$32,$B216,'Assumption-Worst'!$B$3:$B$32,$C216)</f>
        <v>0.18</v>
      </c>
      <c r="J216" s="19">
        <f t="shared" si="23"/>
        <v>6356.7116236800002</v>
      </c>
      <c r="K216" s="100">
        <f>SUMIFS('Assumption-Worst'!$F$3:$F$32,'Assumption-Worst'!$A$3:$A$32,$B216,'Assumption-Worst'!$B$3:$B$32,$C216)</f>
        <v>6.9999999999999994E-5</v>
      </c>
      <c r="L216" s="19">
        <f t="shared" si="24"/>
        <v>824.01817344000006</v>
      </c>
      <c r="M216" s="99">
        <f t="shared" si="25"/>
        <v>28134.334778880006</v>
      </c>
      <c r="N216" s="97">
        <f>SUMIFS('Assumption-Worst'!$G$3:$G$32,'Assumption-Worst'!$A$3:$A$32,$B216,'Assumption-Worst'!$B$3:$B$32,$C216)</f>
        <v>0.45</v>
      </c>
      <c r="O216" s="19">
        <f t="shared" si="26"/>
        <v>15891.779059200002</v>
      </c>
      <c r="P216" s="99">
        <f t="shared" si="27"/>
        <v>12242.555719680004</v>
      </c>
    </row>
    <row r="217" spans="1:16" x14ac:dyDescent="0.35">
      <c r="A217" s="96" t="str">
        <f>LEFT('2025 actual v budget'!A217,4)&amp;"26"</f>
        <v>Aug-26</v>
      </c>
      <c r="B217" s="17" t="str">
        <f>'2025 actual v budget'!B217</f>
        <v>Brazil</v>
      </c>
      <c r="C217" s="17" t="str">
        <f>'2025 actual v budget'!C217</f>
        <v>Virtual Accounts</v>
      </c>
      <c r="D217" s="19">
        <f>'2025 actual v budget'!D217</f>
        <v>15520913.17</v>
      </c>
      <c r="E217" s="97">
        <f>SUMIFS('Assumption-Worst'!$C$3:$C$32,'Assumption-Worst'!$A$3:$A$32,$B217,'Assumption-Worst'!$B$3:$B$32,$C217)</f>
        <v>0.1</v>
      </c>
      <c r="F217" s="19">
        <f t="shared" si="21"/>
        <v>17073004.487</v>
      </c>
      <c r="G217" s="98">
        <f>SUMIFS('Assumption-Worst'!$D$3:$D$32,'Assumption-Worst'!$A$3:$A$32,$B217,'Assumption-Worst'!$B$3:$B$32,$C217)</f>
        <v>4.4999999999999997E-3</v>
      </c>
      <c r="H217" s="99">
        <f t="shared" si="22"/>
        <v>76828.520191499993</v>
      </c>
      <c r="I217" s="97">
        <f>SUMIFS('Assumption-Worst'!$E$3:$E$32,'Assumption-Worst'!$A$3:$A$32,$B217,'Assumption-Worst'!$B$3:$B$32,$C217)</f>
        <v>0.22</v>
      </c>
      <c r="J217" s="19">
        <f t="shared" si="23"/>
        <v>16902.274442129998</v>
      </c>
      <c r="K217" s="100">
        <f>SUMIFS('Assumption-Worst'!$F$3:$F$32,'Assumption-Worst'!$A$3:$A$32,$B217,'Assumption-Worst'!$B$3:$B$32,$C217)</f>
        <v>6.9999999999999994E-5</v>
      </c>
      <c r="L217" s="19">
        <f t="shared" si="24"/>
        <v>1195.11031409</v>
      </c>
      <c r="M217" s="99">
        <f t="shared" si="25"/>
        <v>58731.13543527999</v>
      </c>
      <c r="N217" s="97">
        <f>SUMIFS('Assumption-Worst'!$G$3:$G$32,'Assumption-Worst'!$A$3:$A$32,$B217,'Assumption-Worst'!$B$3:$B$32,$C217)</f>
        <v>0.45</v>
      </c>
      <c r="O217" s="19">
        <f t="shared" si="26"/>
        <v>34572.834086174997</v>
      </c>
      <c r="P217" s="99">
        <f t="shared" si="27"/>
        <v>24158.301349104993</v>
      </c>
    </row>
    <row r="218" spans="1:16" x14ac:dyDescent="0.35">
      <c r="A218" s="96" t="str">
        <f>LEFT('2025 actual v budget'!A218,4)&amp;"26"</f>
        <v>Aug-26</v>
      </c>
      <c r="B218" s="17" t="str">
        <f>'2025 actual v budget'!B218</f>
        <v>Germany</v>
      </c>
      <c r="C218" s="17" t="str">
        <f>'2025 actual v budget'!C218</f>
        <v>Cross-border Payouts</v>
      </c>
      <c r="D218" s="19">
        <f>'2025 actual v budget'!D218</f>
        <v>7905282.9199999999</v>
      </c>
      <c r="E218" s="97">
        <f>SUMIFS('Assumption-Worst'!$C$3:$C$32,'Assumption-Worst'!$A$3:$A$32,$B218,'Assumption-Worst'!$B$3:$B$32,$C218)</f>
        <v>0.03</v>
      </c>
      <c r="F218" s="19">
        <f t="shared" si="21"/>
        <v>8142441.4076000005</v>
      </c>
      <c r="G218" s="98">
        <f>SUMIFS('Assumption-Worst'!$D$3:$D$32,'Assumption-Worst'!$A$3:$A$32,$B218,'Assumption-Worst'!$B$3:$B$32,$C218)</f>
        <v>7.4999999999999997E-3</v>
      </c>
      <c r="H218" s="99">
        <f t="shared" si="22"/>
        <v>61068.310557000004</v>
      </c>
      <c r="I218" s="97">
        <f>SUMIFS('Assumption-Worst'!$E$3:$E$32,'Assumption-Worst'!$A$3:$A$32,$B218,'Assumption-Worst'!$B$3:$B$32,$C218)</f>
        <v>0.35</v>
      </c>
      <c r="J218" s="19">
        <f t="shared" si="23"/>
        <v>21373.908694950002</v>
      </c>
      <c r="K218" s="100">
        <f>SUMIFS('Assumption-Worst'!$F$3:$F$32,'Assumption-Worst'!$A$3:$A$32,$B218,'Assumption-Worst'!$B$3:$B$32,$C218)</f>
        <v>1.4999999999999999E-4</v>
      </c>
      <c r="L218" s="19">
        <f t="shared" si="24"/>
        <v>1221.3662111399999</v>
      </c>
      <c r="M218" s="99">
        <f t="shared" si="25"/>
        <v>38473.035650910002</v>
      </c>
      <c r="N218" s="97">
        <f>SUMIFS('Assumption-Worst'!$G$3:$G$32,'Assumption-Worst'!$A$3:$A$32,$B218,'Assumption-Worst'!$B$3:$B$32,$C218)</f>
        <v>0.45</v>
      </c>
      <c r="O218" s="19">
        <f t="shared" si="26"/>
        <v>27480.739750650002</v>
      </c>
      <c r="P218" s="99">
        <f t="shared" si="27"/>
        <v>10992.29590026</v>
      </c>
    </row>
    <row r="219" spans="1:16" x14ac:dyDescent="0.35">
      <c r="A219" s="96" t="str">
        <f>LEFT('2025 actual v budget'!A219,4)&amp;"26"</f>
        <v>Aug-26</v>
      </c>
      <c r="B219" s="17" t="str">
        <f>'2025 actual v budget'!B219</f>
        <v>Germany</v>
      </c>
      <c r="C219" s="17" t="str">
        <f>'2025 actual v budget'!C219</f>
        <v>FX Conversion</v>
      </c>
      <c r="D219" s="19">
        <f>'2025 actual v budget'!D219</f>
        <v>12220428.380000001</v>
      </c>
      <c r="E219" s="97">
        <f>SUMIFS('Assumption-Worst'!$C$3:$C$32,'Assumption-Worst'!$A$3:$A$32,$B219,'Assumption-Worst'!$B$3:$B$32,$C219)</f>
        <v>0.03</v>
      </c>
      <c r="F219" s="19">
        <f t="shared" si="21"/>
        <v>12587041.231400002</v>
      </c>
      <c r="G219" s="98">
        <f>SUMIFS('Assumption-Worst'!$D$3:$D$32,'Assumption-Worst'!$A$3:$A$32,$B219,'Assumption-Worst'!$B$3:$B$32,$C219)</f>
        <v>1.0500000000000001E-2</v>
      </c>
      <c r="H219" s="99">
        <f t="shared" si="22"/>
        <v>132163.93292970004</v>
      </c>
      <c r="I219" s="97">
        <f>SUMIFS('Assumption-Worst'!$E$3:$E$32,'Assumption-Worst'!$A$3:$A$32,$B219,'Assumption-Worst'!$B$3:$B$32,$C219)</f>
        <v>0.28000000000000003</v>
      </c>
      <c r="J219" s="19">
        <f t="shared" si="23"/>
        <v>37005.901220316016</v>
      </c>
      <c r="K219" s="100">
        <f>SUMIFS('Assumption-Worst'!$F$3:$F$32,'Assumption-Worst'!$A$3:$A$32,$B219,'Assumption-Worst'!$B$3:$B$32,$C219)</f>
        <v>1.4999999999999999E-4</v>
      </c>
      <c r="L219" s="19">
        <f t="shared" si="24"/>
        <v>1888.05618471</v>
      </c>
      <c r="M219" s="99">
        <f t="shared" si="25"/>
        <v>93269.975524674024</v>
      </c>
      <c r="N219" s="97">
        <f>SUMIFS('Assumption-Worst'!$G$3:$G$32,'Assumption-Worst'!$A$3:$A$32,$B219,'Assumption-Worst'!$B$3:$B$32,$C219)</f>
        <v>0.45</v>
      </c>
      <c r="O219" s="19">
        <f t="shared" si="26"/>
        <v>59473.769818365021</v>
      </c>
      <c r="P219" s="99">
        <f t="shared" si="27"/>
        <v>33796.205706309003</v>
      </c>
    </row>
    <row r="220" spans="1:16" x14ac:dyDescent="0.35">
      <c r="A220" s="96" t="str">
        <f>LEFT('2025 actual v budget'!A220,4)&amp;"26"</f>
        <v>Aug-26</v>
      </c>
      <c r="B220" s="17" t="str">
        <f>'2025 actual v budget'!B220</f>
        <v>Germany</v>
      </c>
      <c r="C220" s="17" t="str">
        <f>'2025 actual v budget'!C220</f>
        <v>Stablecoin Settlement</v>
      </c>
      <c r="D220" s="19">
        <f>'2025 actual v budget'!D220</f>
        <v>18717456.68</v>
      </c>
      <c r="E220" s="97">
        <f>SUMIFS('Assumption-Worst'!$C$3:$C$32,'Assumption-Worst'!$A$3:$A$32,$B220,'Assumption-Worst'!$B$3:$B$32,$C220)</f>
        <v>0.06</v>
      </c>
      <c r="F220" s="19">
        <f t="shared" si="21"/>
        <v>19840504.080800001</v>
      </c>
      <c r="G220" s="98">
        <f>SUMIFS('Assumption-Worst'!$D$3:$D$32,'Assumption-Worst'!$A$3:$A$32,$B220,'Assumption-Worst'!$B$3:$B$32,$C220)</f>
        <v>6.4999999999999997E-3</v>
      </c>
      <c r="H220" s="99">
        <f t="shared" si="22"/>
        <v>128963.2765252</v>
      </c>
      <c r="I220" s="97">
        <f>SUMIFS('Assumption-Worst'!$E$3:$E$32,'Assumption-Worst'!$A$3:$A$32,$B220,'Assumption-Worst'!$B$3:$B$32,$C220)</f>
        <v>0.32</v>
      </c>
      <c r="J220" s="19">
        <f t="shared" si="23"/>
        <v>41268.248488063997</v>
      </c>
      <c r="K220" s="100">
        <f>SUMIFS('Assumption-Worst'!$F$3:$F$32,'Assumption-Worst'!$A$3:$A$32,$B220,'Assumption-Worst'!$B$3:$B$32,$C220)</f>
        <v>1.4999999999999999E-4</v>
      </c>
      <c r="L220" s="19">
        <f t="shared" si="24"/>
        <v>2976.0756121199997</v>
      </c>
      <c r="M220" s="99">
        <f t="shared" si="25"/>
        <v>84718.952425016003</v>
      </c>
      <c r="N220" s="97">
        <f>SUMIFS('Assumption-Worst'!$G$3:$G$32,'Assumption-Worst'!$A$3:$A$32,$B220,'Assumption-Worst'!$B$3:$B$32,$C220)</f>
        <v>0.45</v>
      </c>
      <c r="O220" s="19">
        <f t="shared" si="26"/>
        <v>58033.474436340002</v>
      </c>
      <c r="P220" s="99">
        <f t="shared" si="27"/>
        <v>26685.477988676001</v>
      </c>
    </row>
    <row r="221" spans="1:16" x14ac:dyDescent="0.35">
      <c r="A221" s="96" t="str">
        <f>LEFT('2025 actual v budget'!A221,4)&amp;"26"</f>
        <v>Aug-26</v>
      </c>
      <c r="B221" s="17" t="str">
        <f>'2025 actual v budget'!B221</f>
        <v>Germany</v>
      </c>
      <c r="C221" s="17" t="str">
        <f>'2025 actual v budget'!C221</f>
        <v>Treasury Yield</v>
      </c>
      <c r="D221" s="19">
        <f>'2025 actual v budget'!D221</f>
        <v>5084215.37</v>
      </c>
      <c r="E221" s="97">
        <f>SUMIFS('Assumption-Worst'!$C$3:$C$32,'Assumption-Worst'!$A$3:$A$32,$B221,'Assumption-Worst'!$B$3:$B$32,$C221)</f>
        <v>0.03</v>
      </c>
      <c r="F221" s="19">
        <f t="shared" si="21"/>
        <v>5236741.8311000001</v>
      </c>
      <c r="G221" s="98">
        <f>SUMIFS('Assumption-Worst'!$D$3:$D$32,'Assumption-Worst'!$A$3:$A$32,$B221,'Assumption-Worst'!$B$3:$B$32,$C221)</f>
        <v>3.0000000000000001E-3</v>
      </c>
      <c r="H221" s="99">
        <f t="shared" si="22"/>
        <v>15710.2254933</v>
      </c>
      <c r="I221" s="97">
        <f>SUMIFS('Assumption-Worst'!$E$3:$E$32,'Assumption-Worst'!$A$3:$A$32,$B221,'Assumption-Worst'!$B$3:$B$32,$C221)</f>
        <v>0.18</v>
      </c>
      <c r="J221" s="19">
        <f t="shared" si="23"/>
        <v>2827.8405887939998</v>
      </c>
      <c r="K221" s="100">
        <f>SUMIFS('Assumption-Worst'!$F$3:$F$32,'Assumption-Worst'!$A$3:$A$32,$B221,'Assumption-Worst'!$B$3:$B$32,$C221)</f>
        <v>1.4999999999999999E-4</v>
      </c>
      <c r="L221" s="19">
        <f t="shared" si="24"/>
        <v>785.51127466499997</v>
      </c>
      <c r="M221" s="99">
        <f t="shared" si="25"/>
        <v>12096.873629841002</v>
      </c>
      <c r="N221" s="97">
        <f>SUMIFS('Assumption-Worst'!$G$3:$G$32,'Assumption-Worst'!$A$3:$A$32,$B221,'Assumption-Worst'!$B$3:$B$32,$C221)</f>
        <v>0.45</v>
      </c>
      <c r="O221" s="19">
        <f t="shared" si="26"/>
        <v>7069.601471985</v>
      </c>
      <c r="P221" s="99">
        <f t="shared" si="27"/>
        <v>5027.2721578560022</v>
      </c>
    </row>
    <row r="222" spans="1:16" x14ac:dyDescent="0.35">
      <c r="A222" s="96" t="str">
        <f>LEFT('2025 actual v budget'!A222,4)&amp;"26"</f>
        <v>Aug-26</v>
      </c>
      <c r="B222" s="17" t="str">
        <f>'2025 actual v budget'!B222</f>
        <v>Germany</v>
      </c>
      <c r="C222" s="17" t="str">
        <f>'2025 actual v budget'!C222</f>
        <v>Virtual Accounts</v>
      </c>
      <c r="D222" s="19">
        <f>'2025 actual v budget'!D222</f>
        <v>7373864.3499999996</v>
      </c>
      <c r="E222" s="97">
        <f>SUMIFS('Assumption-Worst'!$C$3:$C$32,'Assumption-Worst'!$A$3:$A$32,$B222,'Assumption-Worst'!$B$3:$B$32,$C222)</f>
        <v>0.03</v>
      </c>
      <c r="F222" s="19">
        <f t="shared" si="21"/>
        <v>7595080.2804999994</v>
      </c>
      <c r="G222" s="98">
        <f>SUMIFS('Assumption-Worst'!$D$3:$D$32,'Assumption-Worst'!$A$3:$A$32,$B222,'Assumption-Worst'!$B$3:$B$32,$C222)</f>
        <v>4.4999999999999997E-3</v>
      </c>
      <c r="H222" s="99">
        <f t="shared" si="22"/>
        <v>34177.861262249993</v>
      </c>
      <c r="I222" s="97">
        <f>SUMIFS('Assumption-Worst'!$E$3:$E$32,'Assumption-Worst'!$A$3:$A$32,$B222,'Assumption-Worst'!$B$3:$B$32,$C222)</f>
        <v>0.22</v>
      </c>
      <c r="J222" s="19">
        <f t="shared" si="23"/>
        <v>7519.129477694999</v>
      </c>
      <c r="K222" s="100">
        <f>SUMIFS('Assumption-Worst'!$F$3:$F$32,'Assumption-Worst'!$A$3:$A$32,$B222,'Assumption-Worst'!$B$3:$B$32,$C222)</f>
        <v>1.4999999999999999E-4</v>
      </c>
      <c r="L222" s="19">
        <f t="shared" si="24"/>
        <v>1139.2620420749997</v>
      </c>
      <c r="M222" s="99">
        <f t="shared" si="25"/>
        <v>25519.469742479996</v>
      </c>
      <c r="N222" s="97">
        <f>SUMIFS('Assumption-Worst'!$G$3:$G$32,'Assumption-Worst'!$A$3:$A$32,$B222,'Assumption-Worst'!$B$3:$B$32,$C222)</f>
        <v>0.45</v>
      </c>
      <c r="O222" s="19">
        <f t="shared" si="26"/>
        <v>15380.037568012498</v>
      </c>
      <c r="P222" s="99">
        <f t="shared" si="27"/>
        <v>10139.432174467498</v>
      </c>
    </row>
    <row r="223" spans="1:16" x14ac:dyDescent="0.35">
      <c r="A223" s="96" t="str">
        <f>LEFT('2025 actual v budget'!A223,4)&amp;"26"</f>
        <v>Aug-26</v>
      </c>
      <c r="B223" s="17" t="str">
        <f>'2025 actual v budget'!B223</f>
        <v>India</v>
      </c>
      <c r="C223" s="17" t="str">
        <f>'2025 actual v budget'!C223</f>
        <v>Cross-border Payouts</v>
      </c>
      <c r="D223" s="19">
        <f>'2025 actual v budget'!D223</f>
        <v>11412782.77</v>
      </c>
      <c r="E223" s="97">
        <f>SUMIFS('Assumption-Worst'!$C$3:$C$32,'Assumption-Worst'!$A$3:$A$32,$B223,'Assumption-Worst'!$B$3:$B$32,$C223)</f>
        <v>0.06</v>
      </c>
      <c r="F223" s="19">
        <f t="shared" si="21"/>
        <v>12097549.736199999</v>
      </c>
      <c r="G223" s="98">
        <f>SUMIFS('Assumption-Worst'!$D$3:$D$32,'Assumption-Worst'!$A$3:$A$32,$B223,'Assumption-Worst'!$B$3:$B$32,$C223)</f>
        <v>7.4999999999999997E-3</v>
      </c>
      <c r="H223" s="99">
        <f t="shared" si="22"/>
        <v>90731.623021499996</v>
      </c>
      <c r="I223" s="97">
        <f>SUMIFS('Assumption-Worst'!$E$3:$E$32,'Assumption-Worst'!$A$3:$A$32,$B223,'Assumption-Worst'!$B$3:$B$32,$C223)</f>
        <v>0.35</v>
      </c>
      <c r="J223" s="19">
        <f t="shared" si="23"/>
        <v>31756.068057524997</v>
      </c>
      <c r="K223" s="100">
        <f>SUMIFS('Assumption-Worst'!$F$3:$F$32,'Assumption-Worst'!$A$3:$A$32,$B223,'Assumption-Worst'!$B$3:$B$32,$C223)</f>
        <v>1.8000000000000001E-4</v>
      </c>
      <c r="L223" s="19">
        <f t="shared" si="24"/>
        <v>2177.5589525159999</v>
      </c>
      <c r="M223" s="99">
        <f t="shared" si="25"/>
        <v>56797.996011458992</v>
      </c>
      <c r="N223" s="97">
        <f>SUMIFS('Assumption-Worst'!$G$3:$G$32,'Assumption-Worst'!$A$3:$A$32,$B223,'Assumption-Worst'!$B$3:$B$32,$C223)</f>
        <v>0.45</v>
      </c>
      <c r="O223" s="19">
        <f t="shared" si="26"/>
        <v>40829.230359674999</v>
      </c>
      <c r="P223" s="99">
        <f t="shared" si="27"/>
        <v>15968.765651783993</v>
      </c>
    </row>
    <row r="224" spans="1:16" x14ac:dyDescent="0.35">
      <c r="A224" s="96" t="str">
        <f>LEFT('2025 actual v budget'!A224,4)&amp;"26"</f>
        <v>Aug-26</v>
      </c>
      <c r="B224" s="17" t="str">
        <f>'2025 actual v budget'!B224</f>
        <v>India</v>
      </c>
      <c r="C224" s="17" t="str">
        <f>'2025 actual v budget'!C224</f>
        <v>FX Conversion</v>
      </c>
      <c r="D224" s="19">
        <f>'2025 actual v budget'!D224</f>
        <v>17659093.91</v>
      </c>
      <c r="E224" s="97">
        <f>SUMIFS('Assumption-Worst'!$C$3:$C$32,'Assumption-Worst'!$A$3:$A$32,$B224,'Assumption-Worst'!$B$3:$B$32,$C224)</f>
        <v>0.06</v>
      </c>
      <c r="F224" s="19">
        <f t="shared" si="21"/>
        <v>18718639.544600002</v>
      </c>
      <c r="G224" s="98">
        <f>SUMIFS('Assumption-Worst'!$D$3:$D$32,'Assumption-Worst'!$A$3:$A$32,$B224,'Assumption-Worst'!$B$3:$B$32,$C224)</f>
        <v>1.0500000000000001E-2</v>
      </c>
      <c r="H224" s="99">
        <f t="shared" si="22"/>
        <v>196545.71521830003</v>
      </c>
      <c r="I224" s="97">
        <f>SUMIFS('Assumption-Worst'!$E$3:$E$32,'Assumption-Worst'!$A$3:$A$32,$B224,'Assumption-Worst'!$B$3:$B$32,$C224)</f>
        <v>0.28000000000000003</v>
      </c>
      <c r="J224" s="19">
        <f t="shared" si="23"/>
        <v>55032.800261124015</v>
      </c>
      <c r="K224" s="100">
        <f>SUMIFS('Assumption-Worst'!$F$3:$F$32,'Assumption-Worst'!$A$3:$A$32,$B224,'Assumption-Worst'!$B$3:$B$32,$C224)</f>
        <v>1.8000000000000001E-4</v>
      </c>
      <c r="L224" s="19">
        <f t="shared" si="24"/>
        <v>3369.3551180280006</v>
      </c>
      <c r="M224" s="99">
        <f t="shared" si="25"/>
        <v>138143.55983914802</v>
      </c>
      <c r="N224" s="97">
        <f>SUMIFS('Assumption-Worst'!$G$3:$G$32,'Assumption-Worst'!$A$3:$A$32,$B224,'Assumption-Worst'!$B$3:$B$32,$C224)</f>
        <v>0.45</v>
      </c>
      <c r="O224" s="19">
        <f t="shared" si="26"/>
        <v>88445.57184823502</v>
      </c>
      <c r="P224" s="99">
        <f t="shared" si="27"/>
        <v>49697.987990912996</v>
      </c>
    </row>
    <row r="225" spans="1:16" x14ac:dyDescent="0.35">
      <c r="A225" s="96" t="str">
        <f>LEFT('2025 actual v budget'!A225,4)&amp;"26"</f>
        <v>Aug-26</v>
      </c>
      <c r="B225" s="17" t="str">
        <f>'2025 actual v budget'!B225</f>
        <v>India</v>
      </c>
      <c r="C225" s="17" t="str">
        <f>'2025 actual v budget'!C225</f>
        <v>Stablecoin Settlement</v>
      </c>
      <c r="D225" s="19">
        <f>'2025 actual v budget'!D225</f>
        <v>27022216.579999998</v>
      </c>
      <c r="E225" s="97">
        <f>SUMIFS('Assumption-Worst'!$C$3:$C$32,'Assumption-Worst'!$A$3:$A$32,$B225,'Assumption-Worst'!$B$3:$B$32,$C225)</f>
        <v>0.12</v>
      </c>
      <c r="F225" s="19">
        <f t="shared" si="21"/>
        <v>30264882.569600001</v>
      </c>
      <c r="G225" s="98">
        <f>SUMIFS('Assumption-Worst'!$D$3:$D$32,'Assumption-Worst'!$A$3:$A$32,$B225,'Assumption-Worst'!$B$3:$B$32,$C225)</f>
        <v>6.4999999999999997E-3</v>
      </c>
      <c r="H225" s="99">
        <f t="shared" si="22"/>
        <v>196721.7367024</v>
      </c>
      <c r="I225" s="97">
        <f>SUMIFS('Assumption-Worst'!$E$3:$E$32,'Assumption-Worst'!$A$3:$A$32,$B225,'Assumption-Worst'!$B$3:$B$32,$C225)</f>
        <v>0.32</v>
      </c>
      <c r="J225" s="19">
        <f t="shared" si="23"/>
        <v>62950.955744767998</v>
      </c>
      <c r="K225" s="100">
        <f>SUMIFS('Assumption-Worst'!$F$3:$F$32,'Assumption-Worst'!$A$3:$A$32,$B225,'Assumption-Worst'!$B$3:$B$32,$C225)</f>
        <v>1.8000000000000001E-4</v>
      </c>
      <c r="L225" s="19">
        <f t="shared" si="24"/>
        <v>5447.6788625280005</v>
      </c>
      <c r="M225" s="99">
        <f t="shared" si="25"/>
        <v>128323.102095104</v>
      </c>
      <c r="N225" s="97">
        <f>SUMIFS('Assumption-Worst'!$G$3:$G$32,'Assumption-Worst'!$A$3:$A$32,$B225,'Assumption-Worst'!$B$3:$B$32,$C225)</f>
        <v>0.45</v>
      </c>
      <c r="O225" s="19">
        <f t="shared" si="26"/>
        <v>88524.781516079995</v>
      </c>
      <c r="P225" s="99">
        <f t="shared" si="27"/>
        <v>39798.320579024003</v>
      </c>
    </row>
    <row r="226" spans="1:16" x14ac:dyDescent="0.35">
      <c r="A226" s="96" t="str">
        <f>LEFT('2025 actual v budget'!A226,4)&amp;"26"</f>
        <v>Aug-26</v>
      </c>
      <c r="B226" s="17" t="str">
        <f>'2025 actual v budget'!B226</f>
        <v>India</v>
      </c>
      <c r="C226" s="17" t="str">
        <f>'2025 actual v budget'!C226</f>
        <v>Treasury Yield</v>
      </c>
      <c r="D226" s="19">
        <f>'2025 actual v budget'!D226</f>
        <v>7346930.4000000004</v>
      </c>
      <c r="E226" s="97">
        <f>SUMIFS('Assumption-Worst'!$C$3:$C$32,'Assumption-Worst'!$A$3:$A$32,$B226,'Assumption-Worst'!$B$3:$B$32,$C226)</f>
        <v>0.06</v>
      </c>
      <c r="F226" s="19">
        <f t="shared" si="21"/>
        <v>7787746.2240000004</v>
      </c>
      <c r="G226" s="98">
        <f>SUMIFS('Assumption-Worst'!$D$3:$D$32,'Assumption-Worst'!$A$3:$A$32,$B226,'Assumption-Worst'!$B$3:$B$32,$C226)</f>
        <v>3.0000000000000001E-3</v>
      </c>
      <c r="H226" s="99">
        <f t="shared" si="22"/>
        <v>23363.238672000003</v>
      </c>
      <c r="I226" s="97">
        <f>SUMIFS('Assumption-Worst'!$E$3:$E$32,'Assumption-Worst'!$A$3:$A$32,$B226,'Assumption-Worst'!$B$3:$B$32,$C226)</f>
        <v>0.18</v>
      </c>
      <c r="J226" s="19">
        <f t="shared" si="23"/>
        <v>4205.3829609600007</v>
      </c>
      <c r="K226" s="100">
        <f>SUMIFS('Assumption-Worst'!$F$3:$F$32,'Assumption-Worst'!$A$3:$A$32,$B226,'Assumption-Worst'!$B$3:$B$32,$C226)</f>
        <v>1.8000000000000001E-4</v>
      </c>
      <c r="L226" s="19">
        <f t="shared" si="24"/>
        <v>1401.7943203200002</v>
      </c>
      <c r="M226" s="99">
        <f t="shared" si="25"/>
        <v>17756.061390720002</v>
      </c>
      <c r="N226" s="97">
        <f>SUMIFS('Assumption-Worst'!$G$3:$G$32,'Assumption-Worst'!$A$3:$A$32,$B226,'Assumption-Worst'!$B$3:$B$32,$C226)</f>
        <v>0.45</v>
      </c>
      <c r="O226" s="19">
        <f t="shared" si="26"/>
        <v>10513.457402400001</v>
      </c>
      <c r="P226" s="99">
        <f t="shared" si="27"/>
        <v>7242.603988320001</v>
      </c>
    </row>
    <row r="227" spans="1:16" x14ac:dyDescent="0.35">
      <c r="A227" s="96" t="str">
        <f>LEFT('2025 actual v budget'!A227,4)&amp;"26"</f>
        <v>Aug-26</v>
      </c>
      <c r="B227" s="17" t="str">
        <f>'2025 actual v budget'!B227</f>
        <v>India</v>
      </c>
      <c r="C227" s="17" t="str">
        <f>'2025 actual v budget'!C227</f>
        <v>Virtual Accounts</v>
      </c>
      <c r="D227" s="19">
        <f>'2025 actual v budget'!D227</f>
        <v>10655580.880000001</v>
      </c>
      <c r="E227" s="97">
        <f>SUMIFS('Assumption-Worst'!$C$3:$C$32,'Assumption-Worst'!$A$3:$A$32,$B227,'Assumption-Worst'!$B$3:$B$32,$C227)</f>
        <v>0.06</v>
      </c>
      <c r="F227" s="19">
        <f t="shared" si="21"/>
        <v>11294915.732800001</v>
      </c>
      <c r="G227" s="98">
        <f>SUMIFS('Assumption-Worst'!$D$3:$D$32,'Assumption-Worst'!$A$3:$A$32,$B227,'Assumption-Worst'!$B$3:$B$32,$C227)</f>
        <v>4.4999999999999997E-3</v>
      </c>
      <c r="H227" s="99">
        <f t="shared" si="22"/>
        <v>50827.120797600001</v>
      </c>
      <c r="I227" s="97">
        <f>SUMIFS('Assumption-Worst'!$E$3:$E$32,'Assumption-Worst'!$A$3:$A$32,$B227,'Assumption-Worst'!$B$3:$B$32,$C227)</f>
        <v>0.22</v>
      </c>
      <c r="J227" s="19">
        <f t="shared" si="23"/>
        <v>11181.966575472001</v>
      </c>
      <c r="K227" s="100">
        <f>SUMIFS('Assumption-Worst'!$F$3:$F$32,'Assumption-Worst'!$A$3:$A$32,$B227,'Assumption-Worst'!$B$3:$B$32,$C227)</f>
        <v>1.8000000000000001E-4</v>
      </c>
      <c r="L227" s="19">
        <f t="shared" si="24"/>
        <v>2033.0848319040003</v>
      </c>
      <c r="M227" s="99">
        <f t="shared" si="25"/>
        <v>37612.069390223995</v>
      </c>
      <c r="N227" s="97">
        <f>SUMIFS('Assumption-Worst'!$G$3:$G$32,'Assumption-Worst'!$A$3:$A$32,$B227,'Assumption-Worst'!$B$3:$B$32,$C227)</f>
        <v>0.45</v>
      </c>
      <c r="O227" s="19">
        <f t="shared" si="26"/>
        <v>22872.20435892</v>
      </c>
      <c r="P227" s="99">
        <f t="shared" si="27"/>
        <v>14739.865031303994</v>
      </c>
    </row>
    <row r="228" spans="1:16" x14ac:dyDescent="0.35">
      <c r="A228" s="96" t="str">
        <f>LEFT('2025 actual v budget'!A228,4)&amp;"26"</f>
        <v>Aug-26</v>
      </c>
      <c r="B228" s="17" t="str">
        <f>'2025 actual v budget'!B228</f>
        <v>Mexico</v>
      </c>
      <c r="C228" s="17" t="str">
        <f>'2025 actual v budget'!C228</f>
        <v>Cross-border Payouts</v>
      </c>
      <c r="D228" s="19">
        <f>'2025 actual v budget'!D228</f>
        <v>13501092.75</v>
      </c>
      <c r="E228" s="97">
        <f>SUMIFS('Assumption-Worst'!$C$3:$C$32,'Assumption-Worst'!$A$3:$A$32,$B228,'Assumption-Worst'!$B$3:$B$32,$C228)</f>
        <v>7.4999999999999997E-2</v>
      </c>
      <c r="F228" s="19">
        <f t="shared" si="21"/>
        <v>14513674.706249999</v>
      </c>
      <c r="G228" s="98">
        <f>SUMIFS('Assumption-Worst'!$D$3:$D$32,'Assumption-Worst'!$A$3:$A$32,$B228,'Assumption-Worst'!$B$3:$B$32,$C228)</f>
        <v>7.4999999999999997E-3</v>
      </c>
      <c r="H228" s="99">
        <f t="shared" si="22"/>
        <v>108852.56029687499</v>
      </c>
      <c r="I228" s="97">
        <f>SUMIFS('Assumption-Worst'!$E$3:$E$32,'Assumption-Worst'!$A$3:$A$32,$B228,'Assumption-Worst'!$B$3:$B$32,$C228)</f>
        <v>0.35</v>
      </c>
      <c r="J228" s="19">
        <f t="shared" si="23"/>
        <v>38098.396103906241</v>
      </c>
      <c r="K228" s="100">
        <f>SUMIFS('Assumption-Worst'!$F$3:$F$32,'Assumption-Worst'!$A$3:$A$32,$B228,'Assumption-Worst'!$B$3:$B$32,$C228)</f>
        <v>8.0000000000000007E-5</v>
      </c>
      <c r="L228" s="19">
        <f t="shared" si="24"/>
        <v>1161.0939765000001</v>
      </c>
      <c r="M228" s="99">
        <f t="shared" si="25"/>
        <v>69593.070216468754</v>
      </c>
      <c r="N228" s="97">
        <f>SUMIFS('Assumption-Worst'!$G$3:$G$32,'Assumption-Worst'!$A$3:$A$32,$B228,'Assumption-Worst'!$B$3:$B$32,$C228)</f>
        <v>0.45</v>
      </c>
      <c r="O228" s="19">
        <f t="shared" si="26"/>
        <v>48983.652133593743</v>
      </c>
      <c r="P228" s="99">
        <f t="shared" si="27"/>
        <v>20609.41808287501</v>
      </c>
    </row>
    <row r="229" spans="1:16" x14ac:dyDescent="0.35">
      <c r="A229" s="96" t="str">
        <f>LEFT('2025 actual v budget'!A229,4)&amp;"26"</f>
        <v>Aug-26</v>
      </c>
      <c r="B229" s="17" t="str">
        <f>'2025 actual v budget'!B229</f>
        <v>Mexico</v>
      </c>
      <c r="C229" s="17" t="str">
        <f>'2025 actual v budget'!C229</f>
        <v>FX Conversion</v>
      </c>
      <c r="D229" s="19">
        <f>'2025 actual v budget'!D229</f>
        <v>20887160.43</v>
      </c>
      <c r="E229" s="97">
        <f>SUMIFS('Assumption-Worst'!$C$3:$C$32,'Assumption-Worst'!$A$3:$A$32,$B229,'Assumption-Worst'!$B$3:$B$32,$C229)</f>
        <v>7.4999999999999997E-2</v>
      </c>
      <c r="F229" s="19">
        <f t="shared" si="21"/>
        <v>22453697.462249998</v>
      </c>
      <c r="G229" s="98">
        <f>SUMIFS('Assumption-Worst'!$D$3:$D$32,'Assumption-Worst'!$A$3:$A$32,$B229,'Assumption-Worst'!$B$3:$B$32,$C229)</f>
        <v>1.0500000000000001E-2</v>
      </c>
      <c r="H229" s="99">
        <f t="shared" si="22"/>
        <v>235763.82335362499</v>
      </c>
      <c r="I229" s="97">
        <f>SUMIFS('Assumption-Worst'!$E$3:$E$32,'Assumption-Worst'!$A$3:$A$32,$B229,'Assumption-Worst'!$B$3:$B$32,$C229)</f>
        <v>0.28000000000000003</v>
      </c>
      <c r="J229" s="19">
        <f t="shared" si="23"/>
        <v>66013.870539014999</v>
      </c>
      <c r="K229" s="100">
        <f>SUMIFS('Assumption-Worst'!$F$3:$F$32,'Assumption-Worst'!$A$3:$A$32,$B229,'Assumption-Worst'!$B$3:$B$32,$C229)</f>
        <v>8.0000000000000007E-5</v>
      </c>
      <c r="L229" s="19">
        <f t="shared" si="24"/>
        <v>1796.29579698</v>
      </c>
      <c r="M229" s="99">
        <f t="shared" si="25"/>
        <v>167953.65701762997</v>
      </c>
      <c r="N229" s="97">
        <f>SUMIFS('Assumption-Worst'!$G$3:$G$32,'Assumption-Worst'!$A$3:$A$32,$B229,'Assumption-Worst'!$B$3:$B$32,$C229)</f>
        <v>0.45</v>
      </c>
      <c r="O229" s="19">
        <f t="shared" si="26"/>
        <v>106093.72050913125</v>
      </c>
      <c r="P229" s="99">
        <f t="shared" si="27"/>
        <v>61859.936508498722</v>
      </c>
    </row>
    <row r="230" spans="1:16" x14ac:dyDescent="0.35">
      <c r="A230" s="96" t="str">
        <f>LEFT('2025 actual v budget'!A230,4)&amp;"26"</f>
        <v>Aug-26</v>
      </c>
      <c r="B230" s="17" t="str">
        <f>'2025 actual v budget'!B230</f>
        <v>Mexico</v>
      </c>
      <c r="C230" s="17" t="str">
        <f>'2025 actual v budget'!C230</f>
        <v>Stablecoin Settlement</v>
      </c>
      <c r="D230" s="19">
        <f>'2025 actual v budget'!D230</f>
        <v>31966739.370000001</v>
      </c>
      <c r="E230" s="97">
        <f>SUMIFS('Assumption-Worst'!$C$3:$C$32,'Assumption-Worst'!$A$3:$A$32,$B230,'Assumption-Worst'!$B$3:$B$32,$C230)</f>
        <v>0.15</v>
      </c>
      <c r="F230" s="19">
        <f t="shared" si="21"/>
        <v>36761750.2755</v>
      </c>
      <c r="G230" s="98">
        <f>SUMIFS('Assumption-Worst'!$D$3:$D$32,'Assumption-Worst'!$A$3:$A$32,$B230,'Assumption-Worst'!$B$3:$B$32,$C230)</f>
        <v>6.4999999999999997E-3</v>
      </c>
      <c r="H230" s="99">
        <f t="shared" si="22"/>
        <v>238951.37679074999</v>
      </c>
      <c r="I230" s="97">
        <f>SUMIFS('Assumption-Worst'!$E$3:$E$32,'Assumption-Worst'!$A$3:$A$32,$B230,'Assumption-Worst'!$B$3:$B$32,$C230)</f>
        <v>0.32</v>
      </c>
      <c r="J230" s="19">
        <f t="shared" si="23"/>
        <v>76464.440573040003</v>
      </c>
      <c r="K230" s="100">
        <f>SUMIFS('Assumption-Worst'!$F$3:$F$32,'Assumption-Worst'!$A$3:$A$32,$B230,'Assumption-Worst'!$B$3:$B$32,$C230)</f>
        <v>8.0000000000000007E-5</v>
      </c>
      <c r="L230" s="19">
        <f t="shared" si="24"/>
        <v>2940.9400220400003</v>
      </c>
      <c r="M230" s="99">
        <f t="shared" si="25"/>
        <v>159545.99619566996</v>
      </c>
      <c r="N230" s="97">
        <f>SUMIFS('Assumption-Worst'!$G$3:$G$32,'Assumption-Worst'!$A$3:$A$32,$B230,'Assumption-Worst'!$B$3:$B$32,$C230)</f>
        <v>0.45</v>
      </c>
      <c r="O230" s="19">
        <f t="shared" si="26"/>
        <v>107528.11955583749</v>
      </c>
      <c r="P230" s="99">
        <f t="shared" si="27"/>
        <v>52017.876639832466</v>
      </c>
    </row>
    <row r="231" spans="1:16" x14ac:dyDescent="0.35">
      <c r="A231" s="96" t="str">
        <f>LEFT('2025 actual v budget'!A231,4)&amp;"26"</f>
        <v>Aug-26</v>
      </c>
      <c r="B231" s="17" t="str">
        <f>'2025 actual v budget'!B231</f>
        <v>Mexico</v>
      </c>
      <c r="C231" s="17" t="str">
        <f>'2025 actual v budget'!C231</f>
        <v>Treasury Yield</v>
      </c>
      <c r="D231" s="19">
        <f>'2025 actual v budget'!D231</f>
        <v>8689942.6799999997</v>
      </c>
      <c r="E231" s="97">
        <f>SUMIFS('Assumption-Worst'!$C$3:$C$32,'Assumption-Worst'!$A$3:$A$32,$B231,'Assumption-Worst'!$B$3:$B$32,$C231)</f>
        <v>7.4999999999999997E-2</v>
      </c>
      <c r="F231" s="19">
        <f t="shared" si="21"/>
        <v>9341688.3809999991</v>
      </c>
      <c r="G231" s="98">
        <f>SUMIFS('Assumption-Worst'!$D$3:$D$32,'Assumption-Worst'!$A$3:$A$32,$B231,'Assumption-Worst'!$B$3:$B$32,$C231)</f>
        <v>3.0000000000000001E-3</v>
      </c>
      <c r="H231" s="99">
        <f t="shared" si="22"/>
        <v>28025.065142999996</v>
      </c>
      <c r="I231" s="97">
        <f>SUMIFS('Assumption-Worst'!$E$3:$E$32,'Assumption-Worst'!$A$3:$A$32,$B231,'Assumption-Worst'!$B$3:$B$32,$C231)</f>
        <v>0.18</v>
      </c>
      <c r="J231" s="19">
        <f t="shared" si="23"/>
        <v>5044.5117257399988</v>
      </c>
      <c r="K231" s="100">
        <f>SUMIFS('Assumption-Worst'!$F$3:$F$32,'Assumption-Worst'!$A$3:$A$32,$B231,'Assumption-Worst'!$B$3:$B$32,$C231)</f>
        <v>8.0000000000000007E-5</v>
      </c>
      <c r="L231" s="19">
        <f t="shared" si="24"/>
        <v>747.33507048000001</v>
      </c>
      <c r="M231" s="99">
        <f t="shared" si="25"/>
        <v>22233.218346779999</v>
      </c>
      <c r="N231" s="97">
        <f>SUMIFS('Assumption-Worst'!$G$3:$G$32,'Assumption-Worst'!$A$3:$A$32,$B231,'Assumption-Worst'!$B$3:$B$32,$C231)</f>
        <v>0.45</v>
      </c>
      <c r="O231" s="19">
        <f t="shared" si="26"/>
        <v>12611.279314349998</v>
      </c>
      <c r="P231" s="99">
        <f t="shared" si="27"/>
        <v>9621.9390324300002</v>
      </c>
    </row>
    <row r="232" spans="1:16" x14ac:dyDescent="0.35">
      <c r="A232" s="96" t="str">
        <f>LEFT('2025 actual v budget'!A232,4)&amp;"26"</f>
        <v>Aug-26</v>
      </c>
      <c r="B232" s="17" t="str">
        <f>'2025 actual v budget'!B232</f>
        <v>Mexico</v>
      </c>
      <c r="C232" s="17" t="str">
        <f>'2025 actual v budget'!C232</f>
        <v>Virtual Accounts</v>
      </c>
      <c r="D232" s="19">
        <f>'2025 actual v budget'!D232</f>
        <v>12603411.51</v>
      </c>
      <c r="E232" s="97">
        <f>SUMIFS('Assumption-Worst'!$C$3:$C$32,'Assumption-Worst'!$A$3:$A$32,$B232,'Assumption-Worst'!$B$3:$B$32,$C232)</f>
        <v>7.4999999999999997E-2</v>
      </c>
      <c r="F232" s="19">
        <f t="shared" si="21"/>
        <v>13548667.373249998</v>
      </c>
      <c r="G232" s="98">
        <f>SUMIFS('Assumption-Worst'!$D$3:$D$32,'Assumption-Worst'!$A$3:$A$32,$B232,'Assumption-Worst'!$B$3:$B$32,$C232)</f>
        <v>4.4999999999999997E-3</v>
      </c>
      <c r="H232" s="99">
        <f t="shared" si="22"/>
        <v>60969.00317962499</v>
      </c>
      <c r="I232" s="97">
        <f>SUMIFS('Assumption-Worst'!$E$3:$E$32,'Assumption-Worst'!$A$3:$A$32,$B232,'Assumption-Worst'!$B$3:$B$32,$C232)</f>
        <v>0.22</v>
      </c>
      <c r="J232" s="19">
        <f t="shared" si="23"/>
        <v>13413.180699517497</v>
      </c>
      <c r="K232" s="100">
        <f>SUMIFS('Assumption-Worst'!$F$3:$F$32,'Assumption-Worst'!$A$3:$A$32,$B232,'Assumption-Worst'!$B$3:$B$32,$C232)</f>
        <v>8.0000000000000007E-5</v>
      </c>
      <c r="L232" s="19">
        <f t="shared" si="24"/>
        <v>1083.8933898599998</v>
      </c>
      <c r="M232" s="99">
        <f t="shared" si="25"/>
        <v>46471.92909024749</v>
      </c>
      <c r="N232" s="97">
        <f>SUMIFS('Assumption-Worst'!$G$3:$G$32,'Assumption-Worst'!$A$3:$A$32,$B232,'Assumption-Worst'!$B$3:$B$32,$C232)</f>
        <v>0.45</v>
      </c>
      <c r="O232" s="19">
        <f t="shared" si="26"/>
        <v>27436.051430831245</v>
      </c>
      <c r="P232" s="99">
        <f t="shared" si="27"/>
        <v>19035.877659416245</v>
      </c>
    </row>
    <row r="233" spans="1:16" x14ac:dyDescent="0.35">
      <c r="A233" s="96" t="str">
        <f>LEFT('2025 actual v budget'!A233,4)&amp;"26"</f>
        <v>Aug-26</v>
      </c>
      <c r="B233" s="17" t="str">
        <f>'2025 actual v budget'!B233</f>
        <v>Singapore</v>
      </c>
      <c r="C233" s="17" t="str">
        <f>'2025 actual v budget'!C233</f>
        <v>Cross-border Payouts</v>
      </c>
      <c r="D233" s="19">
        <f>'2025 actual v budget'!D233</f>
        <v>10674025.66</v>
      </c>
      <c r="E233" s="97">
        <f>SUMIFS('Assumption-Worst'!$C$3:$C$32,'Assumption-Worst'!$A$3:$A$32,$B233,'Assumption-Worst'!$B$3:$B$32,$C233)</f>
        <v>2.5000000000000001E-2</v>
      </c>
      <c r="F233" s="19">
        <f t="shared" si="21"/>
        <v>10940876.3015</v>
      </c>
      <c r="G233" s="98">
        <f>SUMIFS('Assumption-Worst'!$D$3:$D$32,'Assumption-Worst'!$A$3:$A$32,$B233,'Assumption-Worst'!$B$3:$B$32,$C233)</f>
        <v>7.4999999999999997E-3</v>
      </c>
      <c r="H233" s="99">
        <f t="shared" si="22"/>
        <v>82056.572261249996</v>
      </c>
      <c r="I233" s="97">
        <f>SUMIFS('Assumption-Worst'!$E$3:$E$32,'Assumption-Worst'!$A$3:$A$32,$B233,'Assumption-Worst'!$B$3:$B$32,$C233)</f>
        <v>0.35</v>
      </c>
      <c r="J233" s="19">
        <f t="shared" si="23"/>
        <v>28719.800291437496</v>
      </c>
      <c r="K233" s="100">
        <f>SUMIFS('Assumption-Worst'!$F$3:$F$32,'Assumption-Worst'!$A$3:$A$32,$B233,'Assumption-Worst'!$B$3:$B$32,$C233)</f>
        <v>9.0000000000000006E-5</v>
      </c>
      <c r="L233" s="19">
        <f t="shared" si="24"/>
        <v>984.67886713500002</v>
      </c>
      <c r="M233" s="99">
        <f t="shared" si="25"/>
        <v>52352.0931026775</v>
      </c>
      <c r="N233" s="97">
        <f>SUMIFS('Assumption-Worst'!$G$3:$G$32,'Assumption-Worst'!$A$3:$A$32,$B233,'Assumption-Worst'!$B$3:$B$32,$C233)</f>
        <v>0.45</v>
      </c>
      <c r="O233" s="19">
        <f t="shared" si="26"/>
        <v>36925.4575175625</v>
      </c>
      <c r="P233" s="99">
        <f t="shared" si="27"/>
        <v>15426.635585115</v>
      </c>
    </row>
    <row r="234" spans="1:16" x14ac:dyDescent="0.35">
      <c r="A234" s="96" t="str">
        <f>LEFT('2025 actual v budget'!A234,4)&amp;"26"</f>
        <v>Aug-26</v>
      </c>
      <c r="B234" s="17" t="str">
        <f>'2025 actual v budget'!B234</f>
        <v>Singapore</v>
      </c>
      <c r="C234" s="17" t="str">
        <f>'2025 actual v budget'!C234</f>
        <v>FX Conversion</v>
      </c>
      <c r="D234" s="19">
        <f>'2025 actual v budget'!D234</f>
        <v>16505770.01</v>
      </c>
      <c r="E234" s="97">
        <f>SUMIFS('Assumption-Worst'!$C$3:$C$32,'Assumption-Worst'!$A$3:$A$32,$B234,'Assumption-Worst'!$B$3:$B$32,$C234)</f>
        <v>2.5000000000000001E-2</v>
      </c>
      <c r="F234" s="19">
        <f t="shared" si="21"/>
        <v>16918414.260249998</v>
      </c>
      <c r="G234" s="98">
        <f>SUMIFS('Assumption-Worst'!$D$3:$D$32,'Assumption-Worst'!$A$3:$A$32,$B234,'Assumption-Worst'!$B$3:$B$32,$C234)</f>
        <v>1.0500000000000001E-2</v>
      </c>
      <c r="H234" s="99">
        <f t="shared" si="22"/>
        <v>177643.34973262501</v>
      </c>
      <c r="I234" s="97">
        <f>SUMIFS('Assumption-Worst'!$E$3:$E$32,'Assumption-Worst'!$A$3:$A$32,$B234,'Assumption-Worst'!$B$3:$B$32,$C234)</f>
        <v>0.28000000000000003</v>
      </c>
      <c r="J234" s="19">
        <f t="shared" si="23"/>
        <v>49740.137925135008</v>
      </c>
      <c r="K234" s="100">
        <f>SUMIFS('Assumption-Worst'!$F$3:$F$32,'Assumption-Worst'!$A$3:$A$32,$B234,'Assumption-Worst'!$B$3:$B$32,$C234)</f>
        <v>9.0000000000000006E-5</v>
      </c>
      <c r="L234" s="19">
        <f t="shared" si="24"/>
        <v>1522.6572834224999</v>
      </c>
      <c r="M234" s="99">
        <f t="shared" si="25"/>
        <v>126380.55452406751</v>
      </c>
      <c r="N234" s="97">
        <f>SUMIFS('Assumption-Worst'!$G$3:$G$32,'Assumption-Worst'!$A$3:$A$32,$B234,'Assumption-Worst'!$B$3:$B$32,$C234)</f>
        <v>0.45</v>
      </c>
      <c r="O234" s="19">
        <f t="shared" si="26"/>
        <v>79939.50737968125</v>
      </c>
      <c r="P234" s="99">
        <f t="shared" si="27"/>
        <v>46441.047144386263</v>
      </c>
    </row>
    <row r="235" spans="1:16" x14ac:dyDescent="0.35">
      <c r="A235" s="96" t="str">
        <f>LEFT('2025 actual v budget'!A235,4)&amp;"26"</f>
        <v>Aug-26</v>
      </c>
      <c r="B235" s="17" t="str">
        <f>'2025 actual v budget'!B235</f>
        <v>Singapore</v>
      </c>
      <c r="C235" s="17" t="str">
        <f>'2025 actual v budget'!C235</f>
        <v>Stablecoin Settlement</v>
      </c>
      <c r="D235" s="19">
        <f>'2025 actual v budget'!D235</f>
        <v>25273050.300000001</v>
      </c>
      <c r="E235" s="97">
        <f>SUMIFS('Assumption-Worst'!$C$3:$C$32,'Assumption-Worst'!$A$3:$A$32,$B235,'Assumption-Worst'!$B$3:$B$32,$C235)</f>
        <v>0.05</v>
      </c>
      <c r="F235" s="19">
        <f t="shared" si="21"/>
        <v>26536702.815000001</v>
      </c>
      <c r="G235" s="98">
        <f>SUMIFS('Assumption-Worst'!$D$3:$D$32,'Assumption-Worst'!$A$3:$A$32,$B235,'Assumption-Worst'!$B$3:$B$32,$C235)</f>
        <v>6.4999999999999997E-3</v>
      </c>
      <c r="H235" s="99">
        <f t="shared" si="22"/>
        <v>172488.56829749999</v>
      </c>
      <c r="I235" s="97">
        <f>SUMIFS('Assumption-Worst'!$E$3:$E$32,'Assumption-Worst'!$A$3:$A$32,$B235,'Assumption-Worst'!$B$3:$B$32,$C235)</f>
        <v>0.32</v>
      </c>
      <c r="J235" s="19">
        <f t="shared" si="23"/>
        <v>55196.3418552</v>
      </c>
      <c r="K235" s="100">
        <f>SUMIFS('Assumption-Worst'!$F$3:$F$32,'Assumption-Worst'!$A$3:$A$32,$B235,'Assumption-Worst'!$B$3:$B$32,$C235)</f>
        <v>9.0000000000000006E-5</v>
      </c>
      <c r="L235" s="19">
        <f t="shared" si="24"/>
        <v>2388.3032533500004</v>
      </c>
      <c r="M235" s="99">
        <f t="shared" si="25"/>
        <v>114903.92318894999</v>
      </c>
      <c r="N235" s="97">
        <f>SUMIFS('Assumption-Worst'!$G$3:$G$32,'Assumption-Worst'!$A$3:$A$32,$B235,'Assumption-Worst'!$B$3:$B$32,$C235)</f>
        <v>0.45</v>
      </c>
      <c r="O235" s="19">
        <f t="shared" si="26"/>
        <v>77619.855733874996</v>
      </c>
      <c r="P235" s="99">
        <f t="shared" si="27"/>
        <v>37284.067455074997</v>
      </c>
    </row>
    <row r="236" spans="1:16" x14ac:dyDescent="0.35">
      <c r="A236" s="96" t="str">
        <f>LEFT('2025 actual v budget'!A236,4)&amp;"26"</f>
        <v>Aug-26</v>
      </c>
      <c r="B236" s="17" t="str">
        <f>'2025 actual v budget'!B236</f>
        <v>Singapore</v>
      </c>
      <c r="C236" s="17" t="str">
        <f>'2025 actual v budget'!C236</f>
        <v>Treasury Yield</v>
      </c>
      <c r="D236" s="19">
        <f>'2025 actual v budget'!D236</f>
        <v>6867098.8399999999</v>
      </c>
      <c r="E236" s="97">
        <f>SUMIFS('Assumption-Worst'!$C$3:$C$32,'Assumption-Worst'!$A$3:$A$32,$B236,'Assumption-Worst'!$B$3:$B$32,$C236)</f>
        <v>2.5000000000000001E-2</v>
      </c>
      <c r="F236" s="19">
        <f t="shared" si="21"/>
        <v>7038776.3109999988</v>
      </c>
      <c r="G236" s="98">
        <f>SUMIFS('Assumption-Worst'!$D$3:$D$32,'Assumption-Worst'!$A$3:$A$32,$B236,'Assumption-Worst'!$B$3:$B$32,$C236)</f>
        <v>3.0000000000000001E-3</v>
      </c>
      <c r="H236" s="99">
        <f t="shared" si="22"/>
        <v>21116.328932999997</v>
      </c>
      <c r="I236" s="97">
        <f>SUMIFS('Assumption-Worst'!$E$3:$E$32,'Assumption-Worst'!$A$3:$A$32,$B236,'Assumption-Worst'!$B$3:$B$32,$C236)</f>
        <v>0.18</v>
      </c>
      <c r="J236" s="19">
        <f t="shared" si="23"/>
        <v>3800.9392079399995</v>
      </c>
      <c r="K236" s="100">
        <f>SUMIFS('Assumption-Worst'!$F$3:$F$32,'Assumption-Worst'!$A$3:$A$32,$B236,'Assumption-Worst'!$B$3:$B$32,$C236)</f>
        <v>9.0000000000000006E-5</v>
      </c>
      <c r="L236" s="19">
        <f t="shared" si="24"/>
        <v>633.48986798999988</v>
      </c>
      <c r="M236" s="99">
        <f t="shared" si="25"/>
        <v>16681.899857069999</v>
      </c>
      <c r="N236" s="97">
        <f>SUMIFS('Assumption-Worst'!$G$3:$G$32,'Assumption-Worst'!$A$3:$A$32,$B236,'Assumption-Worst'!$B$3:$B$32,$C236)</f>
        <v>0.45</v>
      </c>
      <c r="O236" s="19">
        <f t="shared" si="26"/>
        <v>9502.3480198499983</v>
      </c>
      <c r="P236" s="99">
        <f t="shared" si="27"/>
        <v>7179.5518372200004</v>
      </c>
    </row>
    <row r="237" spans="1:16" x14ac:dyDescent="0.35">
      <c r="A237" s="96" t="str">
        <f>LEFT('2025 actual v budget'!A237,4)&amp;"26"</f>
        <v>Aug-26</v>
      </c>
      <c r="B237" s="17" t="str">
        <f>'2025 actual v budget'!B237</f>
        <v>Singapore</v>
      </c>
      <c r="C237" s="17" t="str">
        <f>'2025 actual v budget'!C237</f>
        <v>Virtual Accounts</v>
      </c>
      <c r="D237" s="19">
        <f>'2025 actual v budget'!D237</f>
        <v>9959659.7799999993</v>
      </c>
      <c r="E237" s="97">
        <f>SUMIFS('Assumption-Worst'!$C$3:$C$32,'Assumption-Worst'!$A$3:$A$32,$B237,'Assumption-Worst'!$B$3:$B$32,$C237)</f>
        <v>2.5000000000000001E-2</v>
      </c>
      <c r="F237" s="19">
        <f t="shared" si="21"/>
        <v>10208651.274499997</v>
      </c>
      <c r="G237" s="98">
        <f>SUMIFS('Assumption-Worst'!$D$3:$D$32,'Assumption-Worst'!$A$3:$A$32,$B237,'Assumption-Worst'!$B$3:$B$32,$C237)</f>
        <v>4.4999999999999997E-3</v>
      </c>
      <c r="H237" s="99">
        <f t="shared" si="22"/>
        <v>45938.930735249982</v>
      </c>
      <c r="I237" s="97">
        <f>SUMIFS('Assumption-Worst'!$E$3:$E$32,'Assumption-Worst'!$A$3:$A$32,$B237,'Assumption-Worst'!$B$3:$B$32,$C237)</f>
        <v>0.22</v>
      </c>
      <c r="J237" s="19">
        <f t="shared" si="23"/>
        <v>10106.564761754997</v>
      </c>
      <c r="K237" s="100">
        <f>SUMIFS('Assumption-Worst'!$F$3:$F$32,'Assumption-Worst'!$A$3:$A$32,$B237,'Assumption-Worst'!$B$3:$B$32,$C237)</f>
        <v>9.0000000000000006E-5</v>
      </c>
      <c r="L237" s="19">
        <f t="shared" si="24"/>
        <v>918.77861470499988</v>
      </c>
      <c r="M237" s="99">
        <f t="shared" si="25"/>
        <v>34913.587358789984</v>
      </c>
      <c r="N237" s="97">
        <f>SUMIFS('Assumption-Worst'!$G$3:$G$32,'Assumption-Worst'!$A$3:$A$32,$B237,'Assumption-Worst'!$B$3:$B$32,$C237)</f>
        <v>0.45</v>
      </c>
      <c r="O237" s="19">
        <f t="shared" si="26"/>
        <v>20672.518830862493</v>
      </c>
      <c r="P237" s="99">
        <f t="shared" si="27"/>
        <v>14241.068527927491</v>
      </c>
    </row>
    <row r="238" spans="1:16" x14ac:dyDescent="0.35">
      <c r="A238" s="96" t="str">
        <f>LEFT('2025 actual v budget'!A238,4)&amp;"26"</f>
        <v>Aug-26</v>
      </c>
      <c r="B238" s="17" t="str">
        <f>'2025 actual v budget'!B238</f>
        <v>USA</v>
      </c>
      <c r="C238" s="17" t="str">
        <f>'2025 actual v budget'!C238</f>
        <v>Cross-border Payouts</v>
      </c>
      <c r="D238" s="19">
        <f>'2025 actual v budget'!D238</f>
        <v>25812265.719999999</v>
      </c>
      <c r="E238" s="97">
        <f>SUMIFS('Assumption-Worst'!$C$3:$C$32,'Assumption-Worst'!$A$3:$A$32,$B238,'Assumption-Worst'!$B$3:$B$32,$C238)</f>
        <v>0.05</v>
      </c>
      <c r="F238" s="19">
        <f t="shared" si="21"/>
        <v>27102879.006000001</v>
      </c>
      <c r="G238" s="98">
        <f>SUMIFS('Assumption-Worst'!$D$3:$D$32,'Assumption-Worst'!$A$3:$A$32,$B238,'Assumption-Worst'!$B$3:$B$32,$C238)</f>
        <v>7.4999999999999997E-3</v>
      </c>
      <c r="H238" s="99">
        <f t="shared" si="22"/>
        <v>203271.59254499999</v>
      </c>
      <c r="I238" s="97">
        <f>SUMIFS('Assumption-Worst'!$E$3:$E$32,'Assumption-Worst'!$A$3:$A$32,$B238,'Assumption-Worst'!$B$3:$B$32,$C238)</f>
        <v>0.35</v>
      </c>
      <c r="J238" s="19">
        <f t="shared" si="23"/>
        <v>71145.057390749993</v>
      </c>
      <c r="K238" s="100">
        <f>SUMIFS('Assumption-Worst'!$F$3:$F$32,'Assumption-Worst'!$A$3:$A$32,$B238,'Assumption-Worst'!$B$3:$B$32,$C238)</f>
        <v>2.0000000000000001E-4</v>
      </c>
      <c r="L238" s="19">
        <f t="shared" si="24"/>
        <v>5420.5758012000006</v>
      </c>
      <c r="M238" s="99">
        <f t="shared" si="25"/>
        <v>126705.95935304998</v>
      </c>
      <c r="N238" s="97">
        <f>SUMIFS('Assumption-Worst'!$G$3:$G$32,'Assumption-Worst'!$A$3:$A$32,$B238,'Assumption-Worst'!$B$3:$B$32,$C238)</f>
        <v>0.45</v>
      </c>
      <c r="O238" s="19">
        <f t="shared" si="26"/>
        <v>91472.216645249995</v>
      </c>
      <c r="P238" s="99">
        <f t="shared" si="27"/>
        <v>35233.742707799989</v>
      </c>
    </row>
    <row r="239" spans="1:16" x14ac:dyDescent="0.35">
      <c r="A239" s="96" t="str">
        <f>LEFT('2025 actual v budget'!A239,4)&amp;"26"</f>
        <v>Aug-26</v>
      </c>
      <c r="B239" s="17" t="str">
        <f>'2025 actual v budget'!B239</f>
        <v>USA</v>
      </c>
      <c r="C239" s="17" t="str">
        <f>'2025 actual v budget'!C239</f>
        <v>FX Conversion</v>
      </c>
      <c r="D239" s="19">
        <f>'2025 actual v budget'!D239</f>
        <v>39908438.710000001</v>
      </c>
      <c r="E239" s="97">
        <f>SUMIFS('Assumption-Worst'!$C$3:$C$32,'Assumption-Worst'!$A$3:$A$32,$B239,'Assumption-Worst'!$B$3:$B$32,$C239)</f>
        <v>0.05</v>
      </c>
      <c r="F239" s="19">
        <f t="shared" si="21"/>
        <v>41903860.645500004</v>
      </c>
      <c r="G239" s="98">
        <f>SUMIFS('Assumption-Worst'!$D$3:$D$32,'Assumption-Worst'!$A$3:$A$32,$B239,'Assumption-Worst'!$B$3:$B$32,$C239)</f>
        <v>1.0500000000000001E-2</v>
      </c>
      <c r="H239" s="99">
        <f t="shared" si="22"/>
        <v>439990.53677775007</v>
      </c>
      <c r="I239" s="97">
        <f>SUMIFS('Assumption-Worst'!$E$3:$E$32,'Assumption-Worst'!$A$3:$A$32,$B239,'Assumption-Worst'!$B$3:$B$32,$C239)</f>
        <v>0.28000000000000003</v>
      </c>
      <c r="J239" s="19">
        <f t="shared" si="23"/>
        <v>123197.35029777003</v>
      </c>
      <c r="K239" s="100">
        <f>SUMIFS('Assumption-Worst'!$F$3:$F$32,'Assumption-Worst'!$A$3:$A$32,$B239,'Assumption-Worst'!$B$3:$B$32,$C239)</f>
        <v>2.0000000000000001E-4</v>
      </c>
      <c r="L239" s="19">
        <f t="shared" si="24"/>
        <v>8380.7721291000016</v>
      </c>
      <c r="M239" s="99">
        <f t="shared" si="25"/>
        <v>308412.41435088002</v>
      </c>
      <c r="N239" s="97">
        <f>SUMIFS('Assumption-Worst'!$G$3:$G$32,'Assumption-Worst'!$A$3:$A$32,$B239,'Assumption-Worst'!$B$3:$B$32,$C239)</f>
        <v>0.45</v>
      </c>
      <c r="O239" s="19">
        <f t="shared" si="26"/>
        <v>197995.74154998752</v>
      </c>
      <c r="P239" s="99">
        <f t="shared" si="27"/>
        <v>110416.6728008925</v>
      </c>
    </row>
    <row r="240" spans="1:16" x14ac:dyDescent="0.35">
      <c r="A240" s="96" t="str">
        <f>LEFT('2025 actual v budget'!A240,4)&amp;"26"</f>
        <v>Aug-26</v>
      </c>
      <c r="B240" s="17" t="str">
        <f>'2025 actual v budget'!B240</f>
        <v>USA</v>
      </c>
      <c r="C240" s="17" t="str">
        <f>'2025 actual v budget'!C240</f>
        <v>Stablecoin Settlement</v>
      </c>
      <c r="D240" s="19">
        <f>'2025 actual v budget'!D240</f>
        <v>61116087.840000004</v>
      </c>
      <c r="E240" s="97">
        <f>SUMIFS('Assumption-Worst'!$C$3:$C$32,'Assumption-Worst'!$A$3:$A$32,$B240,'Assumption-Worst'!$B$3:$B$32,$C240)</f>
        <v>0.1</v>
      </c>
      <c r="F240" s="19">
        <f t="shared" si="21"/>
        <v>67227696.624000013</v>
      </c>
      <c r="G240" s="98">
        <f>SUMIFS('Assumption-Worst'!$D$3:$D$32,'Assumption-Worst'!$A$3:$A$32,$B240,'Assumption-Worst'!$B$3:$B$32,$C240)</f>
        <v>6.4999999999999997E-3</v>
      </c>
      <c r="H240" s="99">
        <f t="shared" si="22"/>
        <v>436980.02805600007</v>
      </c>
      <c r="I240" s="97">
        <f>SUMIFS('Assumption-Worst'!$E$3:$E$32,'Assumption-Worst'!$A$3:$A$32,$B240,'Assumption-Worst'!$B$3:$B$32,$C240)</f>
        <v>0.32</v>
      </c>
      <c r="J240" s="19">
        <f t="shared" si="23"/>
        <v>139833.60897792003</v>
      </c>
      <c r="K240" s="100">
        <f>SUMIFS('Assumption-Worst'!$F$3:$F$32,'Assumption-Worst'!$A$3:$A$32,$B240,'Assumption-Worst'!$B$3:$B$32,$C240)</f>
        <v>2.0000000000000001E-4</v>
      </c>
      <c r="L240" s="19">
        <f t="shared" si="24"/>
        <v>13445.539324800004</v>
      </c>
      <c r="M240" s="99">
        <f t="shared" si="25"/>
        <v>283700.87975328002</v>
      </c>
      <c r="N240" s="97">
        <f>SUMIFS('Assumption-Worst'!$G$3:$G$32,'Assumption-Worst'!$A$3:$A$32,$B240,'Assumption-Worst'!$B$3:$B$32,$C240)</f>
        <v>0.45</v>
      </c>
      <c r="O240" s="19">
        <f t="shared" si="26"/>
        <v>196641.01262520003</v>
      </c>
      <c r="P240" s="99">
        <f t="shared" si="27"/>
        <v>87059.86712807999</v>
      </c>
    </row>
    <row r="241" spans="1:16" x14ac:dyDescent="0.35">
      <c r="A241" s="96" t="str">
        <f>LEFT('2025 actual v budget'!A241,4)&amp;"26"</f>
        <v>Aug-26</v>
      </c>
      <c r="B241" s="17" t="str">
        <f>'2025 actual v budget'!B241</f>
        <v>USA</v>
      </c>
      <c r="C241" s="17" t="str">
        <f>'2025 actual v budget'!C241</f>
        <v>Treasury Yield</v>
      </c>
      <c r="D241" s="19">
        <f>'2025 actual v budget'!D241</f>
        <v>16603599.42</v>
      </c>
      <c r="E241" s="97">
        <f>SUMIFS('Assumption-Worst'!$C$3:$C$32,'Assumption-Worst'!$A$3:$A$32,$B241,'Assumption-Worst'!$B$3:$B$32,$C241)</f>
        <v>0.05</v>
      </c>
      <c r="F241" s="19">
        <f t="shared" si="21"/>
        <v>17433779.390999999</v>
      </c>
      <c r="G241" s="98">
        <f>SUMIFS('Assumption-Worst'!$D$3:$D$32,'Assumption-Worst'!$A$3:$A$32,$B241,'Assumption-Worst'!$B$3:$B$32,$C241)</f>
        <v>3.0000000000000001E-3</v>
      </c>
      <c r="H241" s="99">
        <f t="shared" si="22"/>
        <v>52301.338172999996</v>
      </c>
      <c r="I241" s="97">
        <f>SUMIFS('Assumption-Worst'!$E$3:$E$32,'Assumption-Worst'!$A$3:$A$32,$B241,'Assumption-Worst'!$B$3:$B$32,$C241)</f>
        <v>0.18</v>
      </c>
      <c r="J241" s="19">
        <f t="shared" si="23"/>
        <v>9414.2408711399985</v>
      </c>
      <c r="K241" s="100">
        <f>SUMIFS('Assumption-Worst'!$F$3:$F$32,'Assumption-Worst'!$A$3:$A$32,$B241,'Assumption-Worst'!$B$3:$B$32,$C241)</f>
        <v>2.0000000000000001E-4</v>
      </c>
      <c r="L241" s="19">
        <f t="shared" si="24"/>
        <v>3486.7558782000001</v>
      </c>
      <c r="M241" s="99">
        <f t="shared" si="25"/>
        <v>39400.34142366</v>
      </c>
      <c r="N241" s="97">
        <f>SUMIFS('Assumption-Worst'!$G$3:$G$32,'Assumption-Worst'!$A$3:$A$32,$B241,'Assumption-Worst'!$B$3:$B$32,$C241)</f>
        <v>0.45</v>
      </c>
      <c r="O241" s="19">
        <f t="shared" si="26"/>
        <v>23535.60217785</v>
      </c>
      <c r="P241" s="99">
        <f t="shared" si="27"/>
        <v>15864.73924581</v>
      </c>
    </row>
    <row r="242" spans="1:16" x14ac:dyDescent="0.35">
      <c r="A242" s="96" t="str">
        <f>LEFT('2025 actual v budget'!A242,4)&amp;"26"</f>
        <v>Aug-26</v>
      </c>
      <c r="B242" s="17" t="str">
        <f>'2025 actual v budget'!B242</f>
        <v>USA</v>
      </c>
      <c r="C242" s="17" t="str">
        <f>'2025 actual v budget'!C242</f>
        <v>Virtual Accounts</v>
      </c>
      <c r="D242" s="19">
        <f>'2025 actual v budget'!D242</f>
        <v>24080940.890000001</v>
      </c>
      <c r="E242" s="97">
        <f>SUMIFS('Assumption-Worst'!$C$3:$C$32,'Assumption-Worst'!$A$3:$A$32,$B242,'Assumption-Worst'!$B$3:$B$32,$C242)</f>
        <v>0.05</v>
      </c>
      <c r="F242" s="19">
        <f t="shared" si="21"/>
        <v>25284987.934500001</v>
      </c>
      <c r="G242" s="98">
        <f>SUMIFS('Assumption-Worst'!$D$3:$D$32,'Assumption-Worst'!$A$3:$A$32,$B242,'Assumption-Worst'!$B$3:$B$32,$C242)</f>
        <v>4.4999999999999997E-3</v>
      </c>
      <c r="H242" s="99">
        <f t="shared" si="22"/>
        <v>113782.44570524999</v>
      </c>
      <c r="I242" s="97">
        <f>SUMIFS('Assumption-Worst'!$E$3:$E$32,'Assumption-Worst'!$A$3:$A$32,$B242,'Assumption-Worst'!$B$3:$B$32,$C242)</f>
        <v>0.22</v>
      </c>
      <c r="J242" s="19">
        <f t="shared" si="23"/>
        <v>25032.138055154999</v>
      </c>
      <c r="K242" s="100">
        <f>SUMIFS('Assumption-Worst'!$F$3:$F$32,'Assumption-Worst'!$A$3:$A$32,$B242,'Assumption-Worst'!$B$3:$B$32,$C242)</f>
        <v>2.0000000000000001E-4</v>
      </c>
      <c r="L242" s="19">
        <f t="shared" si="24"/>
        <v>5056.9975869000009</v>
      </c>
      <c r="M242" s="99">
        <f t="shared" si="25"/>
        <v>83693.310063194993</v>
      </c>
      <c r="N242" s="97">
        <f>SUMIFS('Assumption-Worst'!$G$3:$G$32,'Assumption-Worst'!$A$3:$A$32,$B242,'Assumption-Worst'!$B$3:$B$32,$C242)</f>
        <v>0.45</v>
      </c>
      <c r="O242" s="19">
        <f t="shared" si="26"/>
        <v>51202.100567362497</v>
      </c>
      <c r="P242" s="99">
        <f t="shared" si="27"/>
        <v>32491.209495832496</v>
      </c>
    </row>
    <row r="243" spans="1:16" x14ac:dyDescent="0.35">
      <c r="A243" s="91" t="str">
        <f>LEFT('2025 actual v budget'!A243,4)&amp;"26"</f>
        <v>Sep-26</v>
      </c>
      <c r="B243" s="12" t="str">
        <f>'2025 actual v budget'!B243</f>
        <v>Brazil</v>
      </c>
      <c r="C243" s="12" t="str">
        <f>'2025 actual v budget'!C243</f>
        <v>Cross-border Payouts</v>
      </c>
      <c r="D243" s="14">
        <f>'2025 actual v budget'!D243</f>
        <v>17471607.609999999</v>
      </c>
      <c r="E243" s="92">
        <f>SUMIFS('Assumption-Worst'!$C$3:$C$32,'Assumption-Worst'!$A$3:$A$32,$B243,'Assumption-Worst'!$B$3:$B$32,$C243)</f>
        <v>0.1</v>
      </c>
      <c r="F243" s="14">
        <f t="shared" si="21"/>
        <v>19218768.370999999</v>
      </c>
      <c r="G243" s="93">
        <f>SUMIFS('Assumption-Worst'!$D$3:$D$32,'Assumption-Worst'!$A$3:$A$32,$B243,'Assumption-Worst'!$B$3:$B$32,$C243)</f>
        <v>7.4999999999999997E-3</v>
      </c>
      <c r="H243" s="94">
        <f t="shared" si="22"/>
        <v>144140.76278249998</v>
      </c>
      <c r="I243" s="92">
        <f>SUMIFS('Assumption-Worst'!$E$3:$E$32,'Assumption-Worst'!$A$3:$A$32,$B243,'Assumption-Worst'!$B$3:$B$32,$C243)</f>
        <v>0.35</v>
      </c>
      <c r="J243" s="14">
        <f t="shared" si="23"/>
        <v>50449.26697387499</v>
      </c>
      <c r="K243" s="95">
        <f>SUMIFS('Assumption-Worst'!$F$3:$F$32,'Assumption-Worst'!$A$3:$A$32,$B243,'Assumption-Worst'!$B$3:$B$32,$C243)</f>
        <v>6.9999999999999994E-5</v>
      </c>
      <c r="L243" s="14">
        <f t="shared" si="24"/>
        <v>1345.3137859699998</v>
      </c>
      <c r="M243" s="94">
        <f t="shared" si="25"/>
        <v>92346.18202265499</v>
      </c>
      <c r="N243" s="92">
        <f>SUMIFS('Assumption-Worst'!$G$3:$G$32,'Assumption-Worst'!$A$3:$A$32,$B243,'Assumption-Worst'!$B$3:$B$32,$C243)</f>
        <v>0.45</v>
      </c>
      <c r="O243" s="14">
        <f t="shared" si="26"/>
        <v>64863.343252124992</v>
      </c>
      <c r="P243" s="94">
        <f t="shared" si="27"/>
        <v>27482.838770529997</v>
      </c>
    </row>
    <row r="244" spans="1:16" x14ac:dyDescent="0.35">
      <c r="A244" s="91" t="str">
        <f>LEFT('2025 actual v budget'!A244,4)&amp;"26"</f>
        <v>Sep-26</v>
      </c>
      <c r="B244" s="12" t="str">
        <f>'2025 actual v budget'!B244</f>
        <v>Brazil</v>
      </c>
      <c r="C244" s="12" t="str">
        <f>'2025 actual v budget'!C244</f>
        <v>FX Conversion</v>
      </c>
      <c r="D244" s="14">
        <f>'2025 actual v budget'!D244</f>
        <v>27224704.32</v>
      </c>
      <c r="E244" s="92">
        <f>SUMIFS('Assumption-Worst'!$C$3:$C$32,'Assumption-Worst'!$A$3:$A$32,$B244,'Assumption-Worst'!$B$3:$B$32,$C244)</f>
        <v>0.1</v>
      </c>
      <c r="F244" s="14">
        <f t="shared" si="21"/>
        <v>29947174.752000004</v>
      </c>
      <c r="G244" s="93">
        <f>SUMIFS('Assumption-Worst'!$D$3:$D$32,'Assumption-Worst'!$A$3:$A$32,$B244,'Assumption-Worst'!$B$3:$B$32,$C244)</f>
        <v>1.0500000000000001E-2</v>
      </c>
      <c r="H244" s="94">
        <f t="shared" si="22"/>
        <v>314445.33489600004</v>
      </c>
      <c r="I244" s="92">
        <f>SUMIFS('Assumption-Worst'!$E$3:$E$32,'Assumption-Worst'!$A$3:$A$32,$B244,'Assumption-Worst'!$B$3:$B$32,$C244)</f>
        <v>0.28000000000000003</v>
      </c>
      <c r="J244" s="14">
        <f t="shared" si="23"/>
        <v>88044.693770880025</v>
      </c>
      <c r="K244" s="95">
        <f>SUMIFS('Assumption-Worst'!$F$3:$F$32,'Assumption-Worst'!$A$3:$A$32,$B244,'Assumption-Worst'!$B$3:$B$32,$C244)</f>
        <v>6.9999999999999994E-5</v>
      </c>
      <c r="L244" s="14">
        <f t="shared" si="24"/>
        <v>2096.3022326400001</v>
      </c>
      <c r="M244" s="94">
        <f t="shared" si="25"/>
        <v>224304.33889248001</v>
      </c>
      <c r="N244" s="92">
        <f>SUMIFS('Assumption-Worst'!$G$3:$G$32,'Assumption-Worst'!$A$3:$A$32,$B244,'Assumption-Worst'!$B$3:$B$32,$C244)</f>
        <v>0.45</v>
      </c>
      <c r="O244" s="14">
        <f t="shared" si="26"/>
        <v>141500.40070320002</v>
      </c>
      <c r="P244" s="94">
        <f t="shared" si="27"/>
        <v>82803.938189279987</v>
      </c>
    </row>
    <row r="245" spans="1:16" x14ac:dyDescent="0.35">
      <c r="A245" s="91" t="str">
        <f>LEFT('2025 actual v budget'!A245,4)&amp;"26"</f>
        <v>Sep-26</v>
      </c>
      <c r="B245" s="12" t="str">
        <f>'2025 actual v budget'!B245</f>
        <v>Brazil</v>
      </c>
      <c r="C245" s="12" t="str">
        <f>'2025 actual v budget'!C245</f>
        <v>Stablecoin Settlement</v>
      </c>
      <c r="D245" s="14">
        <f>'2025 actual v budget'!D245</f>
        <v>41152342.07</v>
      </c>
      <c r="E245" s="92">
        <f>SUMIFS('Assumption-Worst'!$C$3:$C$32,'Assumption-Worst'!$A$3:$A$32,$B245,'Assumption-Worst'!$B$3:$B$32,$C245)</f>
        <v>0.2</v>
      </c>
      <c r="F245" s="14">
        <f t="shared" si="21"/>
        <v>49382810.483999997</v>
      </c>
      <c r="G245" s="93">
        <f>SUMIFS('Assumption-Worst'!$D$3:$D$32,'Assumption-Worst'!$A$3:$A$32,$B245,'Assumption-Worst'!$B$3:$B$32,$C245)</f>
        <v>6.4999999999999997E-3</v>
      </c>
      <c r="H245" s="94">
        <f t="shared" si="22"/>
        <v>320988.26814599999</v>
      </c>
      <c r="I245" s="92">
        <f>SUMIFS('Assumption-Worst'!$E$3:$E$32,'Assumption-Worst'!$A$3:$A$32,$B245,'Assumption-Worst'!$B$3:$B$32,$C245)</f>
        <v>0.32</v>
      </c>
      <c r="J245" s="14">
        <f t="shared" si="23"/>
        <v>102716.24580671999</v>
      </c>
      <c r="K245" s="95">
        <f>SUMIFS('Assumption-Worst'!$F$3:$F$32,'Assumption-Worst'!$A$3:$A$32,$B245,'Assumption-Worst'!$B$3:$B$32,$C245)</f>
        <v>6.9999999999999994E-5</v>
      </c>
      <c r="L245" s="14">
        <f t="shared" si="24"/>
        <v>3456.7967338799995</v>
      </c>
      <c r="M245" s="94">
        <f t="shared" si="25"/>
        <v>214815.22560539999</v>
      </c>
      <c r="N245" s="92">
        <f>SUMIFS('Assumption-Worst'!$G$3:$G$32,'Assumption-Worst'!$A$3:$A$32,$B245,'Assumption-Worst'!$B$3:$B$32,$C245)</f>
        <v>0.45</v>
      </c>
      <c r="O245" s="14">
        <f t="shared" si="26"/>
        <v>144444.72066570001</v>
      </c>
      <c r="P245" s="94">
        <f t="shared" si="27"/>
        <v>70370.504939699982</v>
      </c>
    </row>
    <row r="246" spans="1:16" x14ac:dyDescent="0.35">
      <c r="A246" s="91" t="str">
        <f>LEFT('2025 actual v budget'!A246,4)&amp;"26"</f>
        <v>Sep-26</v>
      </c>
      <c r="B246" s="12" t="str">
        <f>'2025 actual v budget'!B246</f>
        <v>Brazil</v>
      </c>
      <c r="C246" s="12" t="str">
        <f>'2025 actual v budget'!C246</f>
        <v>Treasury Yield</v>
      </c>
      <c r="D246" s="14">
        <f>'2025 actual v budget'!D246</f>
        <v>11154961.449999999</v>
      </c>
      <c r="E246" s="92">
        <f>SUMIFS('Assumption-Worst'!$C$3:$C$32,'Assumption-Worst'!$A$3:$A$32,$B246,'Assumption-Worst'!$B$3:$B$32,$C246)</f>
        <v>0.1</v>
      </c>
      <c r="F246" s="14">
        <f t="shared" si="21"/>
        <v>12270457.595000001</v>
      </c>
      <c r="G246" s="93">
        <f>SUMIFS('Assumption-Worst'!$D$3:$D$32,'Assumption-Worst'!$A$3:$A$32,$B246,'Assumption-Worst'!$B$3:$B$32,$C246)</f>
        <v>3.0000000000000001E-3</v>
      </c>
      <c r="H246" s="94">
        <f t="shared" si="22"/>
        <v>36811.372785</v>
      </c>
      <c r="I246" s="92">
        <f>SUMIFS('Assumption-Worst'!$E$3:$E$32,'Assumption-Worst'!$A$3:$A$32,$B246,'Assumption-Worst'!$B$3:$B$32,$C246)</f>
        <v>0.18</v>
      </c>
      <c r="J246" s="14">
        <f t="shared" si="23"/>
        <v>6626.0471012999997</v>
      </c>
      <c r="K246" s="95">
        <f>SUMIFS('Assumption-Worst'!$F$3:$F$32,'Assumption-Worst'!$A$3:$A$32,$B246,'Assumption-Worst'!$B$3:$B$32,$C246)</f>
        <v>6.9999999999999994E-5</v>
      </c>
      <c r="L246" s="14">
        <f t="shared" si="24"/>
        <v>858.93203165</v>
      </c>
      <c r="M246" s="94">
        <f t="shared" si="25"/>
        <v>29326.393652049999</v>
      </c>
      <c r="N246" s="92">
        <f>SUMIFS('Assumption-Worst'!$G$3:$G$32,'Assumption-Worst'!$A$3:$A$32,$B246,'Assumption-Worst'!$B$3:$B$32,$C246)</f>
        <v>0.45</v>
      </c>
      <c r="O246" s="14">
        <f t="shared" si="26"/>
        <v>16565.117753250001</v>
      </c>
      <c r="P246" s="94">
        <f t="shared" si="27"/>
        <v>12761.275898799999</v>
      </c>
    </row>
    <row r="247" spans="1:16" x14ac:dyDescent="0.35">
      <c r="A247" s="91" t="str">
        <f>LEFT('2025 actual v budget'!A247,4)&amp;"26"</f>
        <v>Sep-26</v>
      </c>
      <c r="B247" s="12" t="str">
        <f>'2025 actual v budget'!B247</f>
        <v>Brazil</v>
      </c>
      <c r="C247" s="12" t="str">
        <f>'2025 actual v budget'!C247</f>
        <v>Virtual Accounts</v>
      </c>
      <c r="D247" s="14">
        <f>'2025 actual v budget'!D247</f>
        <v>16432300.369999999</v>
      </c>
      <c r="E247" s="92">
        <f>SUMIFS('Assumption-Worst'!$C$3:$C$32,'Assumption-Worst'!$A$3:$A$32,$B247,'Assumption-Worst'!$B$3:$B$32,$C247)</f>
        <v>0.1</v>
      </c>
      <c r="F247" s="14">
        <f t="shared" si="21"/>
        <v>18075530.407000002</v>
      </c>
      <c r="G247" s="93">
        <f>SUMIFS('Assumption-Worst'!$D$3:$D$32,'Assumption-Worst'!$A$3:$A$32,$B247,'Assumption-Worst'!$B$3:$B$32,$C247)</f>
        <v>4.4999999999999997E-3</v>
      </c>
      <c r="H247" s="94">
        <f t="shared" si="22"/>
        <v>81339.8868315</v>
      </c>
      <c r="I247" s="92">
        <f>SUMIFS('Assumption-Worst'!$E$3:$E$32,'Assumption-Worst'!$A$3:$A$32,$B247,'Assumption-Worst'!$B$3:$B$32,$C247)</f>
        <v>0.22</v>
      </c>
      <c r="J247" s="14">
        <f t="shared" si="23"/>
        <v>17894.775102930002</v>
      </c>
      <c r="K247" s="95">
        <f>SUMIFS('Assumption-Worst'!$F$3:$F$32,'Assumption-Worst'!$A$3:$A$32,$B247,'Assumption-Worst'!$B$3:$B$32,$C247)</f>
        <v>6.9999999999999994E-5</v>
      </c>
      <c r="L247" s="14">
        <f t="shared" si="24"/>
        <v>1265.28712849</v>
      </c>
      <c r="M247" s="94">
        <f t="shared" si="25"/>
        <v>62179.824600079999</v>
      </c>
      <c r="N247" s="92">
        <f>SUMIFS('Assumption-Worst'!$G$3:$G$32,'Assumption-Worst'!$A$3:$A$32,$B247,'Assumption-Worst'!$B$3:$B$32,$C247)</f>
        <v>0.45</v>
      </c>
      <c r="O247" s="14">
        <f t="shared" si="26"/>
        <v>36602.949074174998</v>
      </c>
      <c r="P247" s="94">
        <f t="shared" si="27"/>
        <v>25576.875525905001</v>
      </c>
    </row>
    <row r="248" spans="1:16" x14ac:dyDescent="0.35">
      <c r="A248" s="91" t="str">
        <f>LEFT('2025 actual v budget'!A248,4)&amp;"26"</f>
        <v>Sep-26</v>
      </c>
      <c r="B248" s="12" t="str">
        <f>'2025 actual v budget'!B248</f>
        <v>Germany</v>
      </c>
      <c r="C248" s="12" t="str">
        <f>'2025 actual v budget'!C248</f>
        <v>Cross-border Payouts</v>
      </c>
      <c r="D248" s="14">
        <f>'2025 actual v budget'!D248</f>
        <v>8149892.5999999996</v>
      </c>
      <c r="E248" s="92">
        <f>SUMIFS('Assumption-Worst'!$C$3:$C$32,'Assumption-Worst'!$A$3:$A$32,$B248,'Assumption-Worst'!$B$3:$B$32,$C248)</f>
        <v>0.03</v>
      </c>
      <c r="F248" s="14">
        <f t="shared" si="21"/>
        <v>8394389.3780000005</v>
      </c>
      <c r="G248" s="93">
        <f>SUMIFS('Assumption-Worst'!$D$3:$D$32,'Assumption-Worst'!$A$3:$A$32,$B248,'Assumption-Worst'!$B$3:$B$32,$C248)</f>
        <v>7.4999999999999997E-3</v>
      </c>
      <c r="H248" s="94">
        <f t="shared" si="22"/>
        <v>62957.920335000003</v>
      </c>
      <c r="I248" s="92">
        <f>SUMIFS('Assumption-Worst'!$E$3:$E$32,'Assumption-Worst'!$A$3:$A$32,$B248,'Assumption-Worst'!$B$3:$B$32,$C248)</f>
        <v>0.35</v>
      </c>
      <c r="J248" s="14">
        <f t="shared" si="23"/>
        <v>22035.272117249999</v>
      </c>
      <c r="K248" s="95">
        <f>SUMIFS('Assumption-Worst'!$F$3:$F$32,'Assumption-Worst'!$A$3:$A$32,$B248,'Assumption-Worst'!$B$3:$B$32,$C248)</f>
        <v>1.4999999999999999E-4</v>
      </c>
      <c r="L248" s="14">
        <f t="shared" si="24"/>
        <v>1259.1584066999999</v>
      </c>
      <c r="M248" s="94">
        <f t="shared" si="25"/>
        <v>39663.48981105</v>
      </c>
      <c r="N248" s="92">
        <f>SUMIFS('Assumption-Worst'!$G$3:$G$32,'Assumption-Worst'!$A$3:$A$32,$B248,'Assumption-Worst'!$B$3:$B$32,$C248)</f>
        <v>0.45</v>
      </c>
      <c r="O248" s="14">
        <f t="shared" si="26"/>
        <v>28331.06415075</v>
      </c>
      <c r="P248" s="94">
        <f t="shared" si="27"/>
        <v>11332.425660299999</v>
      </c>
    </row>
    <row r="249" spans="1:16" x14ac:dyDescent="0.35">
      <c r="A249" s="91" t="str">
        <f>LEFT('2025 actual v budget'!A249,4)&amp;"26"</f>
        <v>Sep-26</v>
      </c>
      <c r="B249" s="12" t="str">
        <f>'2025 actual v budget'!B249</f>
        <v>Germany</v>
      </c>
      <c r="C249" s="12" t="str">
        <f>'2025 actual v budget'!C249</f>
        <v>FX Conversion</v>
      </c>
      <c r="D249" s="14">
        <f>'2025 actual v budget'!D249</f>
        <v>12690201.57</v>
      </c>
      <c r="E249" s="92">
        <f>SUMIFS('Assumption-Worst'!$C$3:$C$32,'Assumption-Worst'!$A$3:$A$32,$B249,'Assumption-Worst'!$B$3:$B$32,$C249)</f>
        <v>0.03</v>
      </c>
      <c r="F249" s="14">
        <f t="shared" si="21"/>
        <v>13070907.6171</v>
      </c>
      <c r="G249" s="93">
        <f>SUMIFS('Assumption-Worst'!$D$3:$D$32,'Assumption-Worst'!$A$3:$A$32,$B249,'Assumption-Worst'!$B$3:$B$32,$C249)</f>
        <v>1.0500000000000001E-2</v>
      </c>
      <c r="H249" s="94">
        <f t="shared" si="22"/>
        <v>137244.52997955002</v>
      </c>
      <c r="I249" s="92">
        <f>SUMIFS('Assumption-Worst'!$E$3:$E$32,'Assumption-Worst'!$A$3:$A$32,$B249,'Assumption-Worst'!$B$3:$B$32,$C249)</f>
        <v>0.28000000000000003</v>
      </c>
      <c r="J249" s="14">
        <f t="shared" si="23"/>
        <v>38428.468394274008</v>
      </c>
      <c r="K249" s="95">
        <f>SUMIFS('Assumption-Worst'!$F$3:$F$32,'Assumption-Worst'!$A$3:$A$32,$B249,'Assumption-Worst'!$B$3:$B$32,$C249)</f>
        <v>1.4999999999999999E-4</v>
      </c>
      <c r="L249" s="14">
        <f t="shared" si="24"/>
        <v>1960.6361425649998</v>
      </c>
      <c r="M249" s="94">
        <f t="shared" si="25"/>
        <v>96855.425442711014</v>
      </c>
      <c r="N249" s="92">
        <f>SUMIFS('Assumption-Worst'!$G$3:$G$32,'Assumption-Worst'!$A$3:$A$32,$B249,'Assumption-Worst'!$B$3:$B$32,$C249)</f>
        <v>0.45</v>
      </c>
      <c r="O249" s="14">
        <f t="shared" si="26"/>
        <v>61760.038490797509</v>
      </c>
      <c r="P249" s="94">
        <f t="shared" si="27"/>
        <v>35095.386951913504</v>
      </c>
    </row>
    <row r="250" spans="1:16" x14ac:dyDescent="0.35">
      <c r="A250" s="91" t="str">
        <f>LEFT('2025 actual v budget'!A250,4)&amp;"26"</f>
        <v>Sep-26</v>
      </c>
      <c r="B250" s="12" t="str">
        <f>'2025 actual v budget'!B250</f>
        <v>Germany</v>
      </c>
      <c r="C250" s="12" t="str">
        <f>'2025 actual v budget'!C250</f>
        <v>Stablecoin Settlement</v>
      </c>
      <c r="D250" s="14">
        <f>'2025 actual v budget'!D250</f>
        <v>19196125.25</v>
      </c>
      <c r="E250" s="92">
        <f>SUMIFS('Assumption-Worst'!$C$3:$C$32,'Assumption-Worst'!$A$3:$A$32,$B250,'Assumption-Worst'!$B$3:$B$32,$C250)</f>
        <v>0.06</v>
      </c>
      <c r="F250" s="14">
        <f t="shared" si="21"/>
        <v>20347892.765000001</v>
      </c>
      <c r="G250" s="93">
        <f>SUMIFS('Assumption-Worst'!$D$3:$D$32,'Assumption-Worst'!$A$3:$A$32,$B250,'Assumption-Worst'!$B$3:$B$32,$C250)</f>
        <v>6.4999999999999997E-3</v>
      </c>
      <c r="H250" s="94">
        <f t="shared" si="22"/>
        <v>132261.30297250001</v>
      </c>
      <c r="I250" s="92">
        <f>SUMIFS('Assumption-Worst'!$E$3:$E$32,'Assumption-Worst'!$A$3:$A$32,$B250,'Assumption-Worst'!$B$3:$B$32,$C250)</f>
        <v>0.32</v>
      </c>
      <c r="J250" s="14">
        <f t="shared" si="23"/>
        <v>42323.616951200005</v>
      </c>
      <c r="K250" s="95">
        <f>SUMIFS('Assumption-Worst'!$F$3:$F$32,'Assumption-Worst'!$A$3:$A$32,$B250,'Assumption-Worst'!$B$3:$B$32,$C250)</f>
        <v>1.4999999999999999E-4</v>
      </c>
      <c r="L250" s="14">
        <f t="shared" si="24"/>
        <v>3052.18391475</v>
      </c>
      <c r="M250" s="94">
        <f t="shared" si="25"/>
        <v>86885.502106550004</v>
      </c>
      <c r="N250" s="92">
        <f>SUMIFS('Assumption-Worst'!$G$3:$G$32,'Assumption-Worst'!$A$3:$A$32,$B250,'Assumption-Worst'!$B$3:$B$32,$C250)</f>
        <v>0.45</v>
      </c>
      <c r="O250" s="14">
        <f t="shared" si="26"/>
        <v>59517.586337625005</v>
      </c>
      <c r="P250" s="94">
        <f t="shared" si="27"/>
        <v>27367.915768924999</v>
      </c>
    </row>
    <row r="251" spans="1:16" x14ac:dyDescent="0.35">
      <c r="A251" s="91" t="str">
        <f>LEFT('2025 actual v budget'!A251,4)&amp;"26"</f>
        <v>Sep-26</v>
      </c>
      <c r="B251" s="12" t="str">
        <f>'2025 actual v budget'!B251</f>
        <v>Germany</v>
      </c>
      <c r="C251" s="12" t="str">
        <f>'2025 actual v budget'!C251</f>
        <v>Treasury Yield</v>
      </c>
      <c r="D251" s="14">
        <f>'2025 actual v budget'!D251</f>
        <v>5199641.76</v>
      </c>
      <c r="E251" s="92">
        <f>SUMIFS('Assumption-Worst'!$C$3:$C$32,'Assumption-Worst'!$A$3:$A$32,$B251,'Assumption-Worst'!$B$3:$B$32,$C251)</f>
        <v>0.03</v>
      </c>
      <c r="F251" s="14">
        <f t="shared" si="21"/>
        <v>5355631.0127999997</v>
      </c>
      <c r="G251" s="93">
        <f>SUMIFS('Assumption-Worst'!$D$3:$D$32,'Assumption-Worst'!$A$3:$A$32,$B251,'Assumption-Worst'!$B$3:$B$32,$C251)</f>
        <v>3.0000000000000001E-3</v>
      </c>
      <c r="H251" s="94">
        <f t="shared" si="22"/>
        <v>16066.8930384</v>
      </c>
      <c r="I251" s="92">
        <f>SUMIFS('Assumption-Worst'!$E$3:$E$32,'Assumption-Worst'!$A$3:$A$32,$B251,'Assumption-Worst'!$B$3:$B$32,$C251)</f>
        <v>0.18</v>
      </c>
      <c r="J251" s="14">
        <f t="shared" si="23"/>
        <v>2892.040746912</v>
      </c>
      <c r="K251" s="95">
        <f>SUMIFS('Assumption-Worst'!$F$3:$F$32,'Assumption-Worst'!$A$3:$A$32,$B251,'Assumption-Worst'!$B$3:$B$32,$C251)</f>
        <v>1.4999999999999999E-4</v>
      </c>
      <c r="L251" s="14">
        <f t="shared" si="24"/>
        <v>803.34465191999993</v>
      </c>
      <c r="M251" s="94">
        <f t="shared" si="25"/>
        <v>12371.507639567999</v>
      </c>
      <c r="N251" s="92">
        <f>SUMIFS('Assumption-Worst'!$G$3:$G$32,'Assumption-Worst'!$A$3:$A$32,$B251,'Assumption-Worst'!$B$3:$B$32,$C251)</f>
        <v>0.45</v>
      </c>
      <c r="O251" s="14">
        <f t="shared" si="26"/>
        <v>7230.1018672800001</v>
      </c>
      <c r="P251" s="94">
        <f t="shared" si="27"/>
        <v>5141.4057722879988</v>
      </c>
    </row>
    <row r="252" spans="1:16" x14ac:dyDescent="0.35">
      <c r="A252" s="91" t="str">
        <f>LEFT('2025 actual v budget'!A252,4)&amp;"26"</f>
        <v>Sep-26</v>
      </c>
      <c r="B252" s="12" t="str">
        <f>'2025 actual v budget'!B252</f>
        <v>Germany</v>
      </c>
      <c r="C252" s="12" t="str">
        <f>'2025 actual v budget'!C252</f>
        <v>Virtual Accounts</v>
      </c>
      <c r="D252" s="14">
        <f>'2025 actual v budget'!D252</f>
        <v>7659558.0800000001</v>
      </c>
      <c r="E252" s="92">
        <f>SUMIFS('Assumption-Worst'!$C$3:$C$32,'Assumption-Worst'!$A$3:$A$32,$B252,'Assumption-Worst'!$B$3:$B$32,$C252)</f>
        <v>0.03</v>
      </c>
      <c r="F252" s="14">
        <f t="shared" si="21"/>
        <v>7889344.8223999999</v>
      </c>
      <c r="G252" s="93">
        <f>SUMIFS('Assumption-Worst'!$D$3:$D$32,'Assumption-Worst'!$A$3:$A$32,$B252,'Assumption-Worst'!$B$3:$B$32,$C252)</f>
        <v>4.4999999999999997E-3</v>
      </c>
      <c r="H252" s="94">
        <f t="shared" si="22"/>
        <v>35502.051700799995</v>
      </c>
      <c r="I252" s="92">
        <f>SUMIFS('Assumption-Worst'!$E$3:$E$32,'Assumption-Worst'!$A$3:$A$32,$B252,'Assumption-Worst'!$B$3:$B$32,$C252)</f>
        <v>0.22</v>
      </c>
      <c r="J252" s="14">
        <f t="shared" si="23"/>
        <v>7810.4513741759993</v>
      </c>
      <c r="K252" s="95">
        <f>SUMIFS('Assumption-Worst'!$F$3:$F$32,'Assumption-Worst'!$A$3:$A$32,$B252,'Assumption-Worst'!$B$3:$B$32,$C252)</f>
        <v>1.4999999999999999E-4</v>
      </c>
      <c r="L252" s="14">
        <f t="shared" si="24"/>
        <v>1183.4017233599998</v>
      </c>
      <c r="M252" s="94">
        <f t="shared" si="25"/>
        <v>26508.198603263998</v>
      </c>
      <c r="N252" s="92">
        <f>SUMIFS('Assumption-Worst'!$G$3:$G$32,'Assumption-Worst'!$A$3:$A$32,$B252,'Assumption-Worst'!$B$3:$B$32,$C252)</f>
        <v>0.45</v>
      </c>
      <c r="O252" s="14">
        <f t="shared" si="26"/>
        <v>15975.923265359997</v>
      </c>
      <c r="P252" s="94">
        <f t="shared" si="27"/>
        <v>10532.275337904</v>
      </c>
    </row>
    <row r="253" spans="1:16" x14ac:dyDescent="0.35">
      <c r="A253" s="91" t="str">
        <f>LEFT('2025 actual v budget'!A253,4)&amp;"26"</f>
        <v>Sep-26</v>
      </c>
      <c r="B253" s="12" t="str">
        <f>'2025 actual v budget'!B253</f>
        <v>India</v>
      </c>
      <c r="C253" s="12" t="str">
        <f>'2025 actual v budget'!C253</f>
        <v>Cross-border Payouts</v>
      </c>
      <c r="D253" s="14">
        <f>'2025 actual v budget'!D253</f>
        <v>12103701.18</v>
      </c>
      <c r="E253" s="92">
        <f>SUMIFS('Assumption-Worst'!$C$3:$C$32,'Assumption-Worst'!$A$3:$A$32,$B253,'Assumption-Worst'!$B$3:$B$32,$C253)</f>
        <v>0.06</v>
      </c>
      <c r="F253" s="14">
        <f t="shared" si="21"/>
        <v>12829923.250800001</v>
      </c>
      <c r="G253" s="93">
        <f>SUMIFS('Assumption-Worst'!$D$3:$D$32,'Assumption-Worst'!$A$3:$A$32,$B253,'Assumption-Worst'!$B$3:$B$32,$C253)</f>
        <v>7.4999999999999997E-3</v>
      </c>
      <c r="H253" s="94">
        <f t="shared" si="22"/>
        <v>96224.424381000004</v>
      </c>
      <c r="I253" s="92">
        <f>SUMIFS('Assumption-Worst'!$E$3:$E$32,'Assumption-Worst'!$A$3:$A$32,$B253,'Assumption-Worst'!$B$3:$B$32,$C253)</f>
        <v>0.35</v>
      </c>
      <c r="J253" s="14">
        <f t="shared" si="23"/>
        <v>33678.548533349996</v>
      </c>
      <c r="K253" s="95">
        <f>SUMIFS('Assumption-Worst'!$F$3:$F$32,'Assumption-Worst'!$A$3:$A$32,$B253,'Assumption-Worst'!$B$3:$B$32,$C253)</f>
        <v>1.8000000000000001E-4</v>
      </c>
      <c r="L253" s="14">
        <f t="shared" si="24"/>
        <v>2309.3861851440001</v>
      </c>
      <c r="M253" s="94">
        <f t="shared" si="25"/>
        <v>60236.489662506006</v>
      </c>
      <c r="N253" s="92">
        <f>SUMIFS('Assumption-Worst'!$G$3:$G$32,'Assumption-Worst'!$A$3:$A$32,$B253,'Assumption-Worst'!$B$3:$B$32,$C253)</f>
        <v>0.45</v>
      </c>
      <c r="O253" s="14">
        <f t="shared" si="26"/>
        <v>43300.990971450003</v>
      </c>
      <c r="P253" s="94">
        <f t="shared" si="27"/>
        <v>16935.498691056004</v>
      </c>
    </row>
    <row r="254" spans="1:16" x14ac:dyDescent="0.35">
      <c r="A254" s="91" t="str">
        <f>LEFT('2025 actual v budget'!A254,4)&amp;"26"</f>
        <v>Sep-26</v>
      </c>
      <c r="B254" s="12" t="str">
        <f>'2025 actual v budget'!B254</f>
        <v>India</v>
      </c>
      <c r="C254" s="12" t="str">
        <f>'2025 actual v budget'!C254</f>
        <v>FX Conversion</v>
      </c>
      <c r="D254" s="14">
        <f>'2025 actual v budget'!D254</f>
        <v>18866917.260000002</v>
      </c>
      <c r="E254" s="92">
        <f>SUMIFS('Assumption-Worst'!$C$3:$C$32,'Assumption-Worst'!$A$3:$A$32,$B254,'Assumption-Worst'!$B$3:$B$32,$C254)</f>
        <v>0.06</v>
      </c>
      <c r="F254" s="14">
        <f t="shared" si="21"/>
        <v>19998932.295600004</v>
      </c>
      <c r="G254" s="93">
        <f>SUMIFS('Assumption-Worst'!$D$3:$D$32,'Assumption-Worst'!$A$3:$A$32,$B254,'Assumption-Worst'!$B$3:$B$32,$C254)</f>
        <v>1.0500000000000001E-2</v>
      </c>
      <c r="H254" s="94">
        <f t="shared" si="22"/>
        <v>209988.78910380005</v>
      </c>
      <c r="I254" s="92">
        <f>SUMIFS('Assumption-Worst'!$E$3:$E$32,'Assumption-Worst'!$A$3:$A$32,$B254,'Assumption-Worst'!$B$3:$B$32,$C254)</f>
        <v>0.28000000000000003</v>
      </c>
      <c r="J254" s="14">
        <f t="shared" si="23"/>
        <v>58796.860949064023</v>
      </c>
      <c r="K254" s="95">
        <f>SUMIFS('Assumption-Worst'!$F$3:$F$32,'Assumption-Worst'!$A$3:$A$32,$B254,'Assumption-Worst'!$B$3:$B$32,$C254)</f>
        <v>1.8000000000000001E-4</v>
      </c>
      <c r="L254" s="14">
        <f t="shared" si="24"/>
        <v>3599.8078132080009</v>
      </c>
      <c r="M254" s="94">
        <f t="shared" si="25"/>
        <v>147592.12034152803</v>
      </c>
      <c r="N254" s="92">
        <f>SUMIFS('Assumption-Worst'!$G$3:$G$32,'Assumption-Worst'!$A$3:$A$32,$B254,'Assumption-Worst'!$B$3:$B$32,$C254)</f>
        <v>0.45</v>
      </c>
      <c r="O254" s="14">
        <f t="shared" si="26"/>
        <v>94494.955096710022</v>
      </c>
      <c r="P254" s="94">
        <f t="shared" si="27"/>
        <v>53097.16524481801</v>
      </c>
    </row>
    <row r="255" spans="1:16" x14ac:dyDescent="0.35">
      <c r="A255" s="91" t="str">
        <f>LEFT('2025 actual v budget'!A255,4)&amp;"26"</f>
        <v>Sep-26</v>
      </c>
      <c r="B255" s="12" t="str">
        <f>'2025 actual v budget'!B255</f>
        <v>India</v>
      </c>
      <c r="C255" s="12" t="str">
        <f>'2025 actual v budget'!C255</f>
        <v>Stablecoin Settlement</v>
      </c>
      <c r="D255" s="14">
        <f>'2025 actual v budget'!D255</f>
        <v>28508862.050000001</v>
      </c>
      <c r="E255" s="92">
        <f>SUMIFS('Assumption-Worst'!$C$3:$C$32,'Assumption-Worst'!$A$3:$A$32,$B255,'Assumption-Worst'!$B$3:$B$32,$C255)</f>
        <v>0.12</v>
      </c>
      <c r="F255" s="14">
        <f t="shared" si="21"/>
        <v>31929925.496000003</v>
      </c>
      <c r="G255" s="93">
        <f>SUMIFS('Assumption-Worst'!$D$3:$D$32,'Assumption-Worst'!$A$3:$A$32,$B255,'Assumption-Worst'!$B$3:$B$32,$C255)</f>
        <v>6.4999999999999997E-3</v>
      </c>
      <c r="H255" s="94">
        <f t="shared" si="22"/>
        <v>207544.515724</v>
      </c>
      <c r="I255" s="92">
        <f>SUMIFS('Assumption-Worst'!$E$3:$E$32,'Assumption-Worst'!$A$3:$A$32,$B255,'Assumption-Worst'!$B$3:$B$32,$C255)</f>
        <v>0.32</v>
      </c>
      <c r="J255" s="14">
        <f t="shared" si="23"/>
        <v>66414.245031679995</v>
      </c>
      <c r="K255" s="95">
        <f>SUMIFS('Assumption-Worst'!$F$3:$F$32,'Assumption-Worst'!$A$3:$A$32,$B255,'Assumption-Worst'!$B$3:$B$32,$C255)</f>
        <v>1.8000000000000001E-4</v>
      </c>
      <c r="L255" s="14">
        <f t="shared" si="24"/>
        <v>5747.3865892800013</v>
      </c>
      <c r="M255" s="94">
        <f t="shared" si="25"/>
        <v>135382.88410304001</v>
      </c>
      <c r="N255" s="92">
        <f>SUMIFS('Assumption-Worst'!$G$3:$G$32,'Assumption-Worst'!$A$3:$A$32,$B255,'Assumption-Worst'!$B$3:$B$32,$C255)</f>
        <v>0.45</v>
      </c>
      <c r="O255" s="14">
        <f t="shared" si="26"/>
        <v>93395.032075800002</v>
      </c>
      <c r="P255" s="94">
        <f t="shared" si="27"/>
        <v>41987.852027240006</v>
      </c>
    </row>
    <row r="256" spans="1:16" x14ac:dyDescent="0.35">
      <c r="A256" s="91" t="str">
        <f>LEFT('2025 actual v budget'!A256,4)&amp;"26"</f>
        <v>Sep-26</v>
      </c>
      <c r="B256" s="12" t="str">
        <f>'2025 actual v budget'!B256</f>
        <v>India</v>
      </c>
      <c r="C256" s="12" t="str">
        <f>'2025 actual v budget'!C256</f>
        <v>Treasury Yield</v>
      </c>
      <c r="D256" s="14">
        <f>'2025 actual v budget'!D256</f>
        <v>7730469.0700000003</v>
      </c>
      <c r="E256" s="92">
        <f>SUMIFS('Assumption-Worst'!$C$3:$C$32,'Assumption-Worst'!$A$3:$A$32,$B256,'Assumption-Worst'!$B$3:$B$32,$C256)</f>
        <v>0.06</v>
      </c>
      <c r="F256" s="14">
        <f t="shared" si="21"/>
        <v>8194297.2142000003</v>
      </c>
      <c r="G256" s="93">
        <f>SUMIFS('Assumption-Worst'!$D$3:$D$32,'Assumption-Worst'!$A$3:$A$32,$B256,'Assumption-Worst'!$B$3:$B$32,$C256)</f>
        <v>3.0000000000000001E-3</v>
      </c>
      <c r="H256" s="94">
        <f t="shared" si="22"/>
        <v>24582.8916426</v>
      </c>
      <c r="I256" s="92">
        <f>SUMIFS('Assumption-Worst'!$E$3:$E$32,'Assumption-Worst'!$A$3:$A$32,$B256,'Assumption-Worst'!$B$3:$B$32,$C256)</f>
        <v>0.18</v>
      </c>
      <c r="J256" s="14">
        <f t="shared" si="23"/>
        <v>4424.9204956679996</v>
      </c>
      <c r="K256" s="95">
        <f>SUMIFS('Assumption-Worst'!$F$3:$F$32,'Assumption-Worst'!$A$3:$A$32,$B256,'Assumption-Worst'!$B$3:$B$32,$C256)</f>
        <v>1.8000000000000001E-4</v>
      </c>
      <c r="L256" s="14">
        <f t="shared" si="24"/>
        <v>1474.9734985560001</v>
      </c>
      <c r="M256" s="94">
        <f t="shared" si="25"/>
        <v>18682.997648376</v>
      </c>
      <c r="N256" s="92">
        <f>SUMIFS('Assumption-Worst'!$G$3:$G$32,'Assumption-Worst'!$A$3:$A$32,$B256,'Assumption-Worst'!$B$3:$B$32,$C256)</f>
        <v>0.45</v>
      </c>
      <c r="O256" s="14">
        <f t="shared" si="26"/>
        <v>11062.301239169999</v>
      </c>
      <c r="P256" s="94">
        <f t="shared" si="27"/>
        <v>7620.6964092060007</v>
      </c>
    </row>
    <row r="257" spans="1:16" x14ac:dyDescent="0.35">
      <c r="A257" s="91" t="str">
        <f>LEFT('2025 actual v budget'!A257,4)&amp;"26"</f>
        <v>Sep-26</v>
      </c>
      <c r="B257" s="12" t="str">
        <f>'2025 actual v budget'!B257</f>
        <v>India</v>
      </c>
      <c r="C257" s="12" t="str">
        <f>'2025 actual v budget'!C257</f>
        <v>Virtual Accounts</v>
      </c>
      <c r="D257" s="14">
        <f>'2025 actual v budget'!D257</f>
        <v>11387703.16</v>
      </c>
      <c r="E257" s="92">
        <f>SUMIFS('Assumption-Worst'!$C$3:$C$32,'Assumption-Worst'!$A$3:$A$32,$B257,'Assumption-Worst'!$B$3:$B$32,$C257)</f>
        <v>0.06</v>
      </c>
      <c r="F257" s="14">
        <f t="shared" si="21"/>
        <v>12070965.3496</v>
      </c>
      <c r="G257" s="93">
        <f>SUMIFS('Assumption-Worst'!$D$3:$D$32,'Assumption-Worst'!$A$3:$A$32,$B257,'Assumption-Worst'!$B$3:$B$32,$C257)</f>
        <v>4.4999999999999997E-3</v>
      </c>
      <c r="H257" s="94">
        <f t="shared" si="22"/>
        <v>54319.344073199994</v>
      </c>
      <c r="I257" s="92">
        <f>SUMIFS('Assumption-Worst'!$E$3:$E$32,'Assumption-Worst'!$A$3:$A$32,$B257,'Assumption-Worst'!$B$3:$B$32,$C257)</f>
        <v>0.22</v>
      </c>
      <c r="J257" s="14">
        <f t="shared" si="23"/>
        <v>11950.255696103999</v>
      </c>
      <c r="K257" s="95">
        <f>SUMIFS('Assumption-Worst'!$F$3:$F$32,'Assumption-Worst'!$A$3:$A$32,$B257,'Assumption-Worst'!$B$3:$B$32,$C257)</f>
        <v>1.8000000000000001E-4</v>
      </c>
      <c r="L257" s="14">
        <f t="shared" si="24"/>
        <v>2172.773762928</v>
      </c>
      <c r="M257" s="94">
        <f t="shared" si="25"/>
        <v>40196.31461416799</v>
      </c>
      <c r="N257" s="92">
        <f>SUMIFS('Assumption-Worst'!$G$3:$G$32,'Assumption-Worst'!$A$3:$A$32,$B257,'Assumption-Worst'!$B$3:$B$32,$C257)</f>
        <v>0.45</v>
      </c>
      <c r="O257" s="14">
        <f t="shared" si="26"/>
        <v>24443.704832939999</v>
      </c>
      <c r="P257" s="94">
        <f t="shared" si="27"/>
        <v>15752.609781227991</v>
      </c>
    </row>
    <row r="258" spans="1:16" x14ac:dyDescent="0.35">
      <c r="A258" s="91" t="str">
        <f>LEFT('2025 actual v budget'!A258,4)&amp;"26"</f>
        <v>Sep-26</v>
      </c>
      <c r="B258" s="12" t="str">
        <f>'2025 actual v budget'!B258</f>
        <v>Mexico</v>
      </c>
      <c r="C258" s="12" t="str">
        <f>'2025 actual v budget'!C258</f>
        <v>Cross-border Payouts</v>
      </c>
      <c r="D258" s="14">
        <f>'2025 actual v budget'!D258</f>
        <v>14251837.970000001</v>
      </c>
      <c r="E258" s="92">
        <f>SUMIFS('Assumption-Worst'!$C$3:$C$32,'Assumption-Worst'!$A$3:$A$32,$B258,'Assumption-Worst'!$B$3:$B$32,$C258)</f>
        <v>7.4999999999999997E-2</v>
      </c>
      <c r="F258" s="14">
        <f t="shared" si="21"/>
        <v>15320725.817749999</v>
      </c>
      <c r="G258" s="93">
        <f>SUMIFS('Assumption-Worst'!$D$3:$D$32,'Assumption-Worst'!$A$3:$A$32,$B258,'Assumption-Worst'!$B$3:$B$32,$C258)</f>
        <v>7.4999999999999997E-3</v>
      </c>
      <c r="H258" s="94">
        <f t="shared" si="22"/>
        <v>114905.44363312499</v>
      </c>
      <c r="I258" s="92">
        <f>SUMIFS('Assumption-Worst'!$E$3:$E$32,'Assumption-Worst'!$A$3:$A$32,$B258,'Assumption-Worst'!$B$3:$B$32,$C258)</f>
        <v>0.35</v>
      </c>
      <c r="J258" s="14">
        <f t="shared" si="23"/>
        <v>40216.905271593743</v>
      </c>
      <c r="K258" s="95">
        <f>SUMIFS('Assumption-Worst'!$F$3:$F$32,'Assumption-Worst'!$A$3:$A$32,$B258,'Assumption-Worst'!$B$3:$B$32,$C258)</f>
        <v>8.0000000000000007E-5</v>
      </c>
      <c r="L258" s="14">
        <f t="shared" si="24"/>
        <v>1225.65806542</v>
      </c>
      <c r="M258" s="94">
        <f t="shared" si="25"/>
        <v>73462.880296111252</v>
      </c>
      <c r="N258" s="92">
        <f>SUMIFS('Assumption-Worst'!$G$3:$G$32,'Assumption-Worst'!$A$3:$A$32,$B258,'Assumption-Worst'!$B$3:$B$32,$C258)</f>
        <v>0.45</v>
      </c>
      <c r="O258" s="14">
        <f t="shared" si="26"/>
        <v>51707.449634906247</v>
      </c>
      <c r="P258" s="94">
        <f t="shared" si="27"/>
        <v>21755.430661205006</v>
      </c>
    </row>
    <row r="259" spans="1:16" x14ac:dyDescent="0.35">
      <c r="A259" s="91" t="str">
        <f>LEFT('2025 actual v budget'!A259,4)&amp;"26"</f>
        <v>Sep-26</v>
      </c>
      <c r="B259" s="12" t="str">
        <f>'2025 actual v budget'!B259</f>
        <v>Mexico</v>
      </c>
      <c r="C259" s="12" t="str">
        <f>'2025 actual v budget'!C259</f>
        <v>FX Conversion</v>
      </c>
      <c r="D259" s="14">
        <f>'2025 actual v budget'!D259</f>
        <v>22211493.489999998</v>
      </c>
      <c r="E259" s="92">
        <f>SUMIFS('Assumption-Worst'!$C$3:$C$32,'Assumption-Worst'!$A$3:$A$32,$B259,'Assumption-Worst'!$B$3:$B$32,$C259)</f>
        <v>7.4999999999999997E-2</v>
      </c>
      <c r="F259" s="14">
        <f t="shared" ref="F259:F322" si="28">D259*(1+E259)</f>
        <v>23877355.501749996</v>
      </c>
      <c r="G259" s="93">
        <f>SUMIFS('Assumption-Worst'!$D$3:$D$32,'Assumption-Worst'!$A$3:$A$32,$B259,'Assumption-Worst'!$B$3:$B$32,$C259)</f>
        <v>1.0500000000000001E-2</v>
      </c>
      <c r="H259" s="94">
        <f t="shared" ref="H259:H322" si="29">F259*G259</f>
        <v>250712.23276837496</v>
      </c>
      <c r="I259" s="92">
        <f>SUMIFS('Assumption-Worst'!$E$3:$E$32,'Assumption-Worst'!$A$3:$A$32,$B259,'Assumption-Worst'!$B$3:$B$32,$C259)</f>
        <v>0.28000000000000003</v>
      </c>
      <c r="J259" s="14">
        <f t="shared" ref="J259:J322" si="30">H259*I259</f>
        <v>70199.425175144992</v>
      </c>
      <c r="K259" s="95">
        <f>SUMIFS('Assumption-Worst'!$F$3:$F$32,'Assumption-Worst'!$A$3:$A$32,$B259,'Assumption-Worst'!$B$3:$B$32,$C259)</f>
        <v>8.0000000000000007E-5</v>
      </c>
      <c r="L259" s="14">
        <f t="shared" ref="L259:L322" si="31">F259*K259</f>
        <v>1910.1884401399998</v>
      </c>
      <c r="M259" s="94">
        <f t="shared" ref="M259:M322" si="32">H259-J259-L259</f>
        <v>178602.61915309</v>
      </c>
      <c r="N259" s="92">
        <f>SUMIFS('Assumption-Worst'!$G$3:$G$32,'Assumption-Worst'!$A$3:$A$32,$B259,'Assumption-Worst'!$B$3:$B$32,$C259)</f>
        <v>0.45</v>
      </c>
      <c r="O259" s="14">
        <f t="shared" ref="O259:O322" si="33">H259*N259</f>
        <v>112820.50474576873</v>
      </c>
      <c r="P259" s="94">
        <f t="shared" ref="P259:P322" si="34">M259-O259</f>
        <v>65782.114407321264</v>
      </c>
    </row>
    <row r="260" spans="1:16" x14ac:dyDescent="0.35">
      <c r="A260" s="91" t="str">
        <f>LEFT('2025 actual v budget'!A260,4)&amp;"26"</f>
        <v>Sep-26</v>
      </c>
      <c r="B260" s="12" t="str">
        <f>'2025 actual v budget'!B260</f>
        <v>Mexico</v>
      </c>
      <c r="C260" s="12" t="str">
        <f>'2025 actual v budget'!C260</f>
        <v>Stablecoin Settlement</v>
      </c>
      <c r="D260" s="14">
        <f>'2025 actual v budget'!D260</f>
        <v>33568548.719999999</v>
      </c>
      <c r="E260" s="92">
        <f>SUMIFS('Assumption-Worst'!$C$3:$C$32,'Assumption-Worst'!$A$3:$A$32,$B260,'Assumption-Worst'!$B$3:$B$32,$C260)</f>
        <v>0.15</v>
      </c>
      <c r="F260" s="14">
        <f t="shared" si="28"/>
        <v>38603831.027999997</v>
      </c>
      <c r="G260" s="93">
        <f>SUMIFS('Assumption-Worst'!$D$3:$D$32,'Assumption-Worst'!$A$3:$A$32,$B260,'Assumption-Worst'!$B$3:$B$32,$C260)</f>
        <v>6.4999999999999997E-3</v>
      </c>
      <c r="H260" s="94">
        <f t="shared" si="29"/>
        <v>250924.90168199997</v>
      </c>
      <c r="I260" s="92">
        <f>SUMIFS('Assumption-Worst'!$E$3:$E$32,'Assumption-Worst'!$A$3:$A$32,$B260,'Assumption-Worst'!$B$3:$B$32,$C260)</f>
        <v>0.32</v>
      </c>
      <c r="J260" s="14">
        <f t="shared" si="30"/>
        <v>80295.968538239991</v>
      </c>
      <c r="K260" s="95">
        <f>SUMIFS('Assumption-Worst'!$F$3:$F$32,'Assumption-Worst'!$A$3:$A$32,$B260,'Assumption-Worst'!$B$3:$B$32,$C260)</f>
        <v>8.0000000000000007E-5</v>
      </c>
      <c r="L260" s="14">
        <f t="shared" si="31"/>
        <v>3088.3064822400002</v>
      </c>
      <c r="M260" s="94">
        <f t="shared" si="32"/>
        <v>167540.62666151996</v>
      </c>
      <c r="N260" s="92">
        <f>SUMIFS('Assumption-Worst'!$G$3:$G$32,'Assumption-Worst'!$A$3:$A$32,$B260,'Assumption-Worst'!$B$3:$B$32,$C260)</f>
        <v>0.45</v>
      </c>
      <c r="O260" s="14">
        <f t="shared" si="33"/>
        <v>112916.20575689999</v>
      </c>
      <c r="P260" s="94">
        <f t="shared" si="34"/>
        <v>54624.420904619968</v>
      </c>
    </row>
    <row r="261" spans="1:16" x14ac:dyDescent="0.35">
      <c r="A261" s="91" t="str">
        <f>LEFT('2025 actual v budget'!A261,4)&amp;"26"</f>
        <v>Sep-26</v>
      </c>
      <c r="B261" s="12" t="str">
        <f>'2025 actual v budget'!B261</f>
        <v>Mexico</v>
      </c>
      <c r="C261" s="12" t="str">
        <f>'2025 actual v budget'!C261</f>
        <v>Treasury Yield</v>
      </c>
      <c r="D261" s="14">
        <f>'2025 actual v budget'!D261</f>
        <v>9100864.8200000003</v>
      </c>
      <c r="E261" s="92">
        <f>SUMIFS('Assumption-Worst'!$C$3:$C$32,'Assumption-Worst'!$A$3:$A$32,$B261,'Assumption-Worst'!$B$3:$B$32,$C261)</f>
        <v>7.4999999999999997E-2</v>
      </c>
      <c r="F261" s="14">
        <f t="shared" si="28"/>
        <v>9783429.681499999</v>
      </c>
      <c r="G261" s="93">
        <f>SUMIFS('Assumption-Worst'!$D$3:$D$32,'Assumption-Worst'!$A$3:$A$32,$B261,'Assumption-Worst'!$B$3:$B$32,$C261)</f>
        <v>3.0000000000000001E-3</v>
      </c>
      <c r="H261" s="94">
        <f t="shared" si="29"/>
        <v>29350.289044499998</v>
      </c>
      <c r="I261" s="92">
        <f>SUMIFS('Assumption-Worst'!$E$3:$E$32,'Assumption-Worst'!$A$3:$A$32,$B261,'Assumption-Worst'!$B$3:$B$32,$C261)</f>
        <v>0.18</v>
      </c>
      <c r="J261" s="14">
        <f t="shared" si="30"/>
        <v>5283.052028009999</v>
      </c>
      <c r="K261" s="95">
        <f>SUMIFS('Assumption-Worst'!$F$3:$F$32,'Assumption-Worst'!$A$3:$A$32,$B261,'Assumption-Worst'!$B$3:$B$32,$C261)</f>
        <v>8.0000000000000007E-5</v>
      </c>
      <c r="L261" s="14">
        <f t="shared" si="31"/>
        <v>782.67437452000001</v>
      </c>
      <c r="M261" s="94">
        <f t="shared" si="32"/>
        <v>23284.562641969998</v>
      </c>
      <c r="N261" s="92">
        <f>SUMIFS('Assumption-Worst'!$G$3:$G$32,'Assumption-Worst'!$A$3:$A$32,$B261,'Assumption-Worst'!$B$3:$B$32,$C261)</f>
        <v>0.45</v>
      </c>
      <c r="O261" s="14">
        <f t="shared" si="33"/>
        <v>13207.630070024999</v>
      </c>
      <c r="P261" s="94">
        <f t="shared" si="34"/>
        <v>10076.932571944999</v>
      </c>
    </row>
    <row r="262" spans="1:16" x14ac:dyDescent="0.35">
      <c r="A262" s="91" t="str">
        <f>LEFT('2025 actual v budget'!A262,4)&amp;"26"</f>
        <v>Sep-26</v>
      </c>
      <c r="B262" s="12" t="str">
        <f>'2025 actual v budget'!B262</f>
        <v>Mexico</v>
      </c>
      <c r="C262" s="12" t="str">
        <f>'2025 actual v budget'!C262</f>
        <v>Virtual Accounts</v>
      </c>
      <c r="D262" s="14">
        <f>'2025 actual v budget'!D262</f>
        <v>13406424.119999999</v>
      </c>
      <c r="E262" s="92">
        <f>SUMIFS('Assumption-Worst'!$C$3:$C$32,'Assumption-Worst'!$A$3:$A$32,$B262,'Assumption-Worst'!$B$3:$B$32,$C262)</f>
        <v>7.4999999999999997E-2</v>
      </c>
      <c r="F262" s="14">
        <f t="shared" si="28"/>
        <v>14411905.928999998</v>
      </c>
      <c r="G262" s="93">
        <f>SUMIFS('Assumption-Worst'!$D$3:$D$32,'Assumption-Worst'!$A$3:$A$32,$B262,'Assumption-Worst'!$B$3:$B$32,$C262)</f>
        <v>4.4999999999999997E-3</v>
      </c>
      <c r="H262" s="94">
        <f t="shared" si="29"/>
        <v>64853.576680499988</v>
      </c>
      <c r="I262" s="92">
        <f>SUMIFS('Assumption-Worst'!$E$3:$E$32,'Assumption-Worst'!$A$3:$A$32,$B262,'Assumption-Worst'!$B$3:$B$32,$C262)</f>
        <v>0.22</v>
      </c>
      <c r="J262" s="14">
        <f t="shared" si="30"/>
        <v>14267.786869709997</v>
      </c>
      <c r="K262" s="95">
        <f>SUMIFS('Assumption-Worst'!$F$3:$F$32,'Assumption-Worst'!$A$3:$A$32,$B262,'Assumption-Worst'!$B$3:$B$32,$C262)</f>
        <v>8.0000000000000007E-5</v>
      </c>
      <c r="L262" s="14">
        <f t="shared" si="31"/>
        <v>1152.95247432</v>
      </c>
      <c r="M262" s="94">
        <f t="shared" si="32"/>
        <v>49432.837336469987</v>
      </c>
      <c r="N262" s="92">
        <f>SUMIFS('Assumption-Worst'!$G$3:$G$32,'Assumption-Worst'!$A$3:$A$32,$B262,'Assumption-Worst'!$B$3:$B$32,$C262)</f>
        <v>0.45</v>
      </c>
      <c r="O262" s="14">
        <f t="shared" si="33"/>
        <v>29184.109506224995</v>
      </c>
      <c r="P262" s="94">
        <f t="shared" si="34"/>
        <v>20248.727830244992</v>
      </c>
    </row>
    <row r="263" spans="1:16" x14ac:dyDescent="0.35">
      <c r="A263" s="91" t="str">
        <f>LEFT('2025 actual v budget'!A263,4)&amp;"26"</f>
        <v>Sep-26</v>
      </c>
      <c r="B263" s="12" t="str">
        <f>'2025 actual v budget'!B263</f>
        <v>Singapore</v>
      </c>
      <c r="C263" s="12" t="str">
        <f>'2025 actual v budget'!C263</f>
        <v>Cross-border Payouts</v>
      </c>
      <c r="D263" s="14">
        <f>'2025 actual v budget'!D263</f>
        <v>11109611.689999999</v>
      </c>
      <c r="E263" s="92">
        <f>SUMIFS('Assumption-Worst'!$C$3:$C$32,'Assumption-Worst'!$A$3:$A$32,$B263,'Assumption-Worst'!$B$3:$B$32,$C263)</f>
        <v>2.5000000000000001E-2</v>
      </c>
      <c r="F263" s="14">
        <f t="shared" si="28"/>
        <v>11387351.982249998</v>
      </c>
      <c r="G263" s="93">
        <f>SUMIFS('Assumption-Worst'!$D$3:$D$32,'Assumption-Worst'!$A$3:$A$32,$B263,'Assumption-Worst'!$B$3:$B$32,$C263)</f>
        <v>7.4999999999999997E-3</v>
      </c>
      <c r="H263" s="94">
        <f t="shared" si="29"/>
        <v>85405.139866874975</v>
      </c>
      <c r="I263" s="92">
        <f>SUMIFS('Assumption-Worst'!$E$3:$E$32,'Assumption-Worst'!$A$3:$A$32,$B263,'Assumption-Worst'!$B$3:$B$32,$C263)</f>
        <v>0.35</v>
      </c>
      <c r="J263" s="14">
        <f t="shared" si="30"/>
        <v>29891.79895340624</v>
      </c>
      <c r="K263" s="95">
        <f>SUMIFS('Assumption-Worst'!$F$3:$F$32,'Assumption-Worst'!$A$3:$A$32,$B263,'Assumption-Worst'!$B$3:$B$32,$C263)</f>
        <v>9.0000000000000006E-5</v>
      </c>
      <c r="L263" s="14">
        <f t="shared" si="31"/>
        <v>1024.8616784024998</v>
      </c>
      <c r="M263" s="94">
        <f t="shared" si="32"/>
        <v>54488.479235066239</v>
      </c>
      <c r="N263" s="92">
        <f>SUMIFS('Assumption-Worst'!$G$3:$G$32,'Assumption-Worst'!$A$3:$A$32,$B263,'Assumption-Worst'!$B$3:$B$32,$C263)</f>
        <v>0.45</v>
      </c>
      <c r="O263" s="14">
        <f t="shared" si="33"/>
        <v>38432.31294009374</v>
      </c>
      <c r="P263" s="94">
        <f t="shared" si="34"/>
        <v>16056.1662949725</v>
      </c>
    </row>
    <row r="264" spans="1:16" x14ac:dyDescent="0.35">
      <c r="A264" s="91" t="str">
        <f>LEFT('2025 actual v budget'!A264,4)&amp;"26"</f>
        <v>Sep-26</v>
      </c>
      <c r="B264" s="12" t="str">
        <f>'2025 actual v budget'!B264</f>
        <v>Singapore</v>
      </c>
      <c r="C264" s="12" t="str">
        <f>'2025 actual v budget'!C264</f>
        <v>FX Conversion</v>
      </c>
      <c r="D264" s="14">
        <f>'2025 actual v budget'!D264</f>
        <v>17305089.09</v>
      </c>
      <c r="E264" s="92">
        <f>SUMIFS('Assumption-Worst'!$C$3:$C$32,'Assumption-Worst'!$A$3:$A$32,$B264,'Assumption-Worst'!$B$3:$B$32,$C264)</f>
        <v>2.5000000000000001E-2</v>
      </c>
      <c r="F264" s="14">
        <f t="shared" si="28"/>
        <v>17737716.317249998</v>
      </c>
      <c r="G264" s="93">
        <f>SUMIFS('Assumption-Worst'!$D$3:$D$32,'Assumption-Worst'!$A$3:$A$32,$B264,'Assumption-Worst'!$B$3:$B$32,$C264)</f>
        <v>1.0500000000000001E-2</v>
      </c>
      <c r="H264" s="94">
        <f t="shared" si="29"/>
        <v>186246.021331125</v>
      </c>
      <c r="I264" s="92">
        <f>SUMIFS('Assumption-Worst'!$E$3:$E$32,'Assumption-Worst'!$A$3:$A$32,$B264,'Assumption-Worst'!$B$3:$B$32,$C264)</f>
        <v>0.28000000000000003</v>
      </c>
      <c r="J264" s="14">
        <f t="shared" si="30"/>
        <v>52148.885972715005</v>
      </c>
      <c r="K264" s="95">
        <f>SUMIFS('Assumption-Worst'!$F$3:$F$32,'Assumption-Worst'!$A$3:$A$32,$B264,'Assumption-Worst'!$B$3:$B$32,$C264)</f>
        <v>9.0000000000000006E-5</v>
      </c>
      <c r="L264" s="14">
        <f t="shared" si="31"/>
        <v>1596.3944685525</v>
      </c>
      <c r="M264" s="94">
        <f t="shared" si="32"/>
        <v>132500.74088985749</v>
      </c>
      <c r="N264" s="92">
        <f>SUMIFS('Assumption-Worst'!$G$3:$G$32,'Assumption-Worst'!$A$3:$A$32,$B264,'Assumption-Worst'!$B$3:$B$32,$C264)</f>
        <v>0.45</v>
      </c>
      <c r="O264" s="14">
        <f t="shared" si="33"/>
        <v>83810.709599006252</v>
      </c>
      <c r="P264" s="94">
        <f t="shared" si="34"/>
        <v>48690.031290851242</v>
      </c>
    </row>
    <row r="265" spans="1:16" x14ac:dyDescent="0.35">
      <c r="A265" s="91" t="str">
        <f>LEFT('2025 actual v budget'!A265,4)&amp;"26"</f>
        <v>Sep-26</v>
      </c>
      <c r="B265" s="12" t="str">
        <f>'2025 actual v budget'!B265</f>
        <v>Singapore</v>
      </c>
      <c r="C265" s="12" t="str">
        <f>'2025 actual v budget'!C265</f>
        <v>Stablecoin Settlement</v>
      </c>
      <c r="D265" s="14">
        <f>'2025 actual v budget'!D265</f>
        <v>26167399.760000002</v>
      </c>
      <c r="E265" s="92">
        <f>SUMIFS('Assumption-Worst'!$C$3:$C$32,'Assumption-Worst'!$A$3:$A$32,$B265,'Assumption-Worst'!$B$3:$B$32,$C265)</f>
        <v>0.05</v>
      </c>
      <c r="F265" s="14">
        <f t="shared" si="28"/>
        <v>27475769.748000003</v>
      </c>
      <c r="G265" s="93">
        <f>SUMIFS('Assumption-Worst'!$D$3:$D$32,'Assumption-Worst'!$A$3:$A$32,$B265,'Assumption-Worst'!$B$3:$B$32,$C265)</f>
        <v>6.4999999999999997E-3</v>
      </c>
      <c r="H265" s="94">
        <f t="shared" si="29"/>
        <v>178592.50336200002</v>
      </c>
      <c r="I265" s="92">
        <f>SUMIFS('Assumption-Worst'!$E$3:$E$32,'Assumption-Worst'!$A$3:$A$32,$B265,'Assumption-Worst'!$B$3:$B$32,$C265)</f>
        <v>0.32</v>
      </c>
      <c r="J265" s="14">
        <f t="shared" si="30"/>
        <v>57149.601075840008</v>
      </c>
      <c r="K265" s="95">
        <f>SUMIFS('Assumption-Worst'!$F$3:$F$32,'Assumption-Worst'!$A$3:$A$32,$B265,'Assumption-Worst'!$B$3:$B$32,$C265)</f>
        <v>9.0000000000000006E-5</v>
      </c>
      <c r="L265" s="14">
        <f t="shared" si="31"/>
        <v>2472.8192773200003</v>
      </c>
      <c r="M265" s="94">
        <f t="shared" si="32"/>
        <v>118970.08300884001</v>
      </c>
      <c r="N265" s="92">
        <f>SUMIFS('Assumption-Worst'!$G$3:$G$32,'Assumption-Worst'!$A$3:$A$32,$B265,'Assumption-Worst'!$B$3:$B$32,$C265)</f>
        <v>0.45</v>
      </c>
      <c r="O265" s="14">
        <f t="shared" si="33"/>
        <v>80366.626512900009</v>
      </c>
      <c r="P265" s="94">
        <f t="shared" si="34"/>
        <v>38603.456495940001</v>
      </c>
    </row>
    <row r="266" spans="1:16" x14ac:dyDescent="0.35">
      <c r="A266" s="91" t="str">
        <f>LEFT('2025 actual v budget'!A266,4)&amp;"26"</f>
        <v>Sep-26</v>
      </c>
      <c r="B266" s="12" t="str">
        <f>'2025 actual v budget'!B266</f>
        <v>Singapore</v>
      </c>
      <c r="C266" s="12" t="str">
        <f>'2025 actual v budget'!C266</f>
        <v>Treasury Yield</v>
      </c>
      <c r="D266" s="14">
        <f>'2025 actual v budget'!D266</f>
        <v>7090530.7000000002</v>
      </c>
      <c r="E266" s="92">
        <f>SUMIFS('Assumption-Worst'!$C$3:$C$32,'Assumption-Worst'!$A$3:$A$32,$B266,'Assumption-Worst'!$B$3:$B$32,$C266)</f>
        <v>2.5000000000000001E-2</v>
      </c>
      <c r="F266" s="14">
        <f t="shared" si="28"/>
        <v>7267793.9674999993</v>
      </c>
      <c r="G266" s="93">
        <f>SUMIFS('Assumption-Worst'!$D$3:$D$32,'Assumption-Worst'!$A$3:$A$32,$B266,'Assumption-Worst'!$B$3:$B$32,$C266)</f>
        <v>3.0000000000000001E-3</v>
      </c>
      <c r="H266" s="94">
        <f t="shared" si="29"/>
        <v>21803.381902499998</v>
      </c>
      <c r="I266" s="92">
        <f>SUMIFS('Assumption-Worst'!$E$3:$E$32,'Assumption-Worst'!$A$3:$A$32,$B266,'Assumption-Worst'!$B$3:$B$32,$C266)</f>
        <v>0.18</v>
      </c>
      <c r="J266" s="14">
        <f t="shared" si="30"/>
        <v>3924.6087424499992</v>
      </c>
      <c r="K266" s="95">
        <f>SUMIFS('Assumption-Worst'!$F$3:$F$32,'Assumption-Worst'!$A$3:$A$32,$B266,'Assumption-Worst'!$B$3:$B$32,$C266)</f>
        <v>9.0000000000000006E-5</v>
      </c>
      <c r="L266" s="14">
        <f t="shared" si="31"/>
        <v>654.10145707499998</v>
      </c>
      <c r="M266" s="94">
        <f t="shared" si="32"/>
        <v>17224.671702974996</v>
      </c>
      <c r="N266" s="92">
        <f>SUMIFS('Assumption-Worst'!$G$3:$G$32,'Assumption-Worst'!$A$3:$A$32,$B266,'Assumption-Worst'!$B$3:$B$32,$C266)</f>
        <v>0.45</v>
      </c>
      <c r="O266" s="14">
        <f t="shared" si="33"/>
        <v>9811.5218561249985</v>
      </c>
      <c r="P266" s="94">
        <f t="shared" si="34"/>
        <v>7413.1498468499976</v>
      </c>
    </row>
    <row r="267" spans="1:16" x14ac:dyDescent="0.35">
      <c r="A267" s="91" t="str">
        <f>LEFT('2025 actual v budget'!A267,4)&amp;"26"</f>
        <v>Sep-26</v>
      </c>
      <c r="B267" s="12" t="str">
        <f>'2025 actual v budget'!B267</f>
        <v>Singapore</v>
      </c>
      <c r="C267" s="12" t="str">
        <f>'2025 actual v budget'!C267</f>
        <v>Virtual Accounts</v>
      </c>
      <c r="D267" s="14">
        <f>'2025 actual v budget'!D267</f>
        <v>10445014.15</v>
      </c>
      <c r="E267" s="92">
        <f>SUMIFS('Assumption-Worst'!$C$3:$C$32,'Assumption-Worst'!$A$3:$A$32,$B267,'Assumption-Worst'!$B$3:$B$32,$C267)</f>
        <v>2.5000000000000001E-2</v>
      </c>
      <c r="F267" s="14">
        <f t="shared" si="28"/>
        <v>10706139.50375</v>
      </c>
      <c r="G267" s="93">
        <f>SUMIFS('Assumption-Worst'!$D$3:$D$32,'Assumption-Worst'!$A$3:$A$32,$B267,'Assumption-Worst'!$B$3:$B$32,$C267)</f>
        <v>4.4999999999999997E-3</v>
      </c>
      <c r="H267" s="94">
        <f t="shared" si="29"/>
        <v>48177.627766874997</v>
      </c>
      <c r="I267" s="92">
        <f>SUMIFS('Assumption-Worst'!$E$3:$E$32,'Assumption-Worst'!$A$3:$A$32,$B267,'Assumption-Worst'!$B$3:$B$32,$C267)</f>
        <v>0.22</v>
      </c>
      <c r="J267" s="14">
        <f t="shared" si="30"/>
        <v>10599.0781087125</v>
      </c>
      <c r="K267" s="95">
        <f>SUMIFS('Assumption-Worst'!$F$3:$F$32,'Assumption-Worst'!$A$3:$A$32,$B267,'Assumption-Worst'!$B$3:$B$32,$C267)</f>
        <v>9.0000000000000006E-5</v>
      </c>
      <c r="L267" s="14">
        <f t="shared" si="31"/>
        <v>963.55255533750005</v>
      </c>
      <c r="M267" s="94">
        <f t="shared" si="32"/>
        <v>36614.997102825</v>
      </c>
      <c r="N267" s="92">
        <f>SUMIFS('Assumption-Worst'!$G$3:$G$32,'Assumption-Worst'!$A$3:$A$32,$B267,'Assumption-Worst'!$B$3:$B$32,$C267)</f>
        <v>0.45</v>
      </c>
      <c r="O267" s="14">
        <f t="shared" si="33"/>
        <v>21679.932495093748</v>
      </c>
      <c r="P267" s="94">
        <f t="shared" si="34"/>
        <v>14935.064607731252</v>
      </c>
    </row>
    <row r="268" spans="1:16" x14ac:dyDescent="0.35">
      <c r="A268" s="91" t="str">
        <f>LEFT('2025 actual v budget'!A268,4)&amp;"26"</f>
        <v>Sep-26</v>
      </c>
      <c r="B268" s="12" t="str">
        <f>'2025 actual v budget'!B268</f>
        <v>USA</v>
      </c>
      <c r="C268" s="12" t="str">
        <f>'2025 actual v budget'!C268</f>
        <v>Cross-border Payouts</v>
      </c>
      <c r="D268" s="14">
        <f>'2025 actual v budget'!D268</f>
        <v>26738288.43</v>
      </c>
      <c r="E268" s="92">
        <f>SUMIFS('Assumption-Worst'!$C$3:$C$32,'Assumption-Worst'!$A$3:$A$32,$B268,'Assumption-Worst'!$B$3:$B$32,$C268)</f>
        <v>0.05</v>
      </c>
      <c r="F268" s="14">
        <f t="shared" si="28"/>
        <v>28075202.851500001</v>
      </c>
      <c r="G268" s="93">
        <f>SUMIFS('Assumption-Worst'!$D$3:$D$32,'Assumption-Worst'!$A$3:$A$32,$B268,'Assumption-Worst'!$B$3:$B$32,$C268)</f>
        <v>7.4999999999999997E-3</v>
      </c>
      <c r="H268" s="94">
        <f t="shared" si="29"/>
        <v>210564.02138625001</v>
      </c>
      <c r="I268" s="92">
        <f>SUMIFS('Assumption-Worst'!$E$3:$E$32,'Assumption-Worst'!$A$3:$A$32,$B268,'Assumption-Worst'!$B$3:$B$32,$C268)</f>
        <v>0.35</v>
      </c>
      <c r="J268" s="14">
        <f t="shared" si="30"/>
        <v>73697.407485187505</v>
      </c>
      <c r="K268" s="95">
        <f>SUMIFS('Assumption-Worst'!$F$3:$F$32,'Assumption-Worst'!$A$3:$A$32,$B268,'Assumption-Worst'!$B$3:$B$32,$C268)</f>
        <v>2.0000000000000001E-4</v>
      </c>
      <c r="L268" s="14">
        <f t="shared" si="31"/>
        <v>5615.0405703000006</v>
      </c>
      <c r="M268" s="94">
        <f t="shared" si="32"/>
        <v>131251.57333076251</v>
      </c>
      <c r="N268" s="92">
        <f>SUMIFS('Assumption-Worst'!$G$3:$G$32,'Assumption-Worst'!$A$3:$A$32,$B268,'Assumption-Worst'!$B$3:$B$32,$C268)</f>
        <v>0.45</v>
      </c>
      <c r="O268" s="14">
        <f t="shared" si="33"/>
        <v>94753.8096238125</v>
      </c>
      <c r="P268" s="94">
        <f t="shared" si="34"/>
        <v>36497.763706950005</v>
      </c>
    </row>
    <row r="269" spans="1:16" x14ac:dyDescent="0.35">
      <c r="A269" s="91" t="str">
        <f>LEFT('2025 actual v budget'!A269,4)&amp;"26"</f>
        <v>Sep-26</v>
      </c>
      <c r="B269" s="12" t="str">
        <f>'2025 actual v budget'!B269</f>
        <v>USA</v>
      </c>
      <c r="C269" s="12" t="str">
        <f>'2025 actual v budget'!C269</f>
        <v>FX Conversion</v>
      </c>
      <c r="D269" s="14">
        <f>'2025 actual v budget'!D269</f>
        <v>41641827.340000004</v>
      </c>
      <c r="E269" s="92">
        <f>SUMIFS('Assumption-Worst'!$C$3:$C$32,'Assumption-Worst'!$A$3:$A$32,$B269,'Assumption-Worst'!$B$3:$B$32,$C269)</f>
        <v>0.05</v>
      </c>
      <c r="F269" s="14">
        <f t="shared" si="28"/>
        <v>43723918.707000002</v>
      </c>
      <c r="G269" s="93">
        <f>SUMIFS('Assumption-Worst'!$D$3:$D$32,'Assumption-Worst'!$A$3:$A$32,$B269,'Assumption-Worst'!$B$3:$B$32,$C269)</f>
        <v>1.0500000000000001E-2</v>
      </c>
      <c r="H269" s="94">
        <f t="shared" si="29"/>
        <v>459101.14642350003</v>
      </c>
      <c r="I269" s="92">
        <f>SUMIFS('Assumption-Worst'!$E$3:$E$32,'Assumption-Worst'!$A$3:$A$32,$B269,'Assumption-Worst'!$B$3:$B$32,$C269)</f>
        <v>0.28000000000000003</v>
      </c>
      <c r="J269" s="14">
        <f t="shared" si="30"/>
        <v>128548.32099858002</v>
      </c>
      <c r="K269" s="95">
        <f>SUMIFS('Assumption-Worst'!$F$3:$F$32,'Assumption-Worst'!$A$3:$A$32,$B269,'Assumption-Worst'!$B$3:$B$32,$C269)</f>
        <v>2.0000000000000001E-4</v>
      </c>
      <c r="L269" s="14">
        <f t="shared" si="31"/>
        <v>8744.7837414000005</v>
      </c>
      <c r="M269" s="94">
        <f t="shared" si="32"/>
        <v>321808.04168352002</v>
      </c>
      <c r="N269" s="92">
        <f>SUMIFS('Assumption-Worst'!$G$3:$G$32,'Assumption-Worst'!$A$3:$A$32,$B269,'Assumption-Worst'!$B$3:$B$32,$C269)</f>
        <v>0.45</v>
      </c>
      <c r="O269" s="14">
        <f t="shared" si="33"/>
        <v>206595.51589057501</v>
      </c>
      <c r="P269" s="94">
        <f t="shared" si="34"/>
        <v>115212.525792945</v>
      </c>
    </row>
    <row r="270" spans="1:16" x14ac:dyDescent="0.35">
      <c r="A270" s="91" t="str">
        <f>LEFT('2025 actual v budget'!A270,4)&amp;"26"</f>
        <v>Sep-26</v>
      </c>
      <c r="B270" s="12" t="str">
        <f>'2025 actual v budget'!B270</f>
        <v>USA</v>
      </c>
      <c r="C270" s="12" t="str">
        <f>'2025 actual v budget'!C270</f>
        <v>Stablecoin Settlement</v>
      </c>
      <c r="D270" s="14">
        <f>'2025 actual v budget'!D270</f>
        <v>62978932.25</v>
      </c>
      <c r="E270" s="92">
        <f>SUMIFS('Assumption-Worst'!$C$3:$C$32,'Assumption-Worst'!$A$3:$A$32,$B270,'Assumption-Worst'!$B$3:$B$32,$C270)</f>
        <v>0.1</v>
      </c>
      <c r="F270" s="14">
        <f t="shared" si="28"/>
        <v>69276825.475000009</v>
      </c>
      <c r="G270" s="93">
        <f>SUMIFS('Assumption-Worst'!$D$3:$D$32,'Assumption-Worst'!$A$3:$A$32,$B270,'Assumption-Worst'!$B$3:$B$32,$C270)</f>
        <v>6.4999999999999997E-3</v>
      </c>
      <c r="H270" s="94">
        <f t="shared" si="29"/>
        <v>450299.36558750004</v>
      </c>
      <c r="I270" s="92">
        <f>SUMIFS('Assumption-Worst'!$E$3:$E$32,'Assumption-Worst'!$A$3:$A$32,$B270,'Assumption-Worst'!$B$3:$B$32,$C270)</f>
        <v>0.32</v>
      </c>
      <c r="J270" s="14">
        <f t="shared" si="30"/>
        <v>144095.79698800002</v>
      </c>
      <c r="K270" s="95">
        <f>SUMIFS('Assumption-Worst'!$F$3:$F$32,'Assumption-Worst'!$A$3:$A$32,$B270,'Assumption-Worst'!$B$3:$B$32,$C270)</f>
        <v>2.0000000000000001E-4</v>
      </c>
      <c r="L270" s="14">
        <f t="shared" si="31"/>
        <v>13855.365095000003</v>
      </c>
      <c r="M270" s="94">
        <f t="shared" si="32"/>
        <v>292348.20350449998</v>
      </c>
      <c r="N270" s="92">
        <f>SUMIFS('Assumption-Worst'!$G$3:$G$32,'Assumption-Worst'!$A$3:$A$32,$B270,'Assumption-Worst'!$B$3:$B$32,$C270)</f>
        <v>0.45</v>
      </c>
      <c r="O270" s="14">
        <f t="shared" si="33"/>
        <v>202634.71451437502</v>
      </c>
      <c r="P270" s="94">
        <f t="shared" si="34"/>
        <v>89713.488990124955</v>
      </c>
    </row>
    <row r="271" spans="1:16" x14ac:dyDescent="0.35">
      <c r="A271" s="91" t="str">
        <f>LEFT('2025 actual v budget'!A271,4)&amp;"26"</f>
        <v>Sep-26</v>
      </c>
      <c r="B271" s="12" t="str">
        <f>'2025 actual v budget'!B271</f>
        <v>USA</v>
      </c>
      <c r="C271" s="12" t="str">
        <f>'2025 actual v budget'!C271</f>
        <v>Treasury Yield</v>
      </c>
      <c r="D271" s="14">
        <f>'2025 actual v budget'!D271</f>
        <v>17062186.370000001</v>
      </c>
      <c r="E271" s="92">
        <f>SUMIFS('Assumption-Worst'!$C$3:$C$32,'Assumption-Worst'!$A$3:$A$32,$B271,'Assumption-Worst'!$B$3:$B$32,$C271)</f>
        <v>0.05</v>
      </c>
      <c r="F271" s="14">
        <f t="shared" si="28"/>
        <v>17915295.688500002</v>
      </c>
      <c r="G271" s="93">
        <f>SUMIFS('Assumption-Worst'!$D$3:$D$32,'Assumption-Worst'!$A$3:$A$32,$B271,'Assumption-Worst'!$B$3:$B$32,$C271)</f>
        <v>3.0000000000000001E-3</v>
      </c>
      <c r="H271" s="94">
        <f t="shared" si="29"/>
        <v>53745.887065500006</v>
      </c>
      <c r="I271" s="92">
        <f>SUMIFS('Assumption-Worst'!$E$3:$E$32,'Assumption-Worst'!$A$3:$A$32,$B271,'Assumption-Worst'!$B$3:$B$32,$C271)</f>
        <v>0.18</v>
      </c>
      <c r="J271" s="14">
        <f t="shared" si="30"/>
        <v>9674.2596717900014</v>
      </c>
      <c r="K271" s="95">
        <f>SUMIFS('Assumption-Worst'!$F$3:$F$32,'Assumption-Worst'!$A$3:$A$32,$B271,'Assumption-Worst'!$B$3:$B$32,$C271)</f>
        <v>2.0000000000000001E-4</v>
      </c>
      <c r="L271" s="14">
        <f t="shared" si="31"/>
        <v>3583.0591377000005</v>
      </c>
      <c r="M271" s="94">
        <f t="shared" si="32"/>
        <v>40488.568256010003</v>
      </c>
      <c r="N271" s="92">
        <f>SUMIFS('Assumption-Worst'!$G$3:$G$32,'Assumption-Worst'!$A$3:$A$32,$B271,'Assumption-Worst'!$B$3:$B$32,$C271)</f>
        <v>0.45</v>
      </c>
      <c r="O271" s="14">
        <f t="shared" si="33"/>
        <v>24185.649179475004</v>
      </c>
      <c r="P271" s="94">
        <f t="shared" si="34"/>
        <v>16302.919076534999</v>
      </c>
    </row>
    <row r="272" spans="1:16" x14ac:dyDescent="0.35">
      <c r="A272" s="91" t="str">
        <f>LEFT('2025 actual v budget'!A272,4)&amp;"26"</f>
        <v>Sep-26</v>
      </c>
      <c r="B272" s="12" t="str">
        <f>'2025 actual v budget'!B272</f>
        <v>USA</v>
      </c>
      <c r="C272" s="12" t="str">
        <f>'2025 actual v budget'!C272</f>
        <v>Virtual Accounts</v>
      </c>
      <c r="D272" s="14">
        <f>'2025 actual v budget'!D272</f>
        <v>25134194.559999999</v>
      </c>
      <c r="E272" s="92">
        <f>SUMIFS('Assumption-Worst'!$C$3:$C$32,'Assumption-Worst'!$A$3:$A$32,$B272,'Assumption-Worst'!$B$3:$B$32,$C272)</f>
        <v>0.05</v>
      </c>
      <c r="F272" s="14">
        <f t="shared" si="28"/>
        <v>26390904.287999999</v>
      </c>
      <c r="G272" s="93">
        <f>SUMIFS('Assumption-Worst'!$D$3:$D$32,'Assumption-Worst'!$A$3:$A$32,$B272,'Assumption-Worst'!$B$3:$B$32,$C272)</f>
        <v>4.4999999999999997E-3</v>
      </c>
      <c r="H272" s="94">
        <f t="shared" si="29"/>
        <v>118759.06929599999</v>
      </c>
      <c r="I272" s="92">
        <f>SUMIFS('Assumption-Worst'!$E$3:$E$32,'Assumption-Worst'!$A$3:$A$32,$B272,'Assumption-Worst'!$B$3:$B$32,$C272)</f>
        <v>0.22</v>
      </c>
      <c r="J272" s="14">
        <f t="shared" si="30"/>
        <v>26126.995245119997</v>
      </c>
      <c r="K272" s="95">
        <f>SUMIFS('Assumption-Worst'!$F$3:$F$32,'Assumption-Worst'!$A$3:$A$32,$B272,'Assumption-Worst'!$B$3:$B$32,$C272)</f>
        <v>2.0000000000000001E-4</v>
      </c>
      <c r="L272" s="14">
        <f t="shared" si="31"/>
        <v>5278.1808576000003</v>
      </c>
      <c r="M272" s="94">
        <f t="shared" si="32"/>
        <v>87353.89319327999</v>
      </c>
      <c r="N272" s="92">
        <f>SUMIFS('Assumption-Worst'!$G$3:$G$32,'Assumption-Worst'!$A$3:$A$32,$B272,'Assumption-Worst'!$B$3:$B$32,$C272)</f>
        <v>0.45</v>
      </c>
      <c r="O272" s="14">
        <f t="shared" si="33"/>
        <v>53441.581183199996</v>
      </c>
      <c r="P272" s="94">
        <f t="shared" si="34"/>
        <v>33912.312010079993</v>
      </c>
    </row>
    <row r="273" spans="1:16" x14ac:dyDescent="0.35">
      <c r="A273" s="96" t="str">
        <f>LEFT('2025 actual v budget'!A273,4)&amp;"26"</f>
        <v>Oct-26</v>
      </c>
      <c r="B273" s="17" t="str">
        <f>'2025 actual v budget'!B273</f>
        <v>Brazil</v>
      </c>
      <c r="C273" s="17" t="str">
        <f>'2025 actual v budget'!C273</f>
        <v>Cross-border Payouts</v>
      </c>
      <c r="D273" s="19">
        <f>'2025 actual v budget'!D273</f>
        <v>18261351.789999999</v>
      </c>
      <c r="E273" s="97">
        <f>SUMIFS('Assumption-Worst'!$C$3:$C$32,'Assumption-Worst'!$A$3:$A$32,$B273,'Assumption-Worst'!$B$3:$B$32,$C273)</f>
        <v>0.1</v>
      </c>
      <c r="F273" s="19">
        <f t="shared" si="28"/>
        <v>20087486.969000001</v>
      </c>
      <c r="G273" s="98">
        <f>SUMIFS('Assumption-Worst'!$D$3:$D$32,'Assumption-Worst'!$A$3:$A$32,$B273,'Assumption-Worst'!$B$3:$B$32,$C273)</f>
        <v>7.4999999999999997E-3</v>
      </c>
      <c r="H273" s="99">
        <f t="shared" si="29"/>
        <v>150656.1522675</v>
      </c>
      <c r="I273" s="97">
        <f>SUMIFS('Assumption-Worst'!$E$3:$E$32,'Assumption-Worst'!$A$3:$A$32,$B273,'Assumption-Worst'!$B$3:$B$32,$C273)</f>
        <v>0.35</v>
      </c>
      <c r="J273" s="19">
        <f t="shared" si="30"/>
        <v>52729.653293625001</v>
      </c>
      <c r="K273" s="100">
        <f>SUMIFS('Assumption-Worst'!$F$3:$F$32,'Assumption-Worst'!$A$3:$A$32,$B273,'Assumption-Worst'!$B$3:$B$32,$C273)</f>
        <v>6.9999999999999994E-5</v>
      </c>
      <c r="L273" s="19">
        <f t="shared" si="31"/>
        <v>1406.12408783</v>
      </c>
      <c r="M273" s="99">
        <f t="shared" si="32"/>
        <v>96520.374886045</v>
      </c>
      <c r="N273" s="97">
        <f>SUMIFS('Assumption-Worst'!$G$3:$G$32,'Assumption-Worst'!$A$3:$A$32,$B273,'Assumption-Worst'!$B$3:$B$32,$C273)</f>
        <v>0.45</v>
      </c>
      <c r="O273" s="19">
        <f t="shared" si="33"/>
        <v>67795.268520375001</v>
      </c>
      <c r="P273" s="99">
        <f t="shared" si="34"/>
        <v>28725.106365669999</v>
      </c>
    </row>
    <row r="274" spans="1:16" x14ac:dyDescent="0.35">
      <c r="A274" s="96" t="str">
        <f>LEFT('2025 actual v budget'!A274,4)&amp;"26"</f>
        <v>Oct-26</v>
      </c>
      <c r="B274" s="17" t="str">
        <f>'2025 actual v budget'!B274</f>
        <v>Brazil</v>
      </c>
      <c r="C274" s="17" t="str">
        <f>'2025 actual v budget'!C274</f>
        <v>FX Conversion</v>
      </c>
      <c r="D274" s="19">
        <f>'2025 actual v budget'!D274</f>
        <v>28378221.93</v>
      </c>
      <c r="E274" s="97">
        <f>SUMIFS('Assumption-Worst'!$C$3:$C$32,'Assumption-Worst'!$A$3:$A$32,$B274,'Assumption-Worst'!$B$3:$B$32,$C274)</f>
        <v>0.1</v>
      </c>
      <c r="F274" s="19">
        <f t="shared" si="28"/>
        <v>31216044.123000003</v>
      </c>
      <c r="G274" s="98">
        <f>SUMIFS('Assumption-Worst'!$D$3:$D$32,'Assumption-Worst'!$A$3:$A$32,$B274,'Assumption-Worst'!$B$3:$B$32,$C274)</f>
        <v>1.0500000000000001E-2</v>
      </c>
      <c r="H274" s="99">
        <f t="shared" si="29"/>
        <v>327768.46329150005</v>
      </c>
      <c r="I274" s="97">
        <f>SUMIFS('Assumption-Worst'!$E$3:$E$32,'Assumption-Worst'!$A$3:$A$32,$B274,'Assumption-Worst'!$B$3:$B$32,$C274)</f>
        <v>0.28000000000000003</v>
      </c>
      <c r="J274" s="19">
        <f t="shared" si="30"/>
        <v>91775.169721620026</v>
      </c>
      <c r="K274" s="100">
        <f>SUMIFS('Assumption-Worst'!$F$3:$F$32,'Assumption-Worst'!$A$3:$A$32,$B274,'Assumption-Worst'!$B$3:$B$32,$C274)</f>
        <v>6.9999999999999994E-5</v>
      </c>
      <c r="L274" s="19">
        <f t="shared" si="31"/>
        <v>2185.1230886100002</v>
      </c>
      <c r="M274" s="99">
        <f t="shared" si="32"/>
        <v>233808.17048127</v>
      </c>
      <c r="N274" s="97">
        <f>SUMIFS('Assumption-Worst'!$G$3:$G$32,'Assumption-Worst'!$A$3:$A$32,$B274,'Assumption-Worst'!$B$3:$B$32,$C274)</f>
        <v>0.45</v>
      </c>
      <c r="O274" s="19">
        <f t="shared" si="33"/>
        <v>147495.80848117502</v>
      </c>
      <c r="P274" s="99">
        <f t="shared" si="34"/>
        <v>86312.362000094989</v>
      </c>
    </row>
    <row r="275" spans="1:16" x14ac:dyDescent="0.35">
      <c r="A275" s="96" t="str">
        <f>LEFT('2025 actual v budget'!A275,4)&amp;"26"</f>
        <v>Oct-26</v>
      </c>
      <c r="B275" s="17" t="str">
        <f>'2025 actual v budget'!B275</f>
        <v>Brazil</v>
      </c>
      <c r="C275" s="17" t="str">
        <f>'2025 actual v budget'!C275</f>
        <v>Stablecoin Settlement</v>
      </c>
      <c r="D275" s="19">
        <f>'2025 actual v budget'!D275</f>
        <v>43539070.280000001</v>
      </c>
      <c r="E275" s="97">
        <f>SUMIFS('Assumption-Worst'!$C$3:$C$32,'Assumption-Worst'!$A$3:$A$32,$B275,'Assumption-Worst'!$B$3:$B$32,$C275)</f>
        <v>0.2</v>
      </c>
      <c r="F275" s="19">
        <f t="shared" si="28"/>
        <v>52246884.336000003</v>
      </c>
      <c r="G275" s="98">
        <f>SUMIFS('Assumption-Worst'!$D$3:$D$32,'Assumption-Worst'!$A$3:$A$32,$B275,'Assumption-Worst'!$B$3:$B$32,$C275)</f>
        <v>6.4999999999999997E-3</v>
      </c>
      <c r="H275" s="99">
        <f t="shared" si="29"/>
        <v>339604.74818400003</v>
      </c>
      <c r="I275" s="97">
        <f>SUMIFS('Assumption-Worst'!$E$3:$E$32,'Assumption-Worst'!$A$3:$A$32,$B275,'Assumption-Worst'!$B$3:$B$32,$C275)</f>
        <v>0.32</v>
      </c>
      <c r="J275" s="19">
        <f t="shared" si="30"/>
        <v>108673.51941888001</v>
      </c>
      <c r="K275" s="100">
        <f>SUMIFS('Assumption-Worst'!$F$3:$F$32,'Assumption-Worst'!$A$3:$A$32,$B275,'Assumption-Worst'!$B$3:$B$32,$C275)</f>
        <v>6.9999999999999994E-5</v>
      </c>
      <c r="L275" s="19">
        <f t="shared" si="31"/>
        <v>3657.28190352</v>
      </c>
      <c r="M275" s="99">
        <f t="shared" si="32"/>
        <v>227273.94686160004</v>
      </c>
      <c r="N275" s="97">
        <f>SUMIFS('Assumption-Worst'!$G$3:$G$32,'Assumption-Worst'!$A$3:$A$32,$B275,'Assumption-Worst'!$B$3:$B$32,$C275)</f>
        <v>0.45</v>
      </c>
      <c r="O275" s="19">
        <f t="shared" si="33"/>
        <v>152822.13668280002</v>
      </c>
      <c r="P275" s="99">
        <f t="shared" si="34"/>
        <v>74451.81017880002</v>
      </c>
    </row>
    <row r="276" spans="1:16" x14ac:dyDescent="0.35">
      <c r="A276" s="96" t="str">
        <f>LEFT('2025 actual v budget'!A276,4)&amp;"26"</f>
        <v>Oct-26</v>
      </c>
      <c r="B276" s="17" t="str">
        <f>'2025 actual v budget'!B276</f>
        <v>Brazil</v>
      </c>
      <c r="C276" s="17" t="str">
        <f>'2025 actual v budget'!C276</f>
        <v>Treasury Yield</v>
      </c>
      <c r="D276" s="19">
        <f>'2025 actual v budget'!D276</f>
        <v>11626198.689999999</v>
      </c>
      <c r="E276" s="97">
        <f>SUMIFS('Assumption-Worst'!$C$3:$C$32,'Assumption-Worst'!$A$3:$A$32,$B276,'Assumption-Worst'!$B$3:$B$32,$C276)</f>
        <v>0.1</v>
      </c>
      <c r="F276" s="19">
        <f t="shared" si="28"/>
        <v>12788818.559</v>
      </c>
      <c r="G276" s="98">
        <f>SUMIFS('Assumption-Worst'!$D$3:$D$32,'Assumption-Worst'!$A$3:$A$32,$B276,'Assumption-Worst'!$B$3:$B$32,$C276)</f>
        <v>3.0000000000000001E-3</v>
      </c>
      <c r="H276" s="99">
        <f t="shared" si="29"/>
        <v>38366.455677000005</v>
      </c>
      <c r="I276" s="97">
        <f>SUMIFS('Assumption-Worst'!$E$3:$E$32,'Assumption-Worst'!$A$3:$A$32,$B276,'Assumption-Worst'!$B$3:$B$32,$C276)</f>
        <v>0.18</v>
      </c>
      <c r="J276" s="19">
        <f t="shared" si="30"/>
        <v>6905.9620218600003</v>
      </c>
      <c r="K276" s="100">
        <f>SUMIFS('Assumption-Worst'!$F$3:$F$32,'Assumption-Worst'!$A$3:$A$32,$B276,'Assumption-Worst'!$B$3:$B$32,$C276)</f>
        <v>6.9999999999999994E-5</v>
      </c>
      <c r="L276" s="19">
        <f t="shared" si="31"/>
        <v>895.2172991299999</v>
      </c>
      <c r="M276" s="99">
        <f t="shared" si="32"/>
        <v>30565.276356010007</v>
      </c>
      <c r="N276" s="97">
        <f>SUMIFS('Assumption-Worst'!$G$3:$G$32,'Assumption-Worst'!$A$3:$A$32,$B276,'Assumption-Worst'!$B$3:$B$32,$C276)</f>
        <v>0.45</v>
      </c>
      <c r="O276" s="19">
        <f t="shared" si="33"/>
        <v>17264.905054650004</v>
      </c>
      <c r="P276" s="99">
        <f t="shared" si="34"/>
        <v>13300.371301360003</v>
      </c>
    </row>
    <row r="277" spans="1:16" x14ac:dyDescent="0.35">
      <c r="A277" s="96" t="str">
        <f>LEFT('2025 actual v budget'!A277,4)&amp;"26"</f>
        <v>Oct-26</v>
      </c>
      <c r="B277" s="17" t="str">
        <f>'2025 actual v budget'!B277</f>
        <v>Brazil</v>
      </c>
      <c r="C277" s="17" t="str">
        <f>'2025 actual v budget'!C277</f>
        <v>Virtual Accounts</v>
      </c>
      <c r="D277" s="19">
        <f>'2025 actual v budget'!D277</f>
        <v>17692571.920000002</v>
      </c>
      <c r="E277" s="97">
        <f>SUMIFS('Assumption-Worst'!$C$3:$C$32,'Assumption-Worst'!$A$3:$A$32,$B277,'Assumption-Worst'!$B$3:$B$32,$C277)</f>
        <v>0.1</v>
      </c>
      <c r="F277" s="19">
        <f t="shared" si="28"/>
        <v>19461829.112000003</v>
      </c>
      <c r="G277" s="98">
        <f>SUMIFS('Assumption-Worst'!$D$3:$D$32,'Assumption-Worst'!$A$3:$A$32,$B277,'Assumption-Worst'!$B$3:$B$32,$C277)</f>
        <v>4.4999999999999997E-3</v>
      </c>
      <c r="H277" s="99">
        <f t="shared" si="29"/>
        <v>87578.231004000016</v>
      </c>
      <c r="I277" s="97">
        <f>SUMIFS('Assumption-Worst'!$E$3:$E$32,'Assumption-Worst'!$A$3:$A$32,$B277,'Assumption-Worst'!$B$3:$B$32,$C277)</f>
        <v>0.22</v>
      </c>
      <c r="J277" s="19">
        <f t="shared" si="30"/>
        <v>19267.210820880002</v>
      </c>
      <c r="K277" s="100">
        <f>SUMIFS('Assumption-Worst'!$F$3:$F$32,'Assumption-Worst'!$A$3:$A$32,$B277,'Assumption-Worst'!$B$3:$B$32,$C277)</f>
        <v>6.9999999999999994E-5</v>
      </c>
      <c r="L277" s="19">
        <f t="shared" si="31"/>
        <v>1362.3280378400002</v>
      </c>
      <c r="M277" s="99">
        <f t="shared" si="32"/>
        <v>66948.692145280016</v>
      </c>
      <c r="N277" s="97">
        <f>SUMIFS('Assumption-Worst'!$G$3:$G$32,'Assumption-Worst'!$A$3:$A$32,$B277,'Assumption-Worst'!$B$3:$B$32,$C277)</f>
        <v>0.45</v>
      </c>
      <c r="O277" s="19">
        <f t="shared" si="33"/>
        <v>39410.203951800009</v>
      </c>
      <c r="P277" s="99">
        <f t="shared" si="34"/>
        <v>27538.488193480007</v>
      </c>
    </row>
    <row r="278" spans="1:16" x14ac:dyDescent="0.35">
      <c r="A278" s="96" t="str">
        <f>LEFT('2025 actual v budget'!A278,4)&amp;"26"</f>
        <v>Oct-26</v>
      </c>
      <c r="B278" s="17" t="str">
        <f>'2025 actual v budget'!B278</f>
        <v>Germany</v>
      </c>
      <c r="C278" s="17" t="str">
        <f>'2025 actual v budget'!C278</f>
        <v>Cross-border Payouts</v>
      </c>
      <c r="D278" s="19">
        <f>'2025 actual v budget'!D278</f>
        <v>8358312.8700000001</v>
      </c>
      <c r="E278" s="97">
        <f>SUMIFS('Assumption-Worst'!$C$3:$C$32,'Assumption-Worst'!$A$3:$A$32,$B278,'Assumption-Worst'!$B$3:$B$32,$C278)</f>
        <v>0.03</v>
      </c>
      <c r="F278" s="19">
        <f t="shared" si="28"/>
        <v>8609062.2561000008</v>
      </c>
      <c r="G278" s="98">
        <f>SUMIFS('Assumption-Worst'!$D$3:$D$32,'Assumption-Worst'!$A$3:$A$32,$B278,'Assumption-Worst'!$B$3:$B$32,$C278)</f>
        <v>7.4999999999999997E-3</v>
      </c>
      <c r="H278" s="99">
        <f t="shared" si="29"/>
        <v>64567.966920750005</v>
      </c>
      <c r="I278" s="97">
        <f>SUMIFS('Assumption-Worst'!$E$3:$E$32,'Assumption-Worst'!$A$3:$A$32,$B278,'Assumption-Worst'!$B$3:$B$32,$C278)</f>
        <v>0.35</v>
      </c>
      <c r="J278" s="19">
        <f t="shared" si="30"/>
        <v>22598.7884222625</v>
      </c>
      <c r="K278" s="100">
        <f>SUMIFS('Assumption-Worst'!$F$3:$F$32,'Assumption-Worst'!$A$3:$A$32,$B278,'Assumption-Worst'!$B$3:$B$32,$C278)</f>
        <v>1.4999999999999999E-4</v>
      </c>
      <c r="L278" s="19">
        <f t="shared" si="31"/>
        <v>1291.3593384149999</v>
      </c>
      <c r="M278" s="99">
        <f t="shared" si="32"/>
        <v>40677.819160072504</v>
      </c>
      <c r="N278" s="97">
        <f>SUMIFS('Assumption-Worst'!$G$3:$G$32,'Assumption-Worst'!$A$3:$A$32,$B278,'Assumption-Worst'!$B$3:$B$32,$C278)</f>
        <v>0.45</v>
      </c>
      <c r="O278" s="19">
        <f t="shared" si="33"/>
        <v>29055.585114337504</v>
      </c>
      <c r="P278" s="99">
        <f t="shared" si="34"/>
        <v>11622.234045735</v>
      </c>
    </row>
    <row r="279" spans="1:16" x14ac:dyDescent="0.35">
      <c r="A279" s="96" t="str">
        <f>LEFT('2025 actual v budget'!A279,4)&amp;"26"</f>
        <v>Oct-26</v>
      </c>
      <c r="B279" s="17" t="str">
        <f>'2025 actual v budget'!B279</f>
        <v>Germany</v>
      </c>
      <c r="C279" s="17" t="str">
        <f>'2025 actual v budget'!C279</f>
        <v>FX Conversion</v>
      </c>
      <c r="D279" s="19">
        <f>'2025 actual v budget'!D279</f>
        <v>12978305.82</v>
      </c>
      <c r="E279" s="97">
        <f>SUMIFS('Assumption-Worst'!$C$3:$C$32,'Assumption-Worst'!$A$3:$A$32,$B279,'Assumption-Worst'!$B$3:$B$32,$C279)</f>
        <v>0.03</v>
      </c>
      <c r="F279" s="19">
        <f t="shared" si="28"/>
        <v>13367654.9946</v>
      </c>
      <c r="G279" s="98">
        <f>SUMIFS('Assumption-Worst'!$D$3:$D$32,'Assumption-Worst'!$A$3:$A$32,$B279,'Assumption-Worst'!$B$3:$B$32,$C279)</f>
        <v>1.0500000000000001E-2</v>
      </c>
      <c r="H279" s="99">
        <f t="shared" si="29"/>
        <v>140360.37744330001</v>
      </c>
      <c r="I279" s="97">
        <f>SUMIFS('Assumption-Worst'!$E$3:$E$32,'Assumption-Worst'!$A$3:$A$32,$B279,'Assumption-Worst'!$B$3:$B$32,$C279)</f>
        <v>0.28000000000000003</v>
      </c>
      <c r="J279" s="19">
        <f t="shared" si="30"/>
        <v>39300.905684124009</v>
      </c>
      <c r="K279" s="100">
        <f>SUMIFS('Assumption-Worst'!$F$3:$F$32,'Assumption-Worst'!$A$3:$A$32,$B279,'Assumption-Worst'!$B$3:$B$32,$C279)</f>
        <v>1.4999999999999999E-4</v>
      </c>
      <c r="L279" s="19">
        <f t="shared" si="31"/>
        <v>2005.1482491899999</v>
      </c>
      <c r="M279" s="99">
        <f t="shared" si="32"/>
        <v>99054.323509986003</v>
      </c>
      <c r="N279" s="97">
        <f>SUMIFS('Assumption-Worst'!$G$3:$G$32,'Assumption-Worst'!$A$3:$A$32,$B279,'Assumption-Worst'!$B$3:$B$32,$C279)</f>
        <v>0.45</v>
      </c>
      <c r="O279" s="19">
        <f t="shared" si="33"/>
        <v>63162.169849485006</v>
      </c>
      <c r="P279" s="99">
        <f t="shared" si="34"/>
        <v>35892.153660500997</v>
      </c>
    </row>
    <row r="280" spans="1:16" x14ac:dyDescent="0.35">
      <c r="A280" s="96" t="str">
        <f>LEFT('2025 actual v budget'!A280,4)&amp;"26"</f>
        <v>Oct-26</v>
      </c>
      <c r="B280" s="17" t="str">
        <f>'2025 actual v budget'!B280</f>
        <v>Germany</v>
      </c>
      <c r="C280" s="17" t="str">
        <f>'2025 actual v budget'!C280</f>
        <v>Stablecoin Settlement</v>
      </c>
      <c r="D280" s="19">
        <f>'2025 actual v budget'!D280</f>
        <v>19928052.18</v>
      </c>
      <c r="E280" s="97">
        <f>SUMIFS('Assumption-Worst'!$C$3:$C$32,'Assumption-Worst'!$A$3:$A$32,$B280,'Assumption-Worst'!$B$3:$B$32,$C280)</f>
        <v>0.06</v>
      </c>
      <c r="F280" s="19">
        <f t="shared" si="28"/>
        <v>21123735.310800001</v>
      </c>
      <c r="G280" s="98">
        <f>SUMIFS('Assumption-Worst'!$D$3:$D$32,'Assumption-Worst'!$A$3:$A$32,$B280,'Assumption-Worst'!$B$3:$B$32,$C280)</f>
        <v>6.4999999999999997E-3</v>
      </c>
      <c r="H280" s="99">
        <f t="shared" si="29"/>
        <v>137304.27952020001</v>
      </c>
      <c r="I280" s="97">
        <f>SUMIFS('Assumption-Worst'!$E$3:$E$32,'Assumption-Worst'!$A$3:$A$32,$B280,'Assumption-Worst'!$B$3:$B$32,$C280)</f>
        <v>0.32</v>
      </c>
      <c r="J280" s="19">
        <f t="shared" si="30"/>
        <v>43937.369446464007</v>
      </c>
      <c r="K280" s="100">
        <f>SUMIFS('Assumption-Worst'!$F$3:$F$32,'Assumption-Worst'!$A$3:$A$32,$B280,'Assumption-Worst'!$B$3:$B$32,$C280)</f>
        <v>1.4999999999999999E-4</v>
      </c>
      <c r="L280" s="19">
        <f t="shared" si="31"/>
        <v>3168.5602966199999</v>
      </c>
      <c r="M280" s="99">
        <f t="shared" si="32"/>
        <v>90198.349777116018</v>
      </c>
      <c r="N280" s="97">
        <f>SUMIFS('Assumption-Worst'!$G$3:$G$32,'Assumption-Worst'!$A$3:$A$32,$B280,'Assumption-Worst'!$B$3:$B$32,$C280)</f>
        <v>0.45</v>
      </c>
      <c r="O280" s="19">
        <f t="shared" si="33"/>
        <v>61786.92578409001</v>
      </c>
      <c r="P280" s="99">
        <f t="shared" si="34"/>
        <v>28411.423993026008</v>
      </c>
    </row>
    <row r="281" spans="1:16" x14ac:dyDescent="0.35">
      <c r="A281" s="96" t="str">
        <f>LEFT('2025 actual v budget'!A281,4)&amp;"26"</f>
        <v>Oct-26</v>
      </c>
      <c r="B281" s="17" t="str">
        <f>'2025 actual v budget'!B281</f>
        <v>Germany</v>
      </c>
      <c r="C281" s="17" t="str">
        <f>'2025 actual v budget'!C281</f>
        <v>Treasury Yield</v>
      </c>
      <c r="D281" s="19">
        <f>'2025 actual v budget'!D281</f>
        <v>5317047.79</v>
      </c>
      <c r="E281" s="97">
        <f>SUMIFS('Assumption-Worst'!$C$3:$C$32,'Assumption-Worst'!$A$3:$A$32,$B281,'Assumption-Worst'!$B$3:$B$32,$C281)</f>
        <v>0.03</v>
      </c>
      <c r="F281" s="19">
        <f t="shared" si="28"/>
        <v>5476559.2237</v>
      </c>
      <c r="G281" s="98">
        <f>SUMIFS('Assumption-Worst'!$D$3:$D$32,'Assumption-Worst'!$A$3:$A$32,$B281,'Assumption-Worst'!$B$3:$B$32,$C281)</f>
        <v>3.0000000000000001E-3</v>
      </c>
      <c r="H281" s="99">
        <f t="shared" si="29"/>
        <v>16429.677671100002</v>
      </c>
      <c r="I281" s="97">
        <f>SUMIFS('Assumption-Worst'!$E$3:$E$32,'Assumption-Worst'!$A$3:$A$32,$B281,'Assumption-Worst'!$B$3:$B$32,$C281)</f>
        <v>0.18</v>
      </c>
      <c r="J281" s="19">
        <f t="shared" si="30"/>
        <v>2957.3419807980003</v>
      </c>
      <c r="K281" s="100">
        <f>SUMIFS('Assumption-Worst'!$F$3:$F$32,'Assumption-Worst'!$A$3:$A$32,$B281,'Assumption-Worst'!$B$3:$B$32,$C281)</f>
        <v>1.4999999999999999E-4</v>
      </c>
      <c r="L281" s="19">
        <f t="shared" si="31"/>
        <v>821.48388355499992</v>
      </c>
      <c r="M281" s="99">
        <f t="shared" si="32"/>
        <v>12650.851806747001</v>
      </c>
      <c r="N281" s="97">
        <f>SUMIFS('Assumption-Worst'!$G$3:$G$32,'Assumption-Worst'!$A$3:$A$32,$B281,'Assumption-Worst'!$B$3:$B$32,$C281)</f>
        <v>0.45</v>
      </c>
      <c r="O281" s="19">
        <f t="shared" si="33"/>
        <v>7393.3549519950011</v>
      </c>
      <c r="P281" s="99">
        <f t="shared" si="34"/>
        <v>5257.4968547520002</v>
      </c>
    </row>
    <row r="282" spans="1:16" x14ac:dyDescent="0.35">
      <c r="A282" s="96" t="str">
        <f>LEFT('2025 actual v budget'!A282,4)&amp;"26"</f>
        <v>Oct-26</v>
      </c>
      <c r="B282" s="17" t="str">
        <f>'2025 actual v budget'!B282</f>
        <v>Germany</v>
      </c>
      <c r="C282" s="17" t="str">
        <f>'2025 actual v budget'!C282</f>
        <v>Virtual Accounts</v>
      </c>
      <c r="D282" s="19">
        <f>'2025 actual v budget'!D282</f>
        <v>8091402.2599999998</v>
      </c>
      <c r="E282" s="97">
        <f>SUMIFS('Assumption-Worst'!$C$3:$C$32,'Assumption-Worst'!$A$3:$A$32,$B282,'Assumption-Worst'!$B$3:$B$32,$C282)</f>
        <v>0.03</v>
      </c>
      <c r="F282" s="19">
        <f t="shared" si="28"/>
        <v>8334144.3278000001</v>
      </c>
      <c r="G282" s="98">
        <f>SUMIFS('Assumption-Worst'!$D$3:$D$32,'Assumption-Worst'!$A$3:$A$32,$B282,'Assumption-Worst'!$B$3:$B$32,$C282)</f>
        <v>4.4999999999999997E-3</v>
      </c>
      <c r="H282" s="99">
        <f t="shared" si="29"/>
        <v>37503.649475099999</v>
      </c>
      <c r="I282" s="97">
        <f>SUMIFS('Assumption-Worst'!$E$3:$E$32,'Assumption-Worst'!$A$3:$A$32,$B282,'Assumption-Worst'!$B$3:$B$32,$C282)</f>
        <v>0.22</v>
      </c>
      <c r="J282" s="19">
        <f t="shared" si="30"/>
        <v>8250.8028845219997</v>
      </c>
      <c r="K282" s="100">
        <f>SUMIFS('Assumption-Worst'!$F$3:$F$32,'Assumption-Worst'!$A$3:$A$32,$B282,'Assumption-Worst'!$B$3:$B$32,$C282)</f>
        <v>1.4999999999999999E-4</v>
      </c>
      <c r="L282" s="19">
        <f t="shared" si="31"/>
        <v>1250.12164917</v>
      </c>
      <c r="M282" s="99">
        <f t="shared" si="32"/>
        <v>28002.724941408</v>
      </c>
      <c r="N282" s="97">
        <f>SUMIFS('Assumption-Worst'!$G$3:$G$32,'Assumption-Worst'!$A$3:$A$32,$B282,'Assumption-Worst'!$B$3:$B$32,$C282)</f>
        <v>0.45</v>
      </c>
      <c r="O282" s="19">
        <f t="shared" si="33"/>
        <v>16876.642263795002</v>
      </c>
      <c r="P282" s="99">
        <f t="shared" si="34"/>
        <v>11126.082677612998</v>
      </c>
    </row>
    <row r="283" spans="1:16" x14ac:dyDescent="0.35">
      <c r="A283" s="96" t="str">
        <f>LEFT('2025 actual v budget'!A283,4)&amp;"26"</f>
        <v>Oct-26</v>
      </c>
      <c r="B283" s="17" t="str">
        <f>'2025 actual v budget'!B283</f>
        <v>India</v>
      </c>
      <c r="C283" s="17" t="str">
        <f>'2025 actual v budget'!C283</f>
        <v>Cross-border Payouts</v>
      </c>
      <c r="D283" s="19">
        <f>'2025 actual v budget'!D283</f>
        <v>12769594.460000001</v>
      </c>
      <c r="E283" s="97">
        <f>SUMIFS('Assumption-Worst'!$C$3:$C$32,'Assumption-Worst'!$A$3:$A$32,$B283,'Assumption-Worst'!$B$3:$B$32,$C283)</f>
        <v>0.06</v>
      </c>
      <c r="F283" s="19">
        <f t="shared" si="28"/>
        <v>13535770.127600001</v>
      </c>
      <c r="G283" s="98">
        <f>SUMIFS('Assumption-Worst'!$D$3:$D$32,'Assumption-Worst'!$A$3:$A$32,$B283,'Assumption-Worst'!$B$3:$B$32,$C283)</f>
        <v>7.4999999999999997E-3</v>
      </c>
      <c r="H283" s="99">
        <f t="shared" si="29"/>
        <v>101518.27595700001</v>
      </c>
      <c r="I283" s="97">
        <f>SUMIFS('Assumption-Worst'!$E$3:$E$32,'Assumption-Worst'!$A$3:$A$32,$B283,'Assumption-Worst'!$B$3:$B$32,$C283)</f>
        <v>0.35</v>
      </c>
      <c r="J283" s="19">
        <f t="shared" si="30"/>
        <v>35531.396584950002</v>
      </c>
      <c r="K283" s="100">
        <f>SUMIFS('Assumption-Worst'!$F$3:$F$32,'Assumption-Worst'!$A$3:$A$32,$B283,'Assumption-Worst'!$B$3:$B$32,$C283)</f>
        <v>1.8000000000000001E-4</v>
      </c>
      <c r="L283" s="19">
        <f t="shared" si="31"/>
        <v>2436.4386229680003</v>
      </c>
      <c r="M283" s="99">
        <f t="shared" si="32"/>
        <v>63550.440749081994</v>
      </c>
      <c r="N283" s="97">
        <f>SUMIFS('Assumption-Worst'!$G$3:$G$32,'Assumption-Worst'!$A$3:$A$32,$B283,'Assumption-Worst'!$B$3:$B$32,$C283)</f>
        <v>0.45</v>
      </c>
      <c r="O283" s="19">
        <f t="shared" si="33"/>
        <v>45683.224180650002</v>
      </c>
      <c r="P283" s="99">
        <f t="shared" si="34"/>
        <v>17867.216568431992</v>
      </c>
    </row>
    <row r="284" spans="1:16" x14ac:dyDescent="0.35">
      <c r="A284" s="96" t="str">
        <f>LEFT('2025 actual v budget'!A284,4)&amp;"26"</f>
        <v>Oct-26</v>
      </c>
      <c r="B284" s="17" t="str">
        <f>'2025 actual v budget'!B284</f>
        <v>India</v>
      </c>
      <c r="C284" s="17" t="str">
        <f>'2025 actual v budget'!C284</f>
        <v>FX Conversion</v>
      </c>
      <c r="D284" s="19">
        <f>'2025 actual v budget'!D284</f>
        <v>19851844.579999998</v>
      </c>
      <c r="E284" s="97">
        <f>SUMIFS('Assumption-Worst'!$C$3:$C$32,'Assumption-Worst'!$A$3:$A$32,$B284,'Assumption-Worst'!$B$3:$B$32,$C284)</f>
        <v>0.06</v>
      </c>
      <c r="F284" s="19">
        <f t="shared" si="28"/>
        <v>21042955.254799999</v>
      </c>
      <c r="G284" s="98">
        <f>SUMIFS('Assumption-Worst'!$D$3:$D$32,'Assumption-Worst'!$A$3:$A$32,$B284,'Assumption-Worst'!$B$3:$B$32,$C284)</f>
        <v>1.0500000000000001E-2</v>
      </c>
      <c r="H284" s="99">
        <f t="shared" si="29"/>
        <v>220951.0301754</v>
      </c>
      <c r="I284" s="97">
        <f>SUMIFS('Assumption-Worst'!$E$3:$E$32,'Assumption-Worst'!$A$3:$A$32,$B284,'Assumption-Worst'!$B$3:$B$32,$C284)</f>
        <v>0.28000000000000003</v>
      </c>
      <c r="J284" s="19">
        <f t="shared" si="30"/>
        <v>61866.288449112006</v>
      </c>
      <c r="K284" s="100">
        <f>SUMIFS('Assumption-Worst'!$F$3:$F$32,'Assumption-Worst'!$A$3:$A$32,$B284,'Assumption-Worst'!$B$3:$B$32,$C284)</f>
        <v>1.8000000000000001E-4</v>
      </c>
      <c r="L284" s="19">
        <f t="shared" si="31"/>
        <v>3787.731945864</v>
      </c>
      <c r="M284" s="99">
        <f t="shared" si="32"/>
        <v>155297.00978042398</v>
      </c>
      <c r="N284" s="97">
        <f>SUMIFS('Assumption-Worst'!$G$3:$G$32,'Assumption-Worst'!$A$3:$A$32,$B284,'Assumption-Worst'!$B$3:$B$32,$C284)</f>
        <v>0.45</v>
      </c>
      <c r="O284" s="19">
        <f t="shared" si="33"/>
        <v>99427.963578929994</v>
      </c>
      <c r="P284" s="99">
        <f t="shared" si="34"/>
        <v>55869.046201493984</v>
      </c>
    </row>
    <row r="285" spans="1:16" x14ac:dyDescent="0.35">
      <c r="A285" s="96" t="str">
        <f>LEFT('2025 actual v budget'!A285,4)&amp;"26"</f>
        <v>Oct-26</v>
      </c>
      <c r="B285" s="17" t="str">
        <f>'2025 actual v budget'!B285</f>
        <v>India</v>
      </c>
      <c r="C285" s="17" t="str">
        <f>'2025 actual v budget'!C285</f>
        <v>Stablecoin Settlement</v>
      </c>
      <c r="D285" s="19">
        <f>'2025 actual v budget'!D285</f>
        <v>30445515.59</v>
      </c>
      <c r="E285" s="97">
        <f>SUMIFS('Assumption-Worst'!$C$3:$C$32,'Assumption-Worst'!$A$3:$A$32,$B285,'Assumption-Worst'!$B$3:$B$32,$C285)</f>
        <v>0.12</v>
      </c>
      <c r="F285" s="19">
        <f t="shared" si="28"/>
        <v>34098977.4608</v>
      </c>
      <c r="G285" s="98">
        <f>SUMIFS('Assumption-Worst'!$D$3:$D$32,'Assumption-Worst'!$A$3:$A$32,$B285,'Assumption-Worst'!$B$3:$B$32,$C285)</f>
        <v>6.4999999999999997E-3</v>
      </c>
      <c r="H285" s="99">
        <f t="shared" si="29"/>
        <v>221643.35349519999</v>
      </c>
      <c r="I285" s="97">
        <f>SUMIFS('Assumption-Worst'!$E$3:$E$32,'Assumption-Worst'!$A$3:$A$32,$B285,'Assumption-Worst'!$B$3:$B$32,$C285)</f>
        <v>0.32</v>
      </c>
      <c r="J285" s="19">
        <f t="shared" si="30"/>
        <v>70925.873118464006</v>
      </c>
      <c r="K285" s="100">
        <f>SUMIFS('Assumption-Worst'!$F$3:$F$32,'Assumption-Worst'!$A$3:$A$32,$B285,'Assumption-Worst'!$B$3:$B$32,$C285)</f>
        <v>1.8000000000000001E-4</v>
      </c>
      <c r="L285" s="19">
        <f t="shared" si="31"/>
        <v>6137.8159429440002</v>
      </c>
      <c r="M285" s="99">
        <f t="shared" si="32"/>
        <v>144579.66443379197</v>
      </c>
      <c r="N285" s="97">
        <f>SUMIFS('Assumption-Worst'!$G$3:$G$32,'Assumption-Worst'!$A$3:$A$32,$B285,'Assumption-Worst'!$B$3:$B$32,$C285)</f>
        <v>0.45</v>
      </c>
      <c r="O285" s="19">
        <f t="shared" si="33"/>
        <v>99739.509072839995</v>
      </c>
      <c r="P285" s="99">
        <f t="shared" si="34"/>
        <v>44840.155360951976</v>
      </c>
    </row>
    <row r="286" spans="1:16" x14ac:dyDescent="0.35">
      <c r="A286" s="96" t="str">
        <f>LEFT('2025 actual v budget'!A286,4)&amp;"26"</f>
        <v>Oct-26</v>
      </c>
      <c r="B286" s="17" t="str">
        <f>'2025 actual v budget'!B286</f>
        <v>India</v>
      </c>
      <c r="C286" s="17" t="str">
        <f>'2025 actual v budget'!C286</f>
        <v>Treasury Yield</v>
      </c>
      <c r="D286" s="19">
        <f>'2025 actual v budget'!D286</f>
        <v>8133049.7000000002</v>
      </c>
      <c r="E286" s="97">
        <f>SUMIFS('Assumption-Worst'!$C$3:$C$32,'Assumption-Worst'!$A$3:$A$32,$B286,'Assumption-Worst'!$B$3:$B$32,$C286)</f>
        <v>0.06</v>
      </c>
      <c r="F286" s="19">
        <f t="shared" si="28"/>
        <v>8621032.682</v>
      </c>
      <c r="G286" s="98">
        <f>SUMIFS('Assumption-Worst'!$D$3:$D$32,'Assumption-Worst'!$A$3:$A$32,$B286,'Assumption-Worst'!$B$3:$B$32,$C286)</f>
        <v>3.0000000000000001E-3</v>
      </c>
      <c r="H286" s="99">
        <f t="shared" si="29"/>
        <v>25863.098045999999</v>
      </c>
      <c r="I286" s="97">
        <f>SUMIFS('Assumption-Worst'!$E$3:$E$32,'Assumption-Worst'!$A$3:$A$32,$B286,'Assumption-Worst'!$B$3:$B$32,$C286)</f>
        <v>0.18</v>
      </c>
      <c r="J286" s="19">
        <f t="shared" si="30"/>
        <v>4655.3576482799999</v>
      </c>
      <c r="K286" s="100">
        <f>SUMIFS('Assumption-Worst'!$F$3:$F$32,'Assumption-Worst'!$A$3:$A$32,$B286,'Assumption-Worst'!$B$3:$B$32,$C286)</f>
        <v>1.8000000000000001E-4</v>
      </c>
      <c r="L286" s="19">
        <f t="shared" si="31"/>
        <v>1551.78588276</v>
      </c>
      <c r="M286" s="99">
        <f t="shared" si="32"/>
        <v>19655.954514960002</v>
      </c>
      <c r="N286" s="97">
        <f>SUMIFS('Assumption-Worst'!$G$3:$G$32,'Assumption-Worst'!$A$3:$A$32,$B286,'Assumption-Worst'!$B$3:$B$32,$C286)</f>
        <v>0.45</v>
      </c>
      <c r="O286" s="19">
        <f t="shared" si="33"/>
        <v>11638.394120700001</v>
      </c>
      <c r="P286" s="99">
        <f t="shared" si="34"/>
        <v>8017.560394260001</v>
      </c>
    </row>
    <row r="287" spans="1:16" x14ac:dyDescent="0.35">
      <c r="A287" s="96" t="str">
        <f>LEFT('2025 actual v budget'!A287,4)&amp;"26"</f>
        <v>Oct-26</v>
      </c>
      <c r="B287" s="17" t="str">
        <f>'2025 actual v budget'!B287</f>
        <v>India</v>
      </c>
      <c r="C287" s="17" t="str">
        <f>'2025 actual v budget'!C287</f>
        <v>Virtual Accounts</v>
      </c>
      <c r="D287" s="19">
        <f>'2025 actual v budget'!D287</f>
        <v>12376751.039999999</v>
      </c>
      <c r="E287" s="97">
        <f>SUMIFS('Assumption-Worst'!$C$3:$C$32,'Assumption-Worst'!$A$3:$A$32,$B287,'Assumption-Worst'!$B$3:$B$32,$C287)</f>
        <v>0.06</v>
      </c>
      <c r="F287" s="19">
        <f t="shared" si="28"/>
        <v>13119356.102399999</v>
      </c>
      <c r="G287" s="98">
        <f>SUMIFS('Assumption-Worst'!$D$3:$D$32,'Assumption-Worst'!$A$3:$A$32,$B287,'Assumption-Worst'!$B$3:$B$32,$C287)</f>
        <v>4.4999999999999997E-3</v>
      </c>
      <c r="H287" s="99">
        <f t="shared" si="29"/>
        <v>59037.102460799993</v>
      </c>
      <c r="I287" s="97">
        <f>SUMIFS('Assumption-Worst'!$E$3:$E$32,'Assumption-Worst'!$A$3:$A$32,$B287,'Assumption-Worst'!$B$3:$B$32,$C287)</f>
        <v>0.22</v>
      </c>
      <c r="J287" s="19">
        <f t="shared" si="30"/>
        <v>12988.162541375999</v>
      </c>
      <c r="K287" s="100">
        <f>SUMIFS('Assumption-Worst'!$F$3:$F$32,'Assumption-Worst'!$A$3:$A$32,$B287,'Assumption-Worst'!$B$3:$B$32,$C287)</f>
        <v>1.8000000000000001E-4</v>
      </c>
      <c r="L287" s="19">
        <f t="shared" si="31"/>
        <v>2361.4840984319999</v>
      </c>
      <c r="M287" s="99">
        <f t="shared" si="32"/>
        <v>43687.455820991992</v>
      </c>
      <c r="N287" s="97">
        <f>SUMIFS('Assumption-Worst'!$G$3:$G$32,'Assumption-Worst'!$A$3:$A$32,$B287,'Assumption-Worst'!$B$3:$B$32,$C287)</f>
        <v>0.45</v>
      </c>
      <c r="O287" s="19">
        <f t="shared" si="33"/>
        <v>26566.696107359996</v>
      </c>
      <c r="P287" s="99">
        <f t="shared" si="34"/>
        <v>17120.759713631996</v>
      </c>
    </row>
    <row r="288" spans="1:16" x14ac:dyDescent="0.35">
      <c r="A288" s="96" t="str">
        <f>LEFT('2025 actual v budget'!A288,4)&amp;"26"</f>
        <v>Oct-26</v>
      </c>
      <c r="B288" s="17" t="str">
        <f>'2025 actual v budget'!B288</f>
        <v>Mexico</v>
      </c>
      <c r="C288" s="17" t="str">
        <f>'2025 actual v budget'!C288</f>
        <v>Cross-border Payouts</v>
      </c>
      <c r="D288" s="19">
        <f>'2025 actual v budget'!D288</f>
        <v>14965977.970000001</v>
      </c>
      <c r="E288" s="97">
        <f>SUMIFS('Assumption-Worst'!$C$3:$C$32,'Assumption-Worst'!$A$3:$A$32,$B288,'Assumption-Worst'!$B$3:$B$32,$C288)</f>
        <v>7.4999999999999997E-2</v>
      </c>
      <c r="F288" s="19">
        <f t="shared" si="28"/>
        <v>16088426.317749999</v>
      </c>
      <c r="G288" s="98">
        <f>SUMIFS('Assumption-Worst'!$D$3:$D$32,'Assumption-Worst'!$A$3:$A$32,$B288,'Assumption-Worst'!$B$3:$B$32,$C288)</f>
        <v>7.4999999999999997E-3</v>
      </c>
      <c r="H288" s="99">
        <f t="shared" si="29"/>
        <v>120663.19738312499</v>
      </c>
      <c r="I288" s="97">
        <f>SUMIFS('Assumption-Worst'!$E$3:$E$32,'Assumption-Worst'!$A$3:$A$32,$B288,'Assumption-Worst'!$B$3:$B$32,$C288)</f>
        <v>0.35</v>
      </c>
      <c r="J288" s="19">
        <f t="shared" si="30"/>
        <v>42232.119084093742</v>
      </c>
      <c r="K288" s="100">
        <f>SUMIFS('Assumption-Worst'!$F$3:$F$32,'Assumption-Worst'!$A$3:$A$32,$B288,'Assumption-Worst'!$B$3:$B$32,$C288)</f>
        <v>8.0000000000000007E-5</v>
      </c>
      <c r="L288" s="19">
        <f t="shared" si="31"/>
        <v>1287.07410542</v>
      </c>
      <c r="M288" s="99">
        <f t="shared" si="32"/>
        <v>77144.004193611239</v>
      </c>
      <c r="N288" s="97">
        <f>SUMIFS('Assumption-Worst'!$G$3:$G$32,'Assumption-Worst'!$A$3:$A$32,$B288,'Assumption-Worst'!$B$3:$B$32,$C288)</f>
        <v>0.45</v>
      </c>
      <c r="O288" s="19">
        <f t="shared" si="33"/>
        <v>54298.43882240625</v>
      </c>
      <c r="P288" s="99">
        <f t="shared" si="34"/>
        <v>22845.56537120499</v>
      </c>
    </row>
    <row r="289" spans="1:16" x14ac:dyDescent="0.35">
      <c r="A289" s="96" t="str">
        <f>LEFT('2025 actual v budget'!A289,4)&amp;"26"</f>
        <v>Oct-26</v>
      </c>
      <c r="B289" s="17" t="str">
        <f>'2025 actual v budget'!B289</f>
        <v>Mexico</v>
      </c>
      <c r="C289" s="17" t="str">
        <f>'2025 actual v budget'!C289</f>
        <v>FX Conversion</v>
      </c>
      <c r="D289" s="19">
        <f>'2025 actual v budget'!D289</f>
        <v>23261810.469999999</v>
      </c>
      <c r="E289" s="97">
        <f>SUMIFS('Assumption-Worst'!$C$3:$C$32,'Assumption-Worst'!$A$3:$A$32,$B289,'Assumption-Worst'!$B$3:$B$32,$C289)</f>
        <v>7.4999999999999997E-2</v>
      </c>
      <c r="F289" s="19">
        <f t="shared" si="28"/>
        <v>25006446.255249999</v>
      </c>
      <c r="G289" s="98">
        <f>SUMIFS('Assumption-Worst'!$D$3:$D$32,'Assumption-Worst'!$A$3:$A$32,$B289,'Assumption-Worst'!$B$3:$B$32,$C289)</f>
        <v>1.0500000000000001E-2</v>
      </c>
      <c r="H289" s="99">
        <f t="shared" si="29"/>
        <v>262567.68568012503</v>
      </c>
      <c r="I289" s="97">
        <f>SUMIFS('Assumption-Worst'!$E$3:$E$32,'Assumption-Worst'!$A$3:$A$32,$B289,'Assumption-Worst'!$B$3:$B$32,$C289)</f>
        <v>0.28000000000000003</v>
      </c>
      <c r="J289" s="19">
        <f t="shared" si="30"/>
        <v>73518.951990435016</v>
      </c>
      <c r="K289" s="100">
        <f>SUMIFS('Assumption-Worst'!$F$3:$F$32,'Assumption-Worst'!$A$3:$A$32,$B289,'Assumption-Worst'!$B$3:$B$32,$C289)</f>
        <v>8.0000000000000007E-5</v>
      </c>
      <c r="L289" s="19">
        <f t="shared" si="31"/>
        <v>2000.51570042</v>
      </c>
      <c r="M289" s="99">
        <f t="shared" si="32"/>
        <v>187048.21798927002</v>
      </c>
      <c r="N289" s="97">
        <f>SUMIFS('Assumption-Worst'!$G$3:$G$32,'Assumption-Worst'!$A$3:$A$32,$B289,'Assumption-Worst'!$B$3:$B$32,$C289)</f>
        <v>0.45</v>
      </c>
      <c r="O289" s="19">
        <f t="shared" si="33"/>
        <v>118155.45855605627</v>
      </c>
      <c r="P289" s="99">
        <f t="shared" si="34"/>
        <v>68892.759433213752</v>
      </c>
    </row>
    <row r="290" spans="1:16" x14ac:dyDescent="0.35">
      <c r="A290" s="96" t="str">
        <f>LEFT('2025 actual v budget'!A290,4)&amp;"26"</f>
        <v>Oct-26</v>
      </c>
      <c r="B290" s="17" t="str">
        <f>'2025 actual v budget'!B290</f>
        <v>Mexico</v>
      </c>
      <c r="C290" s="17" t="str">
        <f>'2025 actual v budget'!C290</f>
        <v>Stablecoin Settlement</v>
      </c>
      <c r="D290" s="19">
        <f>'2025 actual v budget'!D290</f>
        <v>35682175.890000001</v>
      </c>
      <c r="E290" s="97">
        <f>SUMIFS('Assumption-Worst'!$C$3:$C$32,'Assumption-Worst'!$A$3:$A$32,$B290,'Assumption-Worst'!$B$3:$B$32,$C290)</f>
        <v>0.15</v>
      </c>
      <c r="F290" s="19">
        <f t="shared" si="28"/>
        <v>41034502.273499995</v>
      </c>
      <c r="G290" s="98">
        <f>SUMIFS('Assumption-Worst'!$D$3:$D$32,'Assumption-Worst'!$A$3:$A$32,$B290,'Assumption-Worst'!$B$3:$B$32,$C290)</f>
        <v>6.4999999999999997E-3</v>
      </c>
      <c r="H290" s="99">
        <f t="shared" si="29"/>
        <v>266724.26477774995</v>
      </c>
      <c r="I290" s="97">
        <f>SUMIFS('Assumption-Worst'!$E$3:$E$32,'Assumption-Worst'!$A$3:$A$32,$B290,'Assumption-Worst'!$B$3:$B$32,$C290)</f>
        <v>0.32</v>
      </c>
      <c r="J290" s="19">
        <f t="shared" si="30"/>
        <v>85351.764728879993</v>
      </c>
      <c r="K290" s="100">
        <f>SUMIFS('Assumption-Worst'!$F$3:$F$32,'Assumption-Worst'!$A$3:$A$32,$B290,'Assumption-Worst'!$B$3:$B$32,$C290)</f>
        <v>8.0000000000000007E-5</v>
      </c>
      <c r="L290" s="19">
        <f t="shared" si="31"/>
        <v>3282.7601818799999</v>
      </c>
      <c r="M290" s="99">
        <f t="shared" si="32"/>
        <v>178089.73986698996</v>
      </c>
      <c r="N290" s="97">
        <f>SUMIFS('Assumption-Worst'!$G$3:$G$32,'Assumption-Worst'!$A$3:$A$32,$B290,'Assumption-Worst'!$B$3:$B$32,$C290)</f>
        <v>0.45</v>
      </c>
      <c r="O290" s="19">
        <f t="shared" si="33"/>
        <v>120025.91914998749</v>
      </c>
      <c r="P290" s="99">
        <f t="shared" si="34"/>
        <v>58063.820717002469</v>
      </c>
    </row>
    <row r="291" spans="1:16" x14ac:dyDescent="0.35">
      <c r="A291" s="96" t="str">
        <f>LEFT('2025 actual v budget'!A291,4)&amp;"26"</f>
        <v>Oct-26</v>
      </c>
      <c r="B291" s="17" t="str">
        <f>'2025 actual v budget'!B291</f>
        <v>Mexico</v>
      </c>
      <c r="C291" s="17" t="str">
        <f>'2025 actual v budget'!C291</f>
        <v>Treasury Yield</v>
      </c>
      <c r="D291" s="19">
        <f>'2025 actual v budget'!D291</f>
        <v>9530069.6099999994</v>
      </c>
      <c r="E291" s="97">
        <f>SUMIFS('Assumption-Worst'!$C$3:$C$32,'Assumption-Worst'!$A$3:$A$32,$B291,'Assumption-Worst'!$B$3:$B$32,$C291)</f>
        <v>7.4999999999999997E-2</v>
      </c>
      <c r="F291" s="19">
        <f t="shared" si="28"/>
        <v>10244824.83075</v>
      </c>
      <c r="G291" s="98">
        <f>SUMIFS('Assumption-Worst'!$D$3:$D$32,'Assumption-Worst'!$A$3:$A$32,$B291,'Assumption-Worst'!$B$3:$B$32,$C291)</f>
        <v>3.0000000000000001E-3</v>
      </c>
      <c r="H291" s="99">
        <f t="shared" si="29"/>
        <v>30734.474492249999</v>
      </c>
      <c r="I291" s="97">
        <f>SUMIFS('Assumption-Worst'!$E$3:$E$32,'Assumption-Worst'!$A$3:$A$32,$B291,'Assumption-Worst'!$B$3:$B$32,$C291)</f>
        <v>0.18</v>
      </c>
      <c r="J291" s="19">
        <f t="shared" si="30"/>
        <v>5532.2054086049993</v>
      </c>
      <c r="K291" s="100">
        <f>SUMIFS('Assumption-Worst'!$F$3:$F$32,'Assumption-Worst'!$A$3:$A$32,$B291,'Assumption-Worst'!$B$3:$B$32,$C291)</f>
        <v>8.0000000000000007E-5</v>
      </c>
      <c r="L291" s="19">
        <f t="shared" si="31"/>
        <v>819.58598646000007</v>
      </c>
      <c r="M291" s="99">
        <f t="shared" si="32"/>
        <v>24382.683097184999</v>
      </c>
      <c r="N291" s="97">
        <f>SUMIFS('Assumption-Worst'!$G$3:$G$32,'Assumption-Worst'!$A$3:$A$32,$B291,'Assumption-Worst'!$B$3:$B$32,$C291)</f>
        <v>0.45</v>
      </c>
      <c r="O291" s="19">
        <f t="shared" si="33"/>
        <v>13830.513521512499</v>
      </c>
      <c r="P291" s="99">
        <f t="shared" si="34"/>
        <v>10552.1695756725</v>
      </c>
    </row>
    <row r="292" spans="1:16" x14ac:dyDescent="0.35">
      <c r="A292" s="96" t="str">
        <f>LEFT('2025 actual v budget'!A292,4)&amp;"26"</f>
        <v>Oct-26</v>
      </c>
      <c r="B292" s="17" t="str">
        <f>'2025 actual v budget'!B292</f>
        <v>Mexico</v>
      </c>
      <c r="C292" s="17" t="str">
        <f>'2025 actual v budget'!C292</f>
        <v>Virtual Accounts</v>
      </c>
      <c r="D292" s="19">
        <f>'2025 actual v budget'!D292</f>
        <v>14502714.640000001</v>
      </c>
      <c r="E292" s="97">
        <f>SUMIFS('Assumption-Worst'!$C$3:$C$32,'Assumption-Worst'!$A$3:$A$32,$B292,'Assumption-Worst'!$B$3:$B$32,$C292)</f>
        <v>7.4999999999999997E-2</v>
      </c>
      <c r="F292" s="19">
        <f t="shared" si="28"/>
        <v>15590418.238</v>
      </c>
      <c r="G292" s="98">
        <f>SUMIFS('Assumption-Worst'!$D$3:$D$32,'Assumption-Worst'!$A$3:$A$32,$B292,'Assumption-Worst'!$B$3:$B$32,$C292)</f>
        <v>4.4999999999999997E-3</v>
      </c>
      <c r="H292" s="99">
        <f t="shared" si="29"/>
        <v>70156.882071</v>
      </c>
      <c r="I292" s="97">
        <f>SUMIFS('Assumption-Worst'!$E$3:$E$32,'Assumption-Worst'!$A$3:$A$32,$B292,'Assumption-Worst'!$B$3:$B$32,$C292)</f>
        <v>0.22</v>
      </c>
      <c r="J292" s="19">
        <f t="shared" si="30"/>
        <v>15434.51405562</v>
      </c>
      <c r="K292" s="100">
        <f>SUMIFS('Assumption-Worst'!$F$3:$F$32,'Assumption-Worst'!$A$3:$A$32,$B292,'Assumption-Worst'!$B$3:$B$32,$C292)</f>
        <v>8.0000000000000007E-5</v>
      </c>
      <c r="L292" s="19">
        <f t="shared" si="31"/>
        <v>1247.2334590400001</v>
      </c>
      <c r="M292" s="99">
        <f t="shared" si="32"/>
        <v>53475.134556340003</v>
      </c>
      <c r="N292" s="97">
        <f>SUMIFS('Assumption-Worst'!$G$3:$G$32,'Assumption-Worst'!$A$3:$A$32,$B292,'Assumption-Worst'!$B$3:$B$32,$C292)</f>
        <v>0.45</v>
      </c>
      <c r="O292" s="19">
        <f t="shared" si="33"/>
        <v>31570.59693195</v>
      </c>
      <c r="P292" s="99">
        <f t="shared" si="34"/>
        <v>21904.537624390003</v>
      </c>
    </row>
    <row r="293" spans="1:16" x14ac:dyDescent="0.35">
      <c r="A293" s="96" t="str">
        <f>LEFT('2025 actual v budget'!A293,4)&amp;"26"</f>
        <v>Oct-26</v>
      </c>
      <c r="B293" s="17" t="str">
        <f>'2025 actual v budget'!B293</f>
        <v>Singapore</v>
      </c>
      <c r="C293" s="17" t="str">
        <f>'2025 actual v budget'!C293</f>
        <v>Cross-border Payouts</v>
      </c>
      <c r="D293" s="19">
        <f>'2025 actual v budget'!D293</f>
        <v>11502752.810000001</v>
      </c>
      <c r="E293" s="97">
        <f>SUMIFS('Assumption-Worst'!$C$3:$C$32,'Assumption-Worst'!$A$3:$A$32,$B293,'Assumption-Worst'!$B$3:$B$32,$C293)</f>
        <v>2.5000000000000001E-2</v>
      </c>
      <c r="F293" s="19">
        <f t="shared" si="28"/>
        <v>11790321.630249999</v>
      </c>
      <c r="G293" s="98">
        <f>SUMIFS('Assumption-Worst'!$D$3:$D$32,'Assumption-Worst'!$A$3:$A$32,$B293,'Assumption-Worst'!$B$3:$B$32,$C293)</f>
        <v>7.4999999999999997E-3</v>
      </c>
      <c r="H293" s="99">
        <f t="shared" si="29"/>
        <v>88427.412226874992</v>
      </c>
      <c r="I293" s="97">
        <f>SUMIFS('Assumption-Worst'!$E$3:$E$32,'Assumption-Worst'!$A$3:$A$32,$B293,'Assumption-Worst'!$B$3:$B$32,$C293)</f>
        <v>0.35</v>
      </c>
      <c r="J293" s="19">
        <f t="shared" si="30"/>
        <v>30949.594279406247</v>
      </c>
      <c r="K293" s="100">
        <f>SUMIFS('Assumption-Worst'!$F$3:$F$32,'Assumption-Worst'!$A$3:$A$32,$B293,'Assumption-Worst'!$B$3:$B$32,$C293)</f>
        <v>9.0000000000000006E-5</v>
      </c>
      <c r="L293" s="19">
        <f t="shared" si="31"/>
        <v>1061.1289467225001</v>
      </c>
      <c r="M293" s="99">
        <f t="shared" si="32"/>
        <v>56416.68900074625</v>
      </c>
      <c r="N293" s="97">
        <f>SUMIFS('Assumption-Worst'!$G$3:$G$32,'Assumption-Worst'!$A$3:$A$32,$B293,'Assumption-Worst'!$B$3:$B$32,$C293)</f>
        <v>0.45</v>
      </c>
      <c r="O293" s="19">
        <f t="shared" si="33"/>
        <v>39792.335502093745</v>
      </c>
      <c r="P293" s="99">
        <f t="shared" si="34"/>
        <v>16624.353498652505</v>
      </c>
    </row>
    <row r="294" spans="1:16" x14ac:dyDescent="0.35">
      <c r="A294" s="96" t="str">
        <f>LEFT('2025 actual v budget'!A294,4)&amp;"26"</f>
        <v>Oct-26</v>
      </c>
      <c r="B294" s="17" t="str">
        <f>'2025 actual v budget'!B294</f>
        <v>Singapore</v>
      </c>
      <c r="C294" s="17" t="str">
        <f>'2025 actual v budget'!C294</f>
        <v>FX Conversion</v>
      </c>
      <c r="D294" s="19">
        <f>'2025 actual v budget'!D294</f>
        <v>17868137.359999999</v>
      </c>
      <c r="E294" s="97">
        <f>SUMIFS('Assumption-Worst'!$C$3:$C$32,'Assumption-Worst'!$A$3:$A$32,$B294,'Assumption-Worst'!$B$3:$B$32,$C294)</f>
        <v>2.5000000000000001E-2</v>
      </c>
      <c r="F294" s="19">
        <f t="shared" si="28"/>
        <v>18314840.793999996</v>
      </c>
      <c r="G294" s="98">
        <f>SUMIFS('Assumption-Worst'!$D$3:$D$32,'Assumption-Worst'!$A$3:$A$32,$B294,'Assumption-Worst'!$B$3:$B$32,$C294)</f>
        <v>1.0500000000000001E-2</v>
      </c>
      <c r="H294" s="99">
        <f t="shared" si="29"/>
        <v>192305.82833699998</v>
      </c>
      <c r="I294" s="97">
        <f>SUMIFS('Assumption-Worst'!$E$3:$E$32,'Assumption-Worst'!$A$3:$A$32,$B294,'Assumption-Worst'!$B$3:$B$32,$C294)</f>
        <v>0.28000000000000003</v>
      </c>
      <c r="J294" s="19">
        <f t="shared" si="30"/>
        <v>53845.631934360004</v>
      </c>
      <c r="K294" s="100">
        <f>SUMIFS('Assumption-Worst'!$F$3:$F$32,'Assumption-Worst'!$A$3:$A$32,$B294,'Assumption-Worst'!$B$3:$B$32,$C294)</f>
        <v>9.0000000000000006E-5</v>
      </c>
      <c r="L294" s="19">
        <f t="shared" si="31"/>
        <v>1648.3356714599997</v>
      </c>
      <c r="M294" s="99">
        <f t="shared" si="32"/>
        <v>136811.86073117997</v>
      </c>
      <c r="N294" s="97">
        <f>SUMIFS('Assumption-Worst'!$G$3:$G$32,'Assumption-Worst'!$A$3:$A$32,$B294,'Assumption-Worst'!$B$3:$B$32,$C294)</f>
        <v>0.45</v>
      </c>
      <c r="O294" s="19">
        <f t="shared" si="33"/>
        <v>86537.622751649993</v>
      </c>
      <c r="P294" s="99">
        <f t="shared" si="34"/>
        <v>50274.237979529978</v>
      </c>
    </row>
    <row r="295" spans="1:16" x14ac:dyDescent="0.35">
      <c r="A295" s="96" t="str">
        <f>LEFT('2025 actual v budget'!A295,4)&amp;"26"</f>
        <v>Oct-26</v>
      </c>
      <c r="B295" s="17" t="str">
        <f>'2025 actual v budget'!B295</f>
        <v>Singapore</v>
      </c>
      <c r="C295" s="17" t="str">
        <f>'2025 actual v budget'!C295</f>
        <v>Stablecoin Settlement</v>
      </c>
      <c r="D295" s="19">
        <f>'2025 actual v budget'!D295</f>
        <v>27425087.07</v>
      </c>
      <c r="E295" s="97">
        <f>SUMIFS('Assumption-Worst'!$C$3:$C$32,'Assumption-Worst'!$A$3:$A$32,$B295,'Assumption-Worst'!$B$3:$B$32,$C295)</f>
        <v>0.05</v>
      </c>
      <c r="F295" s="19">
        <f t="shared" si="28"/>
        <v>28796341.423500001</v>
      </c>
      <c r="G295" s="98">
        <f>SUMIFS('Assumption-Worst'!$D$3:$D$32,'Assumption-Worst'!$A$3:$A$32,$B295,'Assumption-Worst'!$B$3:$B$32,$C295)</f>
        <v>6.4999999999999997E-3</v>
      </c>
      <c r="H295" s="99">
        <f t="shared" si="29"/>
        <v>187176.21925274999</v>
      </c>
      <c r="I295" s="97">
        <f>SUMIFS('Assumption-Worst'!$E$3:$E$32,'Assumption-Worst'!$A$3:$A$32,$B295,'Assumption-Worst'!$B$3:$B$32,$C295)</f>
        <v>0.32</v>
      </c>
      <c r="J295" s="19">
        <f t="shared" si="30"/>
        <v>59896.390160879993</v>
      </c>
      <c r="K295" s="100">
        <f>SUMIFS('Assumption-Worst'!$F$3:$F$32,'Assumption-Worst'!$A$3:$A$32,$B295,'Assumption-Worst'!$B$3:$B$32,$C295)</f>
        <v>9.0000000000000006E-5</v>
      </c>
      <c r="L295" s="19">
        <f t="shared" si="31"/>
        <v>2591.6707281150002</v>
      </c>
      <c r="M295" s="99">
        <f t="shared" si="32"/>
        <v>124688.15836375499</v>
      </c>
      <c r="N295" s="97">
        <f>SUMIFS('Assumption-Worst'!$G$3:$G$32,'Assumption-Worst'!$A$3:$A$32,$B295,'Assumption-Worst'!$B$3:$B$32,$C295)</f>
        <v>0.45</v>
      </c>
      <c r="O295" s="19">
        <f t="shared" si="33"/>
        <v>84229.2986637375</v>
      </c>
      <c r="P295" s="99">
        <f t="shared" si="34"/>
        <v>40458.859700017492</v>
      </c>
    </row>
    <row r="296" spans="1:16" x14ac:dyDescent="0.35">
      <c r="A296" s="96" t="str">
        <f>LEFT('2025 actual v budget'!A296,4)&amp;"26"</f>
        <v>Oct-26</v>
      </c>
      <c r="B296" s="17" t="str">
        <f>'2025 actual v budget'!B296</f>
        <v>Singapore</v>
      </c>
      <c r="C296" s="17" t="str">
        <f>'2025 actual v budget'!C296</f>
        <v>Treasury Yield</v>
      </c>
      <c r="D296" s="19">
        <f>'2025 actual v budget'!D296</f>
        <v>7320349.9400000004</v>
      </c>
      <c r="E296" s="97">
        <f>SUMIFS('Assumption-Worst'!$C$3:$C$32,'Assumption-Worst'!$A$3:$A$32,$B296,'Assumption-Worst'!$B$3:$B$32,$C296)</f>
        <v>2.5000000000000001E-2</v>
      </c>
      <c r="F296" s="19">
        <f t="shared" si="28"/>
        <v>7503358.6885000002</v>
      </c>
      <c r="G296" s="98">
        <f>SUMIFS('Assumption-Worst'!$D$3:$D$32,'Assumption-Worst'!$A$3:$A$32,$B296,'Assumption-Worst'!$B$3:$B$32,$C296)</f>
        <v>3.0000000000000001E-3</v>
      </c>
      <c r="H296" s="99">
        <f t="shared" si="29"/>
        <v>22510.076065500001</v>
      </c>
      <c r="I296" s="97">
        <f>SUMIFS('Assumption-Worst'!$E$3:$E$32,'Assumption-Worst'!$A$3:$A$32,$B296,'Assumption-Worst'!$B$3:$B$32,$C296)</f>
        <v>0.18</v>
      </c>
      <c r="J296" s="19">
        <f t="shared" si="30"/>
        <v>4051.8136917900001</v>
      </c>
      <c r="K296" s="100">
        <f>SUMIFS('Assumption-Worst'!$F$3:$F$32,'Assumption-Worst'!$A$3:$A$32,$B296,'Assumption-Worst'!$B$3:$B$32,$C296)</f>
        <v>9.0000000000000006E-5</v>
      </c>
      <c r="L296" s="19">
        <f t="shared" si="31"/>
        <v>675.30228196500002</v>
      </c>
      <c r="M296" s="99">
        <f t="shared" si="32"/>
        <v>17782.960091745001</v>
      </c>
      <c r="N296" s="97">
        <f>SUMIFS('Assumption-Worst'!$G$3:$G$32,'Assumption-Worst'!$A$3:$A$32,$B296,'Assumption-Worst'!$B$3:$B$32,$C296)</f>
        <v>0.45</v>
      </c>
      <c r="O296" s="19">
        <f t="shared" si="33"/>
        <v>10129.534229475001</v>
      </c>
      <c r="P296" s="99">
        <f t="shared" si="34"/>
        <v>7653.4258622699999</v>
      </c>
    </row>
    <row r="297" spans="1:16" x14ac:dyDescent="0.35">
      <c r="A297" s="96" t="str">
        <f>LEFT('2025 actual v budget'!A297,4)&amp;"26"</f>
        <v>Oct-26</v>
      </c>
      <c r="B297" s="17" t="str">
        <f>'2025 actual v budget'!B297</f>
        <v>Singapore</v>
      </c>
      <c r="C297" s="17" t="str">
        <f>'2025 actual v budget'!C297</f>
        <v>Virtual Accounts</v>
      </c>
      <c r="D297" s="19">
        <f>'2025 actual v budget'!D297</f>
        <v>11139996.93</v>
      </c>
      <c r="E297" s="97">
        <f>SUMIFS('Assumption-Worst'!$C$3:$C$32,'Assumption-Worst'!$A$3:$A$32,$B297,'Assumption-Worst'!$B$3:$B$32,$C297)</f>
        <v>2.5000000000000001E-2</v>
      </c>
      <c r="F297" s="19">
        <f t="shared" si="28"/>
        <v>11418496.853249999</v>
      </c>
      <c r="G297" s="98">
        <f>SUMIFS('Assumption-Worst'!$D$3:$D$32,'Assumption-Worst'!$A$3:$A$32,$B297,'Assumption-Worst'!$B$3:$B$32,$C297)</f>
        <v>4.4999999999999997E-3</v>
      </c>
      <c r="H297" s="99">
        <f t="shared" si="29"/>
        <v>51383.235839624991</v>
      </c>
      <c r="I297" s="97">
        <f>SUMIFS('Assumption-Worst'!$E$3:$E$32,'Assumption-Worst'!$A$3:$A$32,$B297,'Assumption-Worst'!$B$3:$B$32,$C297)</f>
        <v>0.22</v>
      </c>
      <c r="J297" s="19">
        <f t="shared" si="30"/>
        <v>11304.311884717497</v>
      </c>
      <c r="K297" s="100">
        <f>SUMIFS('Assumption-Worst'!$F$3:$F$32,'Assumption-Worst'!$A$3:$A$32,$B297,'Assumption-Worst'!$B$3:$B$32,$C297)</f>
        <v>9.0000000000000006E-5</v>
      </c>
      <c r="L297" s="19">
        <f t="shared" si="31"/>
        <v>1027.6647167925</v>
      </c>
      <c r="M297" s="99">
        <f t="shared" si="32"/>
        <v>39051.259238114995</v>
      </c>
      <c r="N297" s="97">
        <f>SUMIFS('Assumption-Worst'!$G$3:$G$32,'Assumption-Worst'!$A$3:$A$32,$B297,'Assumption-Worst'!$B$3:$B$32,$C297)</f>
        <v>0.45</v>
      </c>
      <c r="O297" s="19">
        <f t="shared" si="33"/>
        <v>23122.456127831247</v>
      </c>
      <c r="P297" s="99">
        <f t="shared" si="34"/>
        <v>15928.803110283749</v>
      </c>
    </row>
    <row r="298" spans="1:16" x14ac:dyDescent="0.35">
      <c r="A298" s="96" t="str">
        <f>LEFT('2025 actual v budget'!A298,4)&amp;"26"</f>
        <v>Oct-26</v>
      </c>
      <c r="B298" s="17" t="str">
        <f>'2025 actual v budget'!B298</f>
        <v>USA</v>
      </c>
      <c r="C298" s="17" t="str">
        <f>'2025 actual v budget'!C298</f>
        <v>Cross-border Payouts</v>
      </c>
      <c r="D298" s="19">
        <f>'2025 actual v budget'!D298</f>
        <v>27553282.859999999</v>
      </c>
      <c r="E298" s="97">
        <f>SUMIFS('Assumption-Worst'!$C$3:$C$32,'Assumption-Worst'!$A$3:$A$32,$B298,'Assumption-Worst'!$B$3:$B$32,$C298)</f>
        <v>0.05</v>
      </c>
      <c r="F298" s="19">
        <f t="shared" si="28"/>
        <v>28930947.003000002</v>
      </c>
      <c r="G298" s="98">
        <f>SUMIFS('Assumption-Worst'!$D$3:$D$32,'Assumption-Worst'!$A$3:$A$32,$B298,'Assumption-Worst'!$B$3:$B$32,$C298)</f>
        <v>7.4999999999999997E-3</v>
      </c>
      <c r="H298" s="99">
        <f t="shared" si="29"/>
        <v>216982.1025225</v>
      </c>
      <c r="I298" s="97">
        <f>SUMIFS('Assumption-Worst'!$E$3:$E$32,'Assumption-Worst'!$A$3:$A$32,$B298,'Assumption-Worst'!$B$3:$B$32,$C298)</f>
        <v>0.35</v>
      </c>
      <c r="J298" s="19">
        <f t="shared" si="30"/>
        <v>75943.735882875</v>
      </c>
      <c r="K298" s="100">
        <f>SUMIFS('Assumption-Worst'!$F$3:$F$32,'Assumption-Worst'!$A$3:$A$32,$B298,'Assumption-Worst'!$B$3:$B$32,$C298)</f>
        <v>2.0000000000000001E-4</v>
      </c>
      <c r="L298" s="19">
        <f t="shared" si="31"/>
        <v>5786.1894006000011</v>
      </c>
      <c r="M298" s="99">
        <f t="shared" si="32"/>
        <v>135252.17723902498</v>
      </c>
      <c r="N298" s="97">
        <f>SUMIFS('Assumption-Worst'!$G$3:$G$32,'Assumption-Worst'!$A$3:$A$32,$B298,'Assumption-Worst'!$B$3:$B$32,$C298)</f>
        <v>0.45</v>
      </c>
      <c r="O298" s="19">
        <f t="shared" si="33"/>
        <v>97641.946135125007</v>
      </c>
      <c r="P298" s="99">
        <f t="shared" si="34"/>
        <v>37610.231103899976</v>
      </c>
    </row>
    <row r="299" spans="1:16" x14ac:dyDescent="0.35">
      <c r="A299" s="96" t="str">
        <f>LEFT('2025 actual v budget'!A299,4)&amp;"26"</f>
        <v>Oct-26</v>
      </c>
      <c r="B299" s="17" t="str">
        <f>'2025 actual v budget'!B299</f>
        <v>USA</v>
      </c>
      <c r="C299" s="17" t="str">
        <f>'2025 actual v budget'!C299</f>
        <v>FX Conversion</v>
      </c>
      <c r="D299" s="19">
        <f>'2025 actual v budget'!D299</f>
        <v>42791963.399999999</v>
      </c>
      <c r="E299" s="97">
        <f>SUMIFS('Assumption-Worst'!$C$3:$C$32,'Assumption-Worst'!$A$3:$A$32,$B299,'Assumption-Worst'!$B$3:$B$32,$C299)</f>
        <v>0.05</v>
      </c>
      <c r="F299" s="19">
        <f t="shared" si="28"/>
        <v>44931561.57</v>
      </c>
      <c r="G299" s="98">
        <f>SUMIFS('Assumption-Worst'!$D$3:$D$32,'Assumption-Worst'!$A$3:$A$32,$B299,'Assumption-Worst'!$B$3:$B$32,$C299)</f>
        <v>1.0500000000000001E-2</v>
      </c>
      <c r="H299" s="99">
        <f t="shared" si="29"/>
        <v>471781.39648500003</v>
      </c>
      <c r="I299" s="97">
        <f>SUMIFS('Assumption-Worst'!$E$3:$E$32,'Assumption-Worst'!$A$3:$A$32,$B299,'Assumption-Worst'!$B$3:$B$32,$C299)</f>
        <v>0.28000000000000003</v>
      </c>
      <c r="J299" s="19">
        <f t="shared" si="30"/>
        <v>132098.79101580003</v>
      </c>
      <c r="K299" s="100">
        <f>SUMIFS('Assumption-Worst'!$F$3:$F$32,'Assumption-Worst'!$A$3:$A$32,$B299,'Assumption-Worst'!$B$3:$B$32,$C299)</f>
        <v>2.0000000000000001E-4</v>
      </c>
      <c r="L299" s="19">
        <f t="shared" si="31"/>
        <v>8986.3123140000007</v>
      </c>
      <c r="M299" s="99">
        <f t="shared" si="32"/>
        <v>330696.29315520002</v>
      </c>
      <c r="N299" s="97">
        <f>SUMIFS('Assumption-Worst'!$G$3:$G$32,'Assumption-Worst'!$A$3:$A$32,$B299,'Assumption-Worst'!$B$3:$B$32,$C299)</f>
        <v>0.45</v>
      </c>
      <c r="O299" s="19">
        <f t="shared" si="33"/>
        <v>212301.62841825001</v>
      </c>
      <c r="P299" s="99">
        <f t="shared" si="34"/>
        <v>118394.66473695001</v>
      </c>
    </row>
    <row r="300" spans="1:16" x14ac:dyDescent="0.35">
      <c r="A300" s="96" t="str">
        <f>LEFT('2025 actual v budget'!A300,4)&amp;"26"</f>
        <v>Oct-26</v>
      </c>
      <c r="B300" s="17" t="str">
        <f>'2025 actual v budget'!B300</f>
        <v>USA</v>
      </c>
      <c r="C300" s="17" t="str">
        <f>'2025 actual v budget'!C300</f>
        <v>Stablecoin Settlement</v>
      </c>
      <c r="D300" s="19">
        <f>'2025 actual v budget'!D300</f>
        <v>65693073.140000001</v>
      </c>
      <c r="E300" s="97">
        <f>SUMIFS('Assumption-Worst'!$C$3:$C$32,'Assumption-Worst'!$A$3:$A$32,$B300,'Assumption-Worst'!$B$3:$B$32,$C300)</f>
        <v>0.1</v>
      </c>
      <c r="F300" s="19">
        <f t="shared" si="28"/>
        <v>72262380.454000011</v>
      </c>
      <c r="G300" s="98">
        <f>SUMIFS('Assumption-Worst'!$D$3:$D$32,'Assumption-Worst'!$A$3:$A$32,$B300,'Assumption-Worst'!$B$3:$B$32,$C300)</f>
        <v>6.4999999999999997E-3</v>
      </c>
      <c r="H300" s="99">
        <f t="shared" si="29"/>
        <v>469705.47295100003</v>
      </c>
      <c r="I300" s="97">
        <f>SUMIFS('Assumption-Worst'!$E$3:$E$32,'Assumption-Worst'!$A$3:$A$32,$B300,'Assumption-Worst'!$B$3:$B$32,$C300)</f>
        <v>0.32</v>
      </c>
      <c r="J300" s="19">
        <f t="shared" si="30"/>
        <v>150305.75134432002</v>
      </c>
      <c r="K300" s="100">
        <f>SUMIFS('Assumption-Worst'!$F$3:$F$32,'Assumption-Worst'!$A$3:$A$32,$B300,'Assumption-Worst'!$B$3:$B$32,$C300)</f>
        <v>2.0000000000000001E-4</v>
      </c>
      <c r="L300" s="19">
        <f t="shared" si="31"/>
        <v>14452.476090800003</v>
      </c>
      <c r="M300" s="99">
        <f t="shared" si="32"/>
        <v>304947.24551588</v>
      </c>
      <c r="N300" s="97">
        <f>SUMIFS('Assumption-Worst'!$G$3:$G$32,'Assumption-Worst'!$A$3:$A$32,$B300,'Assumption-Worst'!$B$3:$B$32,$C300)</f>
        <v>0.45</v>
      </c>
      <c r="O300" s="19">
        <f t="shared" si="33"/>
        <v>211367.46282795002</v>
      </c>
      <c r="P300" s="99">
        <f t="shared" si="34"/>
        <v>93579.782687929983</v>
      </c>
    </row>
    <row r="301" spans="1:16" x14ac:dyDescent="0.35">
      <c r="A301" s="96" t="str">
        <f>LEFT('2025 actual v budget'!A301,4)&amp;"26"</f>
        <v>Oct-26</v>
      </c>
      <c r="B301" s="17" t="str">
        <f>'2025 actual v budget'!B301</f>
        <v>USA</v>
      </c>
      <c r="C301" s="17" t="str">
        <f>'2025 actual v budget'!C301</f>
        <v>Treasury Yield</v>
      </c>
      <c r="D301" s="19">
        <f>'2025 actual v budget'!D301</f>
        <v>17531326.32</v>
      </c>
      <c r="E301" s="97">
        <f>SUMIFS('Assumption-Worst'!$C$3:$C$32,'Assumption-Worst'!$A$3:$A$32,$B301,'Assumption-Worst'!$B$3:$B$32,$C301)</f>
        <v>0.05</v>
      </c>
      <c r="F301" s="19">
        <f t="shared" si="28"/>
        <v>18407892.636</v>
      </c>
      <c r="G301" s="98">
        <f>SUMIFS('Assumption-Worst'!$D$3:$D$32,'Assumption-Worst'!$A$3:$A$32,$B301,'Assumption-Worst'!$B$3:$B$32,$C301)</f>
        <v>3.0000000000000001E-3</v>
      </c>
      <c r="H301" s="99">
        <f t="shared" si="29"/>
        <v>55223.677907999998</v>
      </c>
      <c r="I301" s="97">
        <f>SUMIFS('Assumption-Worst'!$E$3:$E$32,'Assumption-Worst'!$A$3:$A$32,$B301,'Assumption-Worst'!$B$3:$B$32,$C301)</f>
        <v>0.18</v>
      </c>
      <c r="J301" s="19">
        <f t="shared" si="30"/>
        <v>9940.2620234400001</v>
      </c>
      <c r="K301" s="100">
        <f>SUMIFS('Assumption-Worst'!$F$3:$F$32,'Assumption-Worst'!$A$3:$A$32,$B301,'Assumption-Worst'!$B$3:$B$32,$C301)</f>
        <v>2.0000000000000001E-4</v>
      </c>
      <c r="L301" s="19">
        <f t="shared" si="31"/>
        <v>3681.5785272000003</v>
      </c>
      <c r="M301" s="99">
        <f t="shared" si="32"/>
        <v>41601.837357359997</v>
      </c>
      <c r="N301" s="97">
        <f>SUMIFS('Assumption-Worst'!$G$3:$G$32,'Assumption-Worst'!$A$3:$A$32,$B301,'Assumption-Worst'!$B$3:$B$32,$C301)</f>
        <v>0.45</v>
      </c>
      <c r="O301" s="19">
        <f t="shared" si="33"/>
        <v>24850.655058600001</v>
      </c>
      <c r="P301" s="99">
        <f t="shared" si="34"/>
        <v>16751.182298759995</v>
      </c>
    </row>
    <row r="302" spans="1:16" x14ac:dyDescent="0.35">
      <c r="A302" s="96" t="str">
        <f>LEFT('2025 actual v budget'!A302,4)&amp;"26"</f>
        <v>Oct-26</v>
      </c>
      <c r="B302" s="17" t="str">
        <f>'2025 actual v budget'!B302</f>
        <v>USA</v>
      </c>
      <c r="C302" s="17" t="str">
        <f>'2025 actual v budget'!C302</f>
        <v>Virtual Accounts</v>
      </c>
      <c r="D302" s="19">
        <f>'2025 actual v budget'!D302</f>
        <v>26678905.100000001</v>
      </c>
      <c r="E302" s="97">
        <f>SUMIFS('Assumption-Worst'!$C$3:$C$32,'Assumption-Worst'!$A$3:$A$32,$B302,'Assumption-Worst'!$B$3:$B$32,$C302)</f>
        <v>0.05</v>
      </c>
      <c r="F302" s="19">
        <f t="shared" si="28"/>
        <v>28012850.355000004</v>
      </c>
      <c r="G302" s="98">
        <f>SUMIFS('Assumption-Worst'!$D$3:$D$32,'Assumption-Worst'!$A$3:$A$32,$B302,'Assumption-Worst'!$B$3:$B$32,$C302)</f>
        <v>4.4999999999999997E-3</v>
      </c>
      <c r="H302" s="99">
        <f t="shared" si="29"/>
        <v>126057.82659750001</v>
      </c>
      <c r="I302" s="97">
        <f>SUMIFS('Assumption-Worst'!$E$3:$E$32,'Assumption-Worst'!$A$3:$A$32,$B302,'Assumption-Worst'!$B$3:$B$32,$C302)</f>
        <v>0.22</v>
      </c>
      <c r="J302" s="19">
        <f t="shared" si="30"/>
        <v>27732.721851450002</v>
      </c>
      <c r="K302" s="100">
        <f>SUMIFS('Assumption-Worst'!$F$3:$F$32,'Assumption-Worst'!$A$3:$A$32,$B302,'Assumption-Worst'!$B$3:$B$32,$C302)</f>
        <v>2.0000000000000001E-4</v>
      </c>
      <c r="L302" s="19">
        <f t="shared" si="31"/>
        <v>5602.570071000001</v>
      </c>
      <c r="M302" s="99">
        <f t="shared" si="32"/>
        <v>92722.534675050018</v>
      </c>
      <c r="N302" s="97">
        <f>SUMIFS('Assumption-Worst'!$G$3:$G$32,'Assumption-Worst'!$A$3:$A$32,$B302,'Assumption-Worst'!$B$3:$B$32,$C302)</f>
        <v>0.45</v>
      </c>
      <c r="O302" s="19">
        <f t="shared" si="33"/>
        <v>56726.021968875008</v>
      </c>
      <c r="P302" s="99">
        <f t="shared" si="34"/>
        <v>35996.51270617501</v>
      </c>
    </row>
    <row r="303" spans="1:16" x14ac:dyDescent="0.35">
      <c r="A303" s="91" t="str">
        <f>LEFT('2025 actual v budget'!A303,4)&amp;"26"</f>
        <v>Nov-26</v>
      </c>
      <c r="B303" s="12" t="str">
        <f>'2025 actual v budget'!B303</f>
        <v>Brazil</v>
      </c>
      <c r="C303" s="12" t="str">
        <f>'2025 actual v budget'!C303</f>
        <v>Cross-border Payouts</v>
      </c>
      <c r="D303" s="14">
        <f>'2025 actual v budget'!D303</f>
        <v>19320462.440000001</v>
      </c>
      <c r="E303" s="92">
        <f>SUMIFS('Assumption-Worst'!$C$3:$C$32,'Assumption-Worst'!$A$3:$A$32,$B303,'Assumption-Worst'!$B$3:$B$32,$C303)</f>
        <v>0.1</v>
      </c>
      <c r="F303" s="14">
        <f t="shared" si="28"/>
        <v>21252508.684000004</v>
      </c>
      <c r="G303" s="93">
        <f>SUMIFS('Assumption-Worst'!$D$3:$D$32,'Assumption-Worst'!$A$3:$A$32,$B303,'Assumption-Worst'!$B$3:$B$32,$C303)</f>
        <v>7.4999999999999997E-3</v>
      </c>
      <c r="H303" s="94">
        <f t="shared" si="29"/>
        <v>159393.81513000003</v>
      </c>
      <c r="I303" s="92">
        <f>SUMIFS('Assumption-Worst'!$E$3:$E$32,'Assumption-Worst'!$A$3:$A$32,$B303,'Assumption-Worst'!$B$3:$B$32,$C303)</f>
        <v>0.35</v>
      </c>
      <c r="J303" s="14">
        <f t="shared" si="30"/>
        <v>55787.835295500008</v>
      </c>
      <c r="K303" s="95">
        <f>SUMIFS('Assumption-Worst'!$F$3:$F$32,'Assumption-Worst'!$A$3:$A$32,$B303,'Assumption-Worst'!$B$3:$B$32,$C303)</f>
        <v>6.9999999999999994E-5</v>
      </c>
      <c r="L303" s="14">
        <f t="shared" si="31"/>
        <v>1487.6756078800001</v>
      </c>
      <c r="M303" s="94">
        <f t="shared" si="32"/>
        <v>102118.30422662004</v>
      </c>
      <c r="N303" s="92">
        <f>SUMIFS('Assumption-Worst'!$G$3:$G$32,'Assumption-Worst'!$A$3:$A$32,$B303,'Assumption-Worst'!$B$3:$B$32,$C303)</f>
        <v>0.45</v>
      </c>
      <c r="O303" s="14">
        <f t="shared" si="33"/>
        <v>71727.216808500016</v>
      </c>
      <c r="P303" s="94">
        <f t="shared" si="34"/>
        <v>30391.08741812002</v>
      </c>
    </row>
    <row r="304" spans="1:16" x14ac:dyDescent="0.35">
      <c r="A304" s="91" t="str">
        <f>LEFT('2025 actual v budget'!A304,4)&amp;"26"</f>
        <v>Nov-26</v>
      </c>
      <c r="B304" s="12" t="str">
        <f>'2025 actual v budget'!B304</f>
        <v>Brazil</v>
      </c>
      <c r="C304" s="12" t="str">
        <f>'2025 actual v budget'!C304</f>
        <v>FX Conversion</v>
      </c>
      <c r="D304" s="14">
        <f>'2025 actual v budget'!D304</f>
        <v>29577049.48</v>
      </c>
      <c r="E304" s="92">
        <f>SUMIFS('Assumption-Worst'!$C$3:$C$32,'Assumption-Worst'!$A$3:$A$32,$B304,'Assumption-Worst'!$B$3:$B$32,$C304)</f>
        <v>0.1</v>
      </c>
      <c r="F304" s="14">
        <f t="shared" si="28"/>
        <v>32534754.428000003</v>
      </c>
      <c r="G304" s="93">
        <f>SUMIFS('Assumption-Worst'!$D$3:$D$32,'Assumption-Worst'!$A$3:$A$32,$B304,'Assumption-Worst'!$B$3:$B$32,$C304)</f>
        <v>1.0500000000000001E-2</v>
      </c>
      <c r="H304" s="94">
        <f t="shared" si="29"/>
        <v>341614.92149400007</v>
      </c>
      <c r="I304" s="92">
        <f>SUMIFS('Assumption-Worst'!$E$3:$E$32,'Assumption-Worst'!$A$3:$A$32,$B304,'Assumption-Worst'!$B$3:$B$32,$C304)</f>
        <v>0.28000000000000003</v>
      </c>
      <c r="J304" s="14">
        <f t="shared" si="30"/>
        <v>95652.178018320032</v>
      </c>
      <c r="K304" s="95">
        <f>SUMIFS('Assumption-Worst'!$F$3:$F$32,'Assumption-Worst'!$A$3:$A$32,$B304,'Assumption-Worst'!$B$3:$B$32,$C304)</f>
        <v>6.9999999999999994E-5</v>
      </c>
      <c r="L304" s="14">
        <f t="shared" si="31"/>
        <v>2277.4328099600002</v>
      </c>
      <c r="M304" s="94">
        <f t="shared" si="32"/>
        <v>243685.31066572003</v>
      </c>
      <c r="N304" s="92">
        <f>SUMIFS('Assumption-Worst'!$G$3:$G$32,'Assumption-Worst'!$A$3:$A$32,$B304,'Assumption-Worst'!$B$3:$B$32,$C304)</f>
        <v>0.45</v>
      </c>
      <c r="O304" s="14">
        <f t="shared" si="33"/>
        <v>153726.71467230003</v>
      </c>
      <c r="P304" s="94">
        <f t="shared" si="34"/>
        <v>89958.595993419993</v>
      </c>
    </row>
    <row r="305" spans="1:16" x14ac:dyDescent="0.35">
      <c r="A305" s="91" t="str">
        <f>LEFT('2025 actual v budget'!A305,4)&amp;"26"</f>
        <v>Nov-26</v>
      </c>
      <c r="B305" s="12" t="str">
        <f>'2025 actual v budget'!B305</f>
        <v>Brazil</v>
      </c>
      <c r="C305" s="12" t="str">
        <f>'2025 actual v budget'!C305</f>
        <v>Stablecoin Settlement</v>
      </c>
      <c r="D305" s="14">
        <f>'2025 actual v budget'!D305</f>
        <v>46921613.289999999</v>
      </c>
      <c r="E305" s="92">
        <f>SUMIFS('Assumption-Worst'!$C$3:$C$32,'Assumption-Worst'!$A$3:$A$32,$B305,'Assumption-Worst'!$B$3:$B$32,$C305)</f>
        <v>0.2</v>
      </c>
      <c r="F305" s="14">
        <f t="shared" si="28"/>
        <v>56305935.947999999</v>
      </c>
      <c r="G305" s="93">
        <f>SUMIFS('Assumption-Worst'!$D$3:$D$32,'Assumption-Worst'!$A$3:$A$32,$B305,'Assumption-Worst'!$B$3:$B$32,$C305)</f>
        <v>6.4999999999999997E-3</v>
      </c>
      <c r="H305" s="94">
        <f t="shared" si="29"/>
        <v>365988.58366199996</v>
      </c>
      <c r="I305" s="92">
        <f>SUMIFS('Assumption-Worst'!$E$3:$E$32,'Assumption-Worst'!$A$3:$A$32,$B305,'Assumption-Worst'!$B$3:$B$32,$C305)</f>
        <v>0.32</v>
      </c>
      <c r="J305" s="14">
        <f t="shared" si="30"/>
        <v>117116.34677183999</v>
      </c>
      <c r="K305" s="95">
        <f>SUMIFS('Assumption-Worst'!$F$3:$F$32,'Assumption-Worst'!$A$3:$A$32,$B305,'Assumption-Worst'!$B$3:$B$32,$C305)</f>
        <v>6.9999999999999994E-5</v>
      </c>
      <c r="L305" s="14">
        <f t="shared" si="31"/>
        <v>3941.4155163599994</v>
      </c>
      <c r="M305" s="94">
        <f t="shared" si="32"/>
        <v>244930.82137379996</v>
      </c>
      <c r="N305" s="92">
        <f>SUMIFS('Assumption-Worst'!$G$3:$G$32,'Assumption-Worst'!$A$3:$A$32,$B305,'Assumption-Worst'!$B$3:$B$32,$C305)</f>
        <v>0.45</v>
      </c>
      <c r="O305" s="14">
        <f t="shared" si="33"/>
        <v>164694.86264789998</v>
      </c>
      <c r="P305" s="94">
        <f t="shared" si="34"/>
        <v>80235.958725899982</v>
      </c>
    </row>
    <row r="306" spans="1:16" x14ac:dyDescent="0.35">
      <c r="A306" s="91" t="str">
        <f>LEFT('2025 actual v budget'!A306,4)&amp;"26"</f>
        <v>Nov-26</v>
      </c>
      <c r="B306" s="12" t="str">
        <f>'2025 actual v budget'!B306</f>
        <v>Brazil</v>
      </c>
      <c r="C306" s="12" t="str">
        <f>'2025 actual v budget'!C306</f>
        <v>Treasury Yield</v>
      </c>
      <c r="D306" s="14">
        <f>'2025 actual v budget'!D306</f>
        <v>12308888.470000001</v>
      </c>
      <c r="E306" s="92">
        <f>SUMIFS('Assumption-Worst'!$C$3:$C$32,'Assumption-Worst'!$A$3:$A$32,$B306,'Assumption-Worst'!$B$3:$B$32,$C306)</f>
        <v>0.1</v>
      </c>
      <c r="F306" s="14">
        <f t="shared" si="28"/>
        <v>13539777.317000002</v>
      </c>
      <c r="G306" s="93">
        <f>SUMIFS('Assumption-Worst'!$D$3:$D$32,'Assumption-Worst'!$A$3:$A$32,$B306,'Assumption-Worst'!$B$3:$B$32,$C306)</f>
        <v>3.0000000000000001E-3</v>
      </c>
      <c r="H306" s="94">
        <f t="shared" si="29"/>
        <v>40619.331951000007</v>
      </c>
      <c r="I306" s="92">
        <f>SUMIFS('Assumption-Worst'!$E$3:$E$32,'Assumption-Worst'!$A$3:$A$32,$B306,'Assumption-Worst'!$B$3:$B$32,$C306)</f>
        <v>0.18</v>
      </c>
      <c r="J306" s="14">
        <f t="shared" si="30"/>
        <v>7311.4797511800007</v>
      </c>
      <c r="K306" s="95">
        <f>SUMIFS('Assumption-Worst'!$F$3:$F$32,'Assumption-Worst'!$A$3:$A$32,$B306,'Assumption-Worst'!$B$3:$B$32,$C306)</f>
        <v>6.9999999999999994E-5</v>
      </c>
      <c r="L306" s="14">
        <f t="shared" si="31"/>
        <v>947.78441219000001</v>
      </c>
      <c r="M306" s="94">
        <f t="shared" si="32"/>
        <v>32360.067787630007</v>
      </c>
      <c r="N306" s="92">
        <f>SUMIFS('Assumption-Worst'!$G$3:$G$32,'Assumption-Worst'!$A$3:$A$32,$B306,'Assumption-Worst'!$B$3:$B$32,$C306)</f>
        <v>0.45</v>
      </c>
      <c r="O306" s="14">
        <f t="shared" si="33"/>
        <v>18278.699377950004</v>
      </c>
      <c r="P306" s="94">
        <f t="shared" si="34"/>
        <v>14081.368409680003</v>
      </c>
    </row>
    <row r="307" spans="1:16" x14ac:dyDescent="0.35">
      <c r="A307" s="91" t="str">
        <f>LEFT('2025 actual v budget'!A307,4)&amp;"26"</f>
        <v>Nov-26</v>
      </c>
      <c r="B307" s="12" t="str">
        <f>'2025 actual v budget'!B307</f>
        <v>Brazil</v>
      </c>
      <c r="C307" s="12" t="str">
        <f>'2025 actual v budget'!C307</f>
        <v>Virtual Accounts</v>
      </c>
      <c r="D307" s="14">
        <f>'2025 actual v budget'!D307</f>
        <v>19090682.280000001</v>
      </c>
      <c r="E307" s="92">
        <f>SUMIFS('Assumption-Worst'!$C$3:$C$32,'Assumption-Worst'!$A$3:$A$32,$B307,'Assumption-Worst'!$B$3:$B$32,$C307)</f>
        <v>0.1</v>
      </c>
      <c r="F307" s="14">
        <f t="shared" si="28"/>
        <v>20999750.508000001</v>
      </c>
      <c r="G307" s="93">
        <f>SUMIFS('Assumption-Worst'!$D$3:$D$32,'Assumption-Worst'!$A$3:$A$32,$B307,'Assumption-Worst'!$B$3:$B$32,$C307)</f>
        <v>4.4999999999999997E-3</v>
      </c>
      <c r="H307" s="94">
        <f t="shared" si="29"/>
        <v>94498.877286000003</v>
      </c>
      <c r="I307" s="92">
        <f>SUMIFS('Assumption-Worst'!$E$3:$E$32,'Assumption-Worst'!$A$3:$A$32,$B307,'Assumption-Worst'!$B$3:$B$32,$C307)</f>
        <v>0.22</v>
      </c>
      <c r="J307" s="14">
        <f t="shared" si="30"/>
        <v>20789.753002920002</v>
      </c>
      <c r="K307" s="95">
        <f>SUMIFS('Assumption-Worst'!$F$3:$F$32,'Assumption-Worst'!$A$3:$A$32,$B307,'Assumption-Worst'!$B$3:$B$32,$C307)</f>
        <v>6.9999999999999994E-5</v>
      </c>
      <c r="L307" s="14">
        <f t="shared" si="31"/>
        <v>1469.9825355599999</v>
      </c>
      <c r="M307" s="94">
        <f t="shared" si="32"/>
        <v>72239.14174752</v>
      </c>
      <c r="N307" s="92">
        <f>SUMIFS('Assumption-Worst'!$G$3:$G$32,'Assumption-Worst'!$A$3:$A$32,$B307,'Assumption-Worst'!$B$3:$B$32,$C307)</f>
        <v>0.45</v>
      </c>
      <c r="O307" s="14">
        <f t="shared" si="33"/>
        <v>42524.494778700006</v>
      </c>
      <c r="P307" s="94">
        <f t="shared" si="34"/>
        <v>29714.646968819994</v>
      </c>
    </row>
    <row r="308" spans="1:16" x14ac:dyDescent="0.35">
      <c r="A308" s="91" t="str">
        <f>LEFT('2025 actual v budget'!A308,4)&amp;"26"</f>
        <v>Nov-26</v>
      </c>
      <c r="B308" s="12" t="str">
        <f>'2025 actual v budget'!B308</f>
        <v>Germany</v>
      </c>
      <c r="C308" s="12" t="str">
        <f>'2025 actual v budget'!C308</f>
        <v>Cross-border Payouts</v>
      </c>
      <c r="D308" s="14">
        <f>'2025 actual v budget'!D308</f>
        <v>8677006.0500000007</v>
      </c>
      <c r="E308" s="92">
        <f>SUMIFS('Assumption-Worst'!$C$3:$C$32,'Assumption-Worst'!$A$3:$A$32,$B308,'Assumption-Worst'!$B$3:$B$32,$C308)</f>
        <v>0.03</v>
      </c>
      <c r="F308" s="14">
        <f t="shared" si="28"/>
        <v>8937316.2315000016</v>
      </c>
      <c r="G308" s="93">
        <f>SUMIFS('Assumption-Worst'!$D$3:$D$32,'Assumption-Worst'!$A$3:$A$32,$B308,'Assumption-Worst'!$B$3:$B$32,$C308)</f>
        <v>7.4999999999999997E-3</v>
      </c>
      <c r="H308" s="94">
        <f t="shared" si="29"/>
        <v>67029.871736250003</v>
      </c>
      <c r="I308" s="92">
        <f>SUMIFS('Assumption-Worst'!$E$3:$E$32,'Assumption-Worst'!$A$3:$A$32,$B308,'Assumption-Worst'!$B$3:$B$32,$C308)</f>
        <v>0.35</v>
      </c>
      <c r="J308" s="14">
        <f t="shared" si="30"/>
        <v>23460.4551076875</v>
      </c>
      <c r="K308" s="95">
        <f>SUMIFS('Assumption-Worst'!$F$3:$F$32,'Assumption-Worst'!$A$3:$A$32,$B308,'Assumption-Worst'!$B$3:$B$32,$C308)</f>
        <v>1.4999999999999999E-4</v>
      </c>
      <c r="L308" s="14">
        <f t="shared" si="31"/>
        <v>1340.5974347250001</v>
      </c>
      <c r="M308" s="94">
        <f t="shared" si="32"/>
        <v>42228.819193837502</v>
      </c>
      <c r="N308" s="92">
        <f>SUMIFS('Assumption-Worst'!$G$3:$G$32,'Assumption-Worst'!$A$3:$A$32,$B308,'Assumption-Worst'!$B$3:$B$32,$C308)</f>
        <v>0.45</v>
      </c>
      <c r="O308" s="14">
        <f t="shared" si="33"/>
        <v>30163.442281312502</v>
      </c>
      <c r="P308" s="94">
        <f t="shared" si="34"/>
        <v>12065.376912525</v>
      </c>
    </row>
    <row r="309" spans="1:16" x14ac:dyDescent="0.35">
      <c r="A309" s="91" t="str">
        <f>LEFT('2025 actual v budget'!A309,4)&amp;"26"</f>
        <v>Nov-26</v>
      </c>
      <c r="B309" s="12" t="str">
        <f>'2025 actual v budget'!B309</f>
        <v>Germany</v>
      </c>
      <c r="C309" s="12" t="str">
        <f>'2025 actual v budget'!C309</f>
        <v>FX Conversion</v>
      </c>
      <c r="D309" s="14">
        <f>'2025 actual v budget'!D309</f>
        <v>13271351.279999999</v>
      </c>
      <c r="E309" s="92">
        <f>SUMIFS('Assumption-Worst'!$C$3:$C$32,'Assumption-Worst'!$A$3:$A$32,$B309,'Assumption-Worst'!$B$3:$B$32,$C309)</f>
        <v>0.03</v>
      </c>
      <c r="F309" s="14">
        <f t="shared" si="28"/>
        <v>13669491.818399999</v>
      </c>
      <c r="G309" s="93">
        <f>SUMIFS('Assumption-Worst'!$D$3:$D$32,'Assumption-Worst'!$A$3:$A$32,$B309,'Assumption-Worst'!$B$3:$B$32,$C309)</f>
        <v>1.0500000000000001E-2</v>
      </c>
      <c r="H309" s="94">
        <f t="shared" si="29"/>
        <v>143529.6640932</v>
      </c>
      <c r="I309" s="92">
        <f>SUMIFS('Assumption-Worst'!$E$3:$E$32,'Assumption-Worst'!$A$3:$A$32,$B309,'Assumption-Worst'!$B$3:$B$32,$C309)</f>
        <v>0.28000000000000003</v>
      </c>
      <c r="J309" s="14">
        <f t="shared" si="30"/>
        <v>40188.305946096007</v>
      </c>
      <c r="K309" s="95">
        <f>SUMIFS('Assumption-Worst'!$F$3:$F$32,'Assumption-Worst'!$A$3:$A$32,$B309,'Assumption-Worst'!$B$3:$B$32,$C309)</f>
        <v>1.4999999999999999E-4</v>
      </c>
      <c r="L309" s="14">
        <f t="shared" si="31"/>
        <v>2050.4237727599998</v>
      </c>
      <c r="M309" s="94">
        <f t="shared" si="32"/>
        <v>101290.934374344</v>
      </c>
      <c r="N309" s="92">
        <f>SUMIFS('Assumption-Worst'!$G$3:$G$32,'Assumption-Worst'!$A$3:$A$32,$B309,'Assumption-Worst'!$B$3:$B$32,$C309)</f>
        <v>0.45</v>
      </c>
      <c r="O309" s="14">
        <f t="shared" si="33"/>
        <v>64588.348841940002</v>
      </c>
      <c r="P309" s="94">
        <f t="shared" si="34"/>
        <v>36702.585532403995</v>
      </c>
    </row>
    <row r="310" spans="1:16" x14ac:dyDescent="0.35">
      <c r="A310" s="91" t="str">
        <f>LEFT('2025 actual v budget'!A310,4)&amp;"26"</f>
        <v>Nov-26</v>
      </c>
      <c r="B310" s="12" t="str">
        <f>'2025 actual v budget'!B310</f>
        <v>Germany</v>
      </c>
      <c r="C310" s="12" t="str">
        <f>'2025 actual v budget'!C310</f>
        <v>Stablecoin Settlement</v>
      </c>
      <c r="D310" s="14">
        <f>'2025 actual v budget'!D310</f>
        <v>21072949.149999999</v>
      </c>
      <c r="E310" s="92">
        <f>SUMIFS('Assumption-Worst'!$C$3:$C$32,'Assumption-Worst'!$A$3:$A$32,$B310,'Assumption-Worst'!$B$3:$B$32,$C310)</f>
        <v>0.06</v>
      </c>
      <c r="F310" s="14">
        <f t="shared" si="28"/>
        <v>22337326.098999999</v>
      </c>
      <c r="G310" s="93">
        <f>SUMIFS('Assumption-Worst'!$D$3:$D$32,'Assumption-Worst'!$A$3:$A$32,$B310,'Assumption-Worst'!$B$3:$B$32,$C310)</f>
        <v>6.4999999999999997E-3</v>
      </c>
      <c r="H310" s="94">
        <f t="shared" si="29"/>
        <v>145192.61964349999</v>
      </c>
      <c r="I310" s="92">
        <f>SUMIFS('Assumption-Worst'!$E$3:$E$32,'Assumption-Worst'!$A$3:$A$32,$B310,'Assumption-Worst'!$B$3:$B$32,$C310)</f>
        <v>0.32</v>
      </c>
      <c r="J310" s="14">
        <f t="shared" si="30"/>
        <v>46461.638285919995</v>
      </c>
      <c r="K310" s="95">
        <f>SUMIFS('Assumption-Worst'!$F$3:$F$32,'Assumption-Worst'!$A$3:$A$32,$B310,'Assumption-Worst'!$B$3:$B$32,$C310)</f>
        <v>1.4999999999999999E-4</v>
      </c>
      <c r="L310" s="14">
        <f t="shared" si="31"/>
        <v>3350.5989148499998</v>
      </c>
      <c r="M310" s="94">
        <f t="shared" si="32"/>
        <v>95380.382442729999</v>
      </c>
      <c r="N310" s="92">
        <f>SUMIFS('Assumption-Worst'!$G$3:$G$32,'Assumption-Worst'!$A$3:$A$32,$B310,'Assumption-Worst'!$B$3:$B$32,$C310)</f>
        <v>0.45</v>
      </c>
      <c r="O310" s="14">
        <f t="shared" si="33"/>
        <v>65336.678839574997</v>
      </c>
      <c r="P310" s="94">
        <f t="shared" si="34"/>
        <v>30043.703603155001</v>
      </c>
    </row>
    <row r="311" spans="1:16" x14ac:dyDescent="0.35">
      <c r="A311" s="91" t="str">
        <f>LEFT('2025 actual v budget'!A311,4)&amp;"26"</f>
        <v>Nov-26</v>
      </c>
      <c r="B311" s="12" t="str">
        <f>'2025 actual v budget'!B311</f>
        <v>Germany</v>
      </c>
      <c r="C311" s="12" t="str">
        <f>'2025 actual v budget'!C311</f>
        <v>Treasury Yield</v>
      </c>
      <c r="D311" s="14">
        <f>'2025 actual v budget'!D311</f>
        <v>5523052.0199999996</v>
      </c>
      <c r="E311" s="92">
        <f>SUMIFS('Assumption-Worst'!$C$3:$C$32,'Assumption-Worst'!$A$3:$A$32,$B311,'Assumption-Worst'!$B$3:$B$32,$C311)</f>
        <v>0.03</v>
      </c>
      <c r="F311" s="14">
        <f t="shared" si="28"/>
        <v>5688743.5806</v>
      </c>
      <c r="G311" s="93">
        <f>SUMIFS('Assumption-Worst'!$D$3:$D$32,'Assumption-Worst'!$A$3:$A$32,$B311,'Assumption-Worst'!$B$3:$B$32,$C311)</f>
        <v>3.0000000000000001E-3</v>
      </c>
      <c r="H311" s="94">
        <f t="shared" si="29"/>
        <v>17066.230741800002</v>
      </c>
      <c r="I311" s="92">
        <f>SUMIFS('Assumption-Worst'!$E$3:$E$32,'Assumption-Worst'!$A$3:$A$32,$B311,'Assumption-Worst'!$B$3:$B$32,$C311)</f>
        <v>0.18</v>
      </c>
      <c r="J311" s="14">
        <f t="shared" si="30"/>
        <v>3071.9215335240001</v>
      </c>
      <c r="K311" s="95">
        <f>SUMIFS('Assumption-Worst'!$F$3:$F$32,'Assumption-Worst'!$A$3:$A$32,$B311,'Assumption-Worst'!$B$3:$B$32,$C311)</f>
        <v>1.4999999999999999E-4</v>
      </c>
      <c r="L311" s="14">
        <f t="shared" si="31"/>
        <v>853.31153708999989</v>
      </c>
      <c r="M311" s="94">
        <f t="shared" si="32"/>
        <v>13140.997671186002</v>
      </c>
      <c r="N311" s="92">
        <f>SUMIFS('Assumption-Worst'!$G$3:$G$32,'Assumption-Worst'!$A$3:$A$32,$B311,'Assumption-Worst'!$B$3:$B$32,$C311)</f>
        <v>0.45</v>
      </c>
      <c r="O311" s="14">
        <f t="shared" si="33"/>
        <v>7679.8038338100014</v>
      </c>
      <c r="P311" s="94">
        <f t="shared" si="34"/>
        <v>5461.1938373760004</v>
      </c>
    </row>
    <row r="312" spans="1:16" x14ac:dyDescent="0.35">
      <c r="A312" s="91" t="str">
        <f>LEFT('2025 actual v budget'!A312,4)&amp;"26"</f>
        <v>Nov-26</v>
      </c>
      <c r="B312" s="12" t="str">
        <f>'2025 actual v budget'!B312</f>
        <v>Germany</v>
      </c>
      <c r="C312" s="12" t="str">
        <f>'2025 actual v budget'!C312</f>
        <v>Virtual Accounts</v>
      </c>
      <c r="D312" s="14">
        <f>'2025 actual v budget'!D312</f>
        <v>8566072.5199999996</v>
      </c>
      <c r="E312" s="92">
        <f>SUMIFS('Assumption-Worst'!$C$3:$C$32,'Assumption-Worst'!$A$3:$A$32,$B312,'Assumption-Worst'!$B$3:$B$32,$C312)</f>
        <v>0.03</v>
      </c>
      <c r="F312" s="14">
        <f t="shared" si="28"/>
        <v>8823054.6955999993</v>
      </c>
      <c r="G312" s="93">
        <f>SUMIFS('Assumption-Worst'!$D$3:$D$32,'Assumption-Worst'!$A$3:$A$32,$B312,'Assumption-Worst'!$B$3:$B$32,$C312)</f>
        <v>4.4999999999999997E-3</v>
      </c>
      <c r="H312" s="94">
        <f t="shared" si="29"/>
        <v>39703.746130199994</v>
      </c>
      <c r="I312" s="92">
        <f>SUMIFS('Assumption-Worst'!$E$3:$E$32,'Assumption-Worst'!$A$3:$A$32,$B312,'Assumption-Worst'!$B$3:$B$32,$C312)</f>
        <v>0.22</v>
      </c>
      <c r="J312" s="14">
        <f t="shared" si="30"/>
        <v>8734.8241486439983</v>
      </c>
      <c r="K312" s="95">
        <f>SUMIFS('Assumption-Worst'!$F$3:$F$32,'Assumption-Worst'!$A$3:$A$32,$B312,'Assumption-Worst'!$B$3:$B$32,$C312)</f>
        <v>1.4999999999999999E-4</v>
      </c>
      <c r="L312" s="14">
        <f t="shared" si="31"/>
        <v>1323.4582043399998</v>
      </c>
      <c r="M312" s="94">
        <f t="shared" si="32"/>
        <v>29645.463777215995</v>
      </c>
      <c r="N312" s="92">
        <f>SUMIFS('Assumption-Worst'!$G$3:$G$32,'Assumption-Worst'!$A$3:$A$32,$B312,'Assumption-Worst'!$B$3:$B$32,$C312)</f>
        <v>0.45</v>
      </c>
      <c r="O312" s="14">
        <f t="shared" si="33"/>
        <v>17866.685758589996</v>
      </c>
      <c r="P312" s="94">
        <f t="shared" si="34"/>
        <v>11778.778018625999</v>
      </c>
    </row>
    <row r="313" spans="1:16" x14ac:dyDescent="0.35">
      <c r="A313" s="91" t="str">
        <f>LEFT('2025 actual v budget'!A313,4)&amp;"26"</f>
        <v>Nov-26</v>
      </c>
      <c r="B313" s="12" t="str">
        <f>'2025 actual v budget'!B313</f>
        <v>India</v>
      </c>
      <c r="C313" s="12" t="str">
        <f>'2025 actual v budget'!C313</f>
        <v>Cross-border Payouts</v>
      </c>
      <c r="D313" s="14">
        <f>'2025 actual v budget'!D313</f>
        <v>13637053.859999999</v>
      </c>
      <c r="E313" s="92">
        <f>SUMIFS('Assumption-Worst'!$C$3:$C$32,'Assumption-Worst'!$A$3:$A$32,$B313,'Assumption-Worst'!$B$3:$B$32,$C313)</f>
        <v>0.06</v>
      </c>
      <c r="F313" s="14">
        <f t="shared" si="28"/>
        <v>14455277.091600001</v>
      </c>
      <c r="G313" s="93">
        <f>SUMIFS('Assumption-Worst'!$D$3:$D$32,'Assumption-Worst'!$A$3:$A$32,$B313,'Assumption-Worst'!$B$3:$B$32,$C313)</f>
        <v>7.4999999999999997E-3</v>
      </c>
      <c r="H313" s="94">
        <f t="shared" si="29"/>
        <v>108414.57818700001</v>
      </c>
      <c r="I313" s="92">
        <f>SUMIFS('Assumption-Worst'!$E$3:$E$32,'Assumption-Worst'!$A$3:$A$32,$B313,'Assumption-Worst'!$B$3:$B$32,$C313)</f>
        <v>0.35</v>
      </c>
      <c r="J313" s="14">
        <f t="shared" si="30"/>
        <v>37945.102365450002</v>
      </c>
      <c r="K313" s="95">
        <f>SUMIFS('Assumption-Worst'!$F$3:$F$32,'Assumption-Worst'!$A$3:$A$32,$B313,'Assumption-Worst'!$B$3:$B$32,$C313)</f>
        <v>1.8000000000000001E-4</v>
      </c>
      <c r="L313" s="14">
        <f t="shared" si="31"/>
        <v>2601.9498764880004</v>
      </c>
      <c r="M313" s="94">
        <f t="shared" si="32"/>
        <v>67867.525945062007</v>
      </c>
      <c r="N313" s="92">
        <f>SUMIFS('Assumption-Worst'!$G$3:$G$32,'Assumption-Worst'!$A$3:$A$32,$B313,'Assumption-Worst'!$B$3:$B$32,$C313)</f>
        <v>0.45</v>
      </c>
      <c r="O313" s="14">
        <f t="shared" si="33"/>
        <v>48786.560184150003</v>
      </c>
      <c r="P313" s="94">
        <f t="shared" si="34"/>
        <v>19080.965760912004</v>
      </c>
    </row>
    <row r="314" spans="1:16" x14ac:dyDescent="0.35">
      <c r="A314" s="91" t="str">
        <f>LEFT('2025 actual v budget'!A314,4)&amp;"26"</f>
        <v>Nov-26</v>
      </c>
      <c r="B314" s="12" t="str">
        <f>'2025 actual v budget'!B314</f>
        <v>India</v>
      </c>
      <c r="C314" s="12" t="str">
        <f>'2025 actual v budget'!C314</f>
        <v>FX Conversion</v>
      </c>
      <c r="D314" s="14">
        <f>'2025 actual v budget'!D314</f>
        <v>20885671.640000001</v>
      </c>
      <c r="E314" s="92">
        <f>SUMIFS('Assumption-Worst'!$C$3:$C$32,'Assumption-Worst'!$A$3:$A$32,$B314,'Assumption-Worst'!$B$3:$B$32,$C314)</f>
        <v>0.06</v>
      </c>
      <c r="F314" s="14">
        <f t="shared" si="28"/>
        <v>22138811.9384</v>
      </c>
      <c r="G314" s="93">
        <f>SUMIFS('Assumption-Worst'!$D$3:$D$32,'Assumption-Worst'!$A$3:$A$32,$B314,'Assumption-Worst'!$B$3:$B$32,$C314)</f>
        <v>1.0500000000000001E-2</v>
      </c>
      <c r="H314" s="94">
        <f t="shared" si="29"/>
        <v>232457.52535320001</v>
      </c>
      <c r="I314" s="92">
        <f>SUMIFS('Assumption-Worst'!$E$3:$E$32,'Assumption-Worst'!$A$3:$A$32,$B314,'Assumption-Worst'!$B$3:$B$32,$C314)</f>
        <v>0.28000000000000003</v>
      </c>
      <c r="J314" s="14">
        <f t="shared" si="30"/>
        <v>65088.107098896005</v>
      </c>
      <c r="K314" s="95">
        <f>SUMIFS('Assumption-Worst'!$F$3:$F$32,'Assumption-Worst'!$A$3:$A$32,$B314,'Assumption-Worst'!$B$3:$B$32,$C314)</f>
        <v>1.8000000000000001E-4</v>
      </c>
      <c r="L314" s="14">
        <f t="shared" si="31"/>
        <v>3984.9861489120003</v>
      </c>
      <c r="M314" s="94">
        <f t="shared" si="32"/>
        <v>163384.43210539201</v>
      </c>
      <c r="N314" s="92">
        <f>SUMIFS('Assumption-Worst'!$G$3:$G$32,'Assumption-Worst'!$A$3:$A$32,$B314,'Assumption-Worst'!$B$3:$B$32,$C314)</f>
        <v>0.45</v>
      </c>
      <c r="O314" s="14">
        <f t="shared" si="33"/>
        <v>104605.88640894</v>
      </c>
      <c r="P314" s="94">
        <f t="shared" si="34"/>
        <v>58778.545696452013</v>
      </c>
    </row>
    <row r="315" spans="1:16" x14ac:dyDescent="0.35">
      <c r="A315" s="91" t="str">
        <f>LEFT('2025 actual v budget'!A315,4)&amp;"26"</f>
        <v>Nov-26</v>
      </c>
      <c r="B315" s="12" t="str">
        <f>'2025 actual v budget'!B315</f>
        <v>India</v>
      </c>
      <c r="C315" s="12" t="str">
        <f>'2025 actual v budget'!C315</f>
        <v>Stablecoin Settlement</v>
      </c>
      <c r="D315" s="14">
        <f>'2025 actual v budget'!D315</f>
        <v>33118905.379999999</v>
      </c>
      <c r="E315" s="92">
        <f>SUMIFS('Assumption-Worst'!$C$3:$C$32,'Assumption-Worst'!$A$3:$A$32,$B315,'Assumption-Worst'!$B$3:$B$32,$C315)</f>
        <v>0.12</v>
      </c>
      <c r="F315" s="14">
        <f t="shared" si="28"/>
        <v>37093174.025600001</v>
      </c>
      <c r="G315" s="93">
        <f>SUMIFS('Assumption-Worst'!$D$3:$D$32,'Assumption-Worst'!$A$3:$A$32,$B315,'Assumption-Worst'!$B$3:$B$32,$C315)</f>
        <v>6.4999999999999997E-3</v>
      </c>
      <c r="H315" s="94">
        <f t="shared" si="29"/>
        <v>241105.63116640001</v>
      </c>
      <c r="I315" s="92">
        <f>SUMIFS('Assumption-Worst'!$E$3:$E$32,'Assumption-Worst'!$A$3:$A$32,$B315,'Assumption-Worst'!$B$3:$B$32,$C315)</f>
        <v>0.32</v>
      </c>
      <c r="J315" s="14">
        <f t="shared" si="30"/>
        <v>77153.801973248002</v>
      </c>
      <c r="K315" s="95">
        <f>SUMIFS('Assumption-Worst'!$F$3:$F$32,'Assumption-Worst'!$A$3:$A$32,$B315,'Assumption-Worst'!$B$3:$B$32,$C315)</f>
        <v>1.8000000000000001E-4</v>
      </c>
      <c r="L315" s="14">
        <f t="shared" si="31"/>
        <v>6676.7713246080002</v>
      </c>
      <c r="M315" s="94">
        <f t="shared" si="32"/>
        <v>157275.05786854401</v>
      </c>
      <c r="N315" s="92">
        <f>SUMIFS('Assumption-Worst'!$G$3:$G$32,'Assumption-Worst'!$A$3:$A$32,$B315,'Assumption-Worst'!$B$3:$B$32,$C315)</f>
        <v>0.45</v>
      </c>
      <c r="O315" s="14">
        <f t="shared" si="33"/>
        <v>108497.53402488001</v>
      </c>
      <c r="P315" s="94">
        <f t="shared" si="34"/>
        <v>48777.523843664007</v>
      </c>
    </row>
    <row r="316" spans="1:16" x14ac:dyDescent="0.35">
      <c r="A316" s="91" t="str">
        <f>LEFT('2025 actual v budget'!A316,4)&amp;"26"</f>
        <v>Nov-26</v>
      </c>
      <c r="B316" s="12" t="str">
        <f>'2025 actual v budget'!B316</f>
        <v>India</v>
      </c>
      <c r="C316" s="12" t="str">
        <f>'2025 actual v budget'!C316</f>
        <v>Treasury Yield</v>
      </c>
      <c r="D316" s="14">
        <f>'2025 actual v budget'!D316</f>
        <v>8691854.2300000004</v>
      </c>
      <c r="E316" s="92">
        <f>SUMIFS('Assumption-Worst'!$C$3:$C$32,'Assumption-Worst'!$A$3:$A$32,$B316,'Assumption-Worst'!$B$3:$B$32,$C316)</f>
        <v>0.06</v>
      </c>
      <c r="F316" s="14">
        <f t="shared" si="28"/>
        <v>9213365.4838000014</v>
      </c>
      <c r="G316" s="93">
        <f>SUMIFS('Assumption-Worst'!$D$3:$D$32,'Assumption-Worst'!$A$3:$A$32,$B316,'Assumption-Worst'!$B$3:$B$32,$C316)</f>
        <v>3.0000000000000001E-3</v>
      </c>
      <c r="H316" s="94">
        <f t="shared" si="29"/>
        <v>27640.096451400004</v>
      </c>
      <c r="I316" s="92">
        <f>SUMIFS('Assumption-Worst'!$E$3:$E$32,'Assumption-Worst'!$A$3:$A$32,$B316,'Assumption-Worst'!$B$3:$B$32,$C316)</f>
        <v>0.18</v>
      </c>
      <c r="J316" s="14">
        <f t="shared" si="30"/>
        <v>4975.217361252001</v>
      </c>
      <c r="K316" s="95">
        <f>SUMIFS('Assumption-Worst'!$F$3:$F$32,'Assumption-Worst'!$A$3:$A$32,$B316,'Assumption-Worst'!$B$3:$B$32,$C316)</f>
        <v>1.8000000000000001E-4</v>
      </c>
      <c r="L316" s="14">
        <f t="shared" si="31"/>
        <v>1658.4057870840004</v>
      </c>
      <c r="M316" s="94">
        <f t="shared" si="32"/>
        <v>21006.473303064002</v>
      </c>
      <c r="N316" s="92">
        <f>SUMIFS('Assumption-Worst'!$G$3:$G$32,'Assumption-Worst'!$A$3:$A$32,$B316,'Assumption-Worst'!$B$3:$B$32,$C316)</f>
        <v>0.45</v>
      </c>
      <c r="O316" s="14">
        <f t="shared" si="33"/>
        <v>12438.043403130003</v>
      </c>
      <c r="P316" s="94">
        <f t="shared" si="34"/>
        <v>8568.429899933999</v>
      </c>
    </row>
    <row r="317" spans="1:16" x14ac:dyDescent="0.35">
      <c r="A317" s="91" t="str">
        <f>LEFT('2025 actual v budget'!A317,4)&amp;"26"</f>
        <v>Nov-26</v>
      </c>
      <c r="B317" s="12" t="str">
        <f>'2025 actual v budget'!B317</f>
        <v>India</v>
      </c>
      <c r="C317" s="12" t="str">
        <f>'2025 actual v budget'!C317</f>
        <v>Virtual Accounts</v>
      </c>
      <c r="D317" s="14">
        <f>'2025 actual v budget'!D317</f>
        <v>13480780.83</v>
      </c>
      <c r="E317" s="92">
        <f>SUMIFS('Assumption-Worst'!$C$3:$C$32,'Assumption-Worst'!$A$3:$A$32,$B317,'Assumption-Worst'!$B$3:$B$32,$C317)</f>
        <v>0.06</v>
      </c>
      <c r="F317" s="14">
        <f t="shared" si="28"/>
        <v>14289627.6798</v>
      </c>
      <c r="G317" s="93">
        <f>SUMIFS('Assumption-Worst'!$D$3:$D$32,'Assumption-Worst'!$A$3:$A$32,$B317,'Assumption-Worst'!$B$3:$B$32,$C317)</f>
        <v>4.4999999999999997E-3</v>
      </c>
      <c r="H317" s="94">
        <f t="shared" si="29"/>
        <v>64303.324559099994</v>
      </c>
      <c r="I317" s="92">
        <f>SUMIFS('Assumption-Worst'!$E$3:$E$32,'Assumption-Worst'!$A$3:$A$32,$B317,'Assumption-Worst'!$B$3:$B$32,$C317)</f>
        <v>0.22</v>
      </c>
      <c r="J317" s="14">
        <f t="shared" si="30"/>
        <v>14146.731403001999</v>
      </c>
      <c r="K317" s="95">
        <f>SUMIFS('Assumption-Worst'!$F$3:$F$32,'Assumption-Worst'!$A$3:$A$32,$B317,'Assumption-Worst'!$B$3:$B$32,$C317)</f>
        <v>1.8000000000000001E-4</v>
      </c>
      <c r="L317" s="14">
        <f t="shared" si="31"/>
        <v>2572.1329823640003</v>
      </c>
      <c r="M317" s="94">
        <f t="shared" si="32"/>
        <v>47584.460173733998</v>
      </c>
      <c r="N317" s="92">
        <f>SUMIFS('Assumption-Worst'!$G$3:$G$32,'Assumption-Worst'!$A$3:$A$32,$B317,'Assumption-Worst'!$B$3:$B$32,$C317)</f>
        <v>0.45</v>
      </c>
      <c r="O317" s="14">
        <f t="shared" si="33"/>
        <v>28936.496051594997</v>
      </c>
      <c r="P317" s="94">
        <f t="shared" si="34"/>
        <v>18647.964122139001</v>
      </c>
    </row>
    <row r="318" spans="1:16" x14ac:dyDescent="0.35">
      <c r="A318" s="91" t="str">
        <f>LEFT('2025 actual v budget'!A318,4)&amp;"26"</f>
        <v>Nov-26</v>
      </c>
      <c r="B318" s="12" t="str">
        <f>'2025 actual v budget'!B318</f>
        <v>Mexico</v>
      </c>
      <c r="C318" s="12" t="str">
        <f>'2025 actual v budget'!C318</f>
        <v>Cross-border Payouts</v>
      </c>
      <c r="D318" s="14">
        <f>'2025 actual v budget'!D318</f>
        <v>15908303.42</v>
      </c>
      <c r="E318" s="92">
        <f>SUMIFS('Assumption-Worst'!$C$3:$C$32,'Assumption-Worst'!$A$3:$A$32,$B318,'Assumption-Worst'!$B$3:$B$32,$C318)</f>
        <v>7.4999999999999997E-2</v>
      </c>
      <c r="F318" s="14">
        <f t="shared" si="28"/>
        <v>17101426.1765</v>
      </c>
      <c r="G318" s="93">
        <f>SUMIFS('Assumption-Worst'!$D$3:$D$32,'Assumption-Worst'!$A$3:$A$32,$B318,'Assumption-Worst'!$B$3:$B$32,$C318)</f>
        <v>7.4999999999999997E-3</v>
      </c>
      <c r="H318" s="94">
        <f t="shared" si="29"/>
        <v>128260.69632375</v>
      </c>
      <c r="I318" s="92">
        <f>SUMIFS('Assumption-Worst'!$E$3:$E$32,'Assumption-Worst'!$A$3:$A$32,$B318,'Assumption-Worst'!$B$3:$B$32,$C318)</f>
        <v>0.35</v>
      </c>
      <c r="J318" s="14">
        <f t="shared" si="30"/>
        <v>44891.243713312499</v>
      </c>
      <c r="K318" s="95">
        <f>SUMIFS('Assumption-Worst'!$F$3:$F$32,'Assumption-Worst'!$A$3:$A$32,$B318,'Assumption-Worst'!$B$3:$B$32,$C318)</f>
        <v>8.0000000000000007E-5</v>
      </c>
      <c r="L318" s="14">
        <f t="shared" si="31"/>
        <v>1368.1140941200001</v>
      </c>
      <c r="M318" s="94">
        <f t="shared" si="32"/>
        <v>82001.338516317497</v>
      </c>
      <c r="N318" s="92">
        <f>SUMIFS('Assumption-Worst'!$G$3:$G$32,'Assumption-Worst'!$A$3:$A$32,$B318,'Assumption-Worst'!$B$3:$B$32,$C318)</f>
        <v>0.45</v>
      </c>
      <c r="O318" s="14">
        <f t="shared" si="33"/>
        <v>57717.3133456875</v>
      </c>
      <c r="P318" s="94">
        <f t="shared" si="34"/>
        <v>24284.025170629997</v>
      </c>
    </row>
    <row r="319" spans="1:16" x14ac:dyDescent="0.35">
      <c r="A319" s="91" t="str">
        <f>LEFT('2025 actual v budget'!A319,4)&amp;"26"</f>
        <v>Nov-26</v>
      </c>
      <c r="B319" s="12" t="str">
        <f>'2025 actual v budget'!B319</f>
        <v>Mexico</v>
      </c>
      <c r="C319" s="12" t="str">
        <f>'2025 actual v budget'!C319</f>
        <v>FX Conversion</v>
      </c>
      <c r="D319" s="14">
        <f>'2025 actual v budget'!D319</f>
        <v>24358857.93</v>
      </c>
      <c r="E319" s="92">
        <f>SUMIFS('Assumption-Worst'!$C$3:$C$32,'Assumption-Worst'!$A$3:$A$32,$B319,'Assumption-Worst'!$B$3:$B$32,$C319)</f>
        <v>7.4999999999999997E-2</v>
      </c>
      <c r="F319" s="14">
        <f t="shared" si="28"/>
        <v>26185772.274749998</v>
      </c>
      <c r="G319" s="93">
        <f>SUMIFS('Assumption-Worst'!$D$3:$D$32,'Assumption-Worst'!$A$3:$A$32,$B319,'Assumption-Worst'!$B$3:$B$32,$C319)</f>
        <v>1.0500000000000001E-2</v>
      </c>
      <c r="H319" s="94">
        <f t="shared" si="29"/>
        <v>274950.60888487502</v>
      </c>
      <c r="I319" s="92">
        <f>SUMIFS('Assumption-Worst'!$E$3:$E$32,'Assumption-Worst'!$A$3:$A$32,$B319,'Assumption-Worst'!$B$3:$B$32,$C319)</f>
        <v>0.28000000000000003</v>
      </c>
      <c r="J319" s="14">
        <f t="shared" si="30"/>
        <v>76986.170487765019</v>
      </c>
      <c r="K319" s="95">
        <f>SUMIFS('Assumption-Worst'!$F$3:$F$32,'Assumption-Worst'!$A$3:$A$32,$B319,'Assumption-Worst'!$B$3:$B$32,$C319)</f>
        <v>8.0000000000000007E-5</v>
      </c>
      <c r="L319" s="14">
        <f t="shared" si="31"/>
        <v>2094.8617819800002</v>
      </c>
      <c r="M319" s="94">
        <f t="shared" si="32"/>
        <v>195869.57661513</v>
      </c>
      <c r="N319" s="92">
        <f>SUMIFS('Assumption-Worst'!$G$3:$G$32,'Assumption-Worst'!$A$3:$A$32,$B319,'Assumption-Worst'!$B$3:$B$32,$C319)</f>
        <v>0.45</v>
      </c>
      <c r="O319" s="14">
        <f t="shared" si="33"/>
        <v>123727.77399819376</v>
      </c>
      <c r="P319" s="94">
        <f t="shared" si="34"/>
        <v>72141.802616936242</v>
      </c>
    </row>
    <row r="320" spans="1:16" x14ac:dyDescent="0.35">
      <c r="A320" s="91" t="str">
        <f>LEFT('2025 actual v budget'!A320,4)&amp;"26"</f>
        <v>Nov-26</v>
      </c>
      <c r="B320" s="12" t="str">
        <f>'2025 actual v budget'!B320</f>
        <v>Mexico</v>
      </c>
      <c r="C320" s="12" t="str">
        <f>'2025 actual v budget'!C320</f>
        <v>Stablecoin Settlement</v>
      </c>
      <c r="D320" s="14">
        <f>'2025 actual v budget'!D320</f>
        <v>38634854.810000002</v>
      </c>
      <c r="E320" s="92">
        <f>SUMIFS('Assumption-Worst'!$C$3:$C$32,'Assumption-Worst'!$A$3:$A$32,$B320,'Assumption-Worst'!$B$3:$B$32,$C320)</f>
        <v>0.15</v>
      </c>
      <c r="F320" s="14">
        <f t="shared" si="28"/>
        <v>44430083.031499997</v>
      </c>
      <c r="G320" s="93">
        <f>SUMIFS('Assumption-Worst'!$D$3:$D$32,'Assumption-Worst'!$A$3:$A$32,$B320,'Assumption-Worst'!$B$3:$B$32,$C320)</f>
        <v>6.4999999999999997E-3</v>
      </c>
      <c r="H320" s="94">
        <f t="shared" si="29"/>
        <v>288795.53970474994</v>
      </c>
      <c r="I320" s="92">
        <f>SUMIFS('Assumption-Worst'!$E$3:$E$32,'Assumption-Worst'!$A$3:$A$32,$B320,'Assumption-Worst'!$B$3:$B$32,$C320)</f>
        <v>0.32</v>
      </c>
      <c r="J320" s="14">
        <f t="shared" si="30"/>
        <v>92414.572705519982</v>
      </c>
      <c r="K320" s="95">
        <f>SUMIFS('Assumption-Worst'!$F$3:$F$32,'Assumption-Worst'!$A$3:$A$32,$B320,'Assumption-Worst'!$B$3:$B$32,$C320)</f>
        <v>8.0000000000000007E-5</v>
      </c>
      <c r="L320" s="14">
        <f t="shared" si="31"/>
        <v>3554.4066425199999</v>
      </c>
      <c r="M320" s="94">
        <f t="shared" si="32"/>
        <v>192826.56035670999</v>
      </c>
      <c r="N320" s="92">
        <f>SUMIFS('Assumption-Worst'!$G$3:$G$32,'Assumption-Worst'!$A$3:$A$32,$B320,'Assumption-Worst'!$B$3:$B$32,$C320)</f>
        <v>0.45</v>
      </c>
      <c r="O320" s="14">
        <f t="shared" si="33"/>
        <v>129957.99286713748</v>
      </c>
      <c r="P320" s="94">
        <f t="shared" si="34"/>
        <v>62868.56748957251</v>
      </c>
    </row>
    <row r="321" spans="1:16" x14ac:dyDescent="0.35">
      <c r="A321" s="91" t="str">
        <f>LEFT('2025 actual v budget'!A321,4)&amp;"26"</f>
        <v>Nov-26</v>
      </c>
      <c r="B321" s="12" t="str">
        <f>'2025 actual v budget'!B321</f>
        <v>Mexico</v>
      </c>
      <c r="C321" s="12" t="str">
        <f>'2025 actual v budget'!C321</f>
        <v>Treasury Yield</v>
      </c>
      <c r="D321" s="14">
        <f>'2025 actual v budget'!D321</f>
        <v>10137267.6</v>
      </c>
      <c r="E321" s="92">
        <f>SUMIFS('Assumption-Worst'!$C$3:$C$32,'Assumption-Worst'!$A$3:$A$32,$B321,'Assumption-Worst'!$B$3:$B$32,$C321)</f>
        <v>7.4999999999999997E-2</v>
      </c>
      <c r="F321" s="14">
        <f t="shared" si="28"/>
        <v>10897562.67</v>
      </c>
      <c r="G321" s="93">
        <f>SUMIFS('Assumption-Worst'!$D$3:$D$32,'Assumption-Worst'!$A$3:$A$32,$B321,'Assumption-Worst'!$B$3:$B$32,$C321)</f>
        <v>3.0000000000000001E-3</v>
      </c>
      <c r="H321" s="94">
        <f t="shared" si="29"/>
        <v>32692.688010000002</v>
      </c>
      <c r="I321" s="92">
        <f>SUMIFS('Assumption-Worst'!$E$3:$E$32,'Assumption-Worst'!$A$3:$A$32,$B321,'Assumption-Worst'!$B$3:$B$32,$C321)</f>
        <v>0.18</v>
      </c>
      <c r="J321" s="14">
        <f t="shared" si="30"/>
        <v>5884.6838417999998</v>
      </c>
      <c r="K321" s="95">
        <f>SUMIFS('Assumption-Worst'!$F$3:$F$32,'Assumption-Worst'!$A$3:$A$32,$B321,'Assumption-Worst'!$B$3:$B$32,$C321)</f>
        <v>8.0000000000000007E-5</v>
      </c>
      <c r="L321" s="14">
        <f t="shared" si="31"/>
        <v>871.80501360000005</v>
      </c>
      <c r="M321" s="94">
        <f t="shared" si="32"/>
        <v>25936.199154600003</v>
      </c>
      <c r="N321" s="92">
        <f>SUMIFS('Assumption-Worst'!$G$3:$G$32,'Assumption-Worst'!$A$3:$A$32,$B321,'Assumption-Worst'!$B$3:$B$32,$C321)</f>
        <v>0.45</v>
      </c>
      <c r="O321" s="14">
        <f t="shared" si="33"/>
        <v>14711.709604500002</v>
      </c>
      <c r="P321" s="94">
        <f t="shared" si="34"/>
        <v>11224.489550100001</v>
      </c>
    </row>
    <row r="322" spans="1:16" x14ac:dyDescent="0.35">
      <c r="A322" s="91" t="str">
        <f>LEFT('2025 actual v budget'!A322,4)&amp;"26"</f>
        <v>Nov-26</v>
      </c>
      <c r="B322" s="12" t="str">
        <f>'2025 actual v budget'!B322</f>
        <v>Mexico</v>
      </c>
      <c r="C322" s="12" t="str">
        <f>'2025 actual v budget'!C322</f>
        <v>Virtual Accounts</v>
      </c>
      <c r="D322" s="14">
        <f>'2025 actual v budget'!D322</f>
        <v>15722569.550000001</v>
      </c>
      <c r="E322" s="92">
        <f>SUMIFS('Assumption-Worst'!$C$3:$C$32,'Assumption-Worst'!$A$3:$A$32,$B322,'Assumption-Worst'!$B$3:$B$32,$C322)</f>
        <v>7.4999999999999997E-2</v>
      </c>
      <c r="F322" s="14">
        <f t="shared" si="28"/>
        <v>16901762.266249999</v>
      </c>
      <c r="G322" s="93">
        <f>SUMIFS('Assumption-Worst'!$D$3:$D$32,'Assumption-Worst'!$A$3:$A$32,$B322,'Assumption-Worst'!$B$3:$B$32,$C322)</f>
        <v>4.4999999999999997E-3</v>
      </c>
      <c r="H322" s="94">
        <f t="shared" si="29"/>
        <v>76057.930198124988</v>
      </c>
      <c r="I322" s="92">
        <f>SUMIFS('Assumption-Worst'!$E$3:$E$32,'Assumption-Worst'!$A$3:$A$32,$B322,'Assumption-Worst'!$B$3:$B$32,$C322)</f>
        <v>0.22</v>
      </c>
      <c r="J322" s="14">
        <f t="shared" si="30"/>
        <v>16732.744643587499</v>
      </c>
      <c r="K322" s="95">
        <f>SUMIFS('Assumption-Worst'!$F$3:$F$32,'Assumption-Worst'!$A$3:$A$32,$B322,'Assumption-Worst'!$B$3:$B$32,$C322)</f>
        <v>8.0000000000000007E-5</v>
      </c>
      <c r="L322" s="14">
        <f t="shared" si="31"/>
        <v>1352.1409813</v>
      </c>
      <c r="M322" s="94">
        <f t="shared" si="32"/>
        <v>57973.044573237486</v>
      </c>
      <c r="N322" s="92">
        <f>SUMIFS('Assumption-Worst'!$G$3:$G$32,'Assumption-Worst'!$A$3:$A$32,$B322,'Assumption-Worst'!$B$3:$B$32,$C322)</f>
        <v>0.45</v>
      </c>
      <c r="O322" s="14">
        <f t="shared" si="33"/>
        <v>34226.068589156246</v>
      </c>
      <c r="P322" s="94">
        <f t="shared" si="34"/>
        <v>23746.97598408124</v>
      </c>
    </row>
    <row r="323" spans="1:16" x14ac:dyDescent="0.35">
      <c r="A323" s="91" t="str">
        <f>LEFT('2025 actual v budget'!A323,4)&amp;"26"</f>
        <v>Nov-26</v>
      </c>
      <c r="B323" s="12" t="str">
        <f>'2025 actual v budget'!B323</f>
        <v>Singapore</v>
      </c>
      <c r="C323" s="12" t="str">
        <f>'2025 actual v budget'!C323</f>
        <v>Cross-border Payouts</v>
      </c>
      <c r="D323" s="14">
        <f>'2025 actual v budget'!D323</f>
        <v>12055611.189999999</v>
      </c>
      <c r="E323" s="92">
        <f>SUMIFS('Assumption-Worst'!$C$3:$C$32,'Assumption-Worst'!$A$3:$A$32,$B323,'Assumption-Worst'!$B$3:$B$32,$C323)</f>
        <v>2.5000000000000001E-2</v>
      </c>
      <c r="F323" s="14">
        <f t="shared" ref="F323:F386" si="35">D323*(1+E323)</f>
        <v>12357001.469749998</v>
      </c>
      <c r="G323" s="93">
        <f>SUMIFS('Assumption-Worst'!$D$3:$D$32,'Assumption-Worst'!$A$3:$A$32,$B323,'Assumption-Worst'!$B$3:$B$32,$C323)</f>
        <v>7.4999999999999997E-3</v>
      </c>
      <c r="H323" s="94">
        <f t="shared" ref="H323:H386" si="36">F323*G323</f>
        <v>92677.511023124986</v>
      </c>
      <c r="I323" s="92">
        <f>SUMIFS('Assumption-Worst'!$E$3:$E$32,'Assumption-Worst'!$A$3:$A$32,$B323,'Assumption-Worst'!$B$3:$B$32,$C323)</f>
        <v>0.35</v>
      </c>
      <c r="J323" s="14">
        <f t="shared" ref="J323:J386" si="37">H323*I323</f>
        <v>32437.128858093743</v>
      </c>
      <c r="K323" s="95">
        <f>SUMIFS('Assumption-Worst'!$F$3:$F$32,'Assumption-Worst'!$A$3:$A$32,$B323,'Assumption-Worst'!$B$3:$B$32,$C323)</f>
        <v>9.0000000000000006E-5</v>
      </c>
      <c r="L323" s="14">
        <f t="shared" ref="L323:L386" si="38">F323*K323</f>
        <v>1112.1301322775</v>
      </c>
      <c r="M323" s="94">
        <f t="shared" ref="M323:M386" si="39">H323-J323-L323</f>
        <v>59128.252032753742</v>
      </c>
      <c r="N323" s="92">
        <f>SUMIFS('Assumption-Worst'!$G$3:$G$32,'Assumption-Worst'!$A$3:$A$32,$B323,'Assumption-Worst'!$B$3:$B$32,$C323)</f>
        <v>0.45</v>
      </c>
      <c r="O323" s="14">
        <f t="shared" ref="O323:O386" si="40">H323*N323</f>
        <v>41704.879960406244</v>
      </c>
      <c r="P323" s="94">
        <f t="shared" ref="P323:P386" si="41">M323-O323</f>
        <v>17423.372072347498</v>
      </c>
    </row>
    <row r="324" spans="1:16" x14ac:dyDescent="0.35">
      <c r="A324" s="91" t="str">
        <f>LEFT('2025 actual v budget'!A324,4)&amp;"26"</f>
        <v>Nov-26</v>
      </c>
      <c r="B324" s="12" t="str">
        <f>'2025 actual v budget'!B324</f>
        <v>Singapore</v>
      </c>
      <c r="C324" s="12" t="str">
        <f>'2025 actual v budget'!C324</f>
        <v>FX Conversion</v>
      </c>
      <c r="D324" s="14">
        <f>'2025 actual v budget'!D324</f>
        <v>18447281.850000001</v>
      </c>
      <c r="E324" s="92">
        <f>SUMIFS('Assumption-Worst'!$C$3:$C$32,'Assumption-Worst'!$A$3:$A$32,$B324,'Assumption-Worst'!$B$3:$B$32,$C324)</f>
        <v>2.5000000000000001E-2</v>
      </c>
      <c r="F324" s="14">
        <f t="shared" si="35"/>
        <v>18908463.896249998</v>
      </c>
      <c r="G324" s="93">
        <f>SUMIFS('Assumption-Worst'!$D$3:$D$32,'Assumption-Worst'!$A$3:$A$32,$B324,'Assumption-Worst'!$B$3:$B$32,$C324)</f>
        <v>1.0500000000000001E-2</v>
      </c>
      <c r="H324" s="94">
        <f t="shared" si="36"/>
        <v>198538.870910625</v>
      </c>
      <c r="I324" s="92">
        <f>SUMIFS('Assumption-Worst'!$E$3:$E$32,'Assumption-Worst'!$A$3:$A$32,$B324,'Assumption-Worst'!$B$3:$B$32,$C324)</f>
        <v>0.28000000000000003</v>
      </c>
      <c r="J324" s="14">
        <f t="shared" si="37"/>
        <v>55590.883854975007</v>
      </c>
      <c r="K324" s="95">
        <f>SUMIFS('Assumption-Worst'!$F$3:$F$32,'Assumption-Worst'!$A$3:$A$32,$B324,'Assumption-Worst'!$B$3:$B$32,$C324)</f>
        <v>9.0000000000000006E-5</v>
      </c>
      <c r="L324" s="14">
        <f t="shared" si="38"/>
        <v>1701.7617506624999</v>
      </c>
      <c r="M324" s="94">
        <f t="shared" si="39"/>
        <v>141246.22530498749</v>
      </c>
      <c r="N324" s="92">
        <f>SUMIFS('Assumption-Worst'!$G$3:$G$32,'Assumption-Worst'!$A$3:$A$32,$B324,'Assumption-Worst'!$B$3:$B$32,$C324)</f>
        <v>0.45</v>
      </c>
      <c r="O324" s="14">
        <f t="shared" si="40"/>
        <v>89342.491909781253</v>
      </c>
      <c r="P324" s="94">
        <f t="shared" si="41"/>
        <v>51903.733395206233</v>
      </c>
    </row>
    <row r="325" spans="1:16" x14ac:dyDescent="0.35">
      <c r="A325" s="91" t="str">
        <f>LEFT('2025 actual v budget'!A325,4)&amp;"26"</f>
        <v>Nov-26</v>
      </c>
      <c r="B325" s="12" t="str">
        <f>'2025 actual v budget'!B325</f>
        <v>Singapore</v>
      </c>
      <c r="C325" s="12" t="str">
        <f>'2025 actual v budget'!C325</f>
        <v>Stablecoin Settlement</v>
      </c>
      <c r="D325" s="14">
        <f>'2025 actual v budget'!D325</f>
        <v>29278218.789999999</v>
      </c>
      <c r="E325" s="92">
        <f>SUMIFS('Assumption-Worst'!$C$3:$C$32,'Assumption-Worst'!$A$3:$A$32,$B325,'Assumption-Worst'!$B$3:$B$32,$C325)</f>
        <v>0.05</v>
      </c>
      <c r="F325" s="14">
        <f t="shared" si="35"/>
        <v>30742129.729499999</v>
      </c>
      <c r="G325" s="93">
        <f>SUMIFS('Assumption-Worst'!$D$3:$D$32,'Assumption-Worst'!$A$3:$A$32,$B325,'Assumption-Worst'!$B$3:$B$32,$C325)</f>
        <v>6.4999999999999997E-3</v>
      </c>
      <c r="H325" s="94">
        <f t="shared" si="36"/>
        <v>199823.84324175</v>
      </c>
      <c r="I325" s="92">
        <f>SUMIFS('Assumption-Worst'!$E$3:$E$32,'Assumption-Worst'!$A$3:$A$32,$B325,'Assumption-Worst'!$B$3:$B$32,$C325)</f>
        <v>0.32</v>
      </c>
      <c r="J325" s="14">
        <f t="shared" si="37"/>
        <v>63943.62983736</v>
      </c>
      <c r="K325" s="95">
        <f>SUMIFS('Assumption-Worst'!$F$3:$F$32,'Assumption-Worst'!$A$3:$A$32,$B325,'Assumption-Worst'!$B$3:$B$32,$C325)</f>
        <v>9.0000000000000006E-5</v>
      </c>
      <c r="L325" s="14">
        <f t="shared" si="38"/>
        <v>2766.7916756550003</v>
      </c>
      <c r="M325" s="94">
        <f t="shared" si="39"/>
        <v>133113.421728735</v>
      </c>
      <c r="N325" s="92">
        <f>SUMIFS('Assumption-Worst'!$G$3:$G$32,'Assumption-Worst'!$A$3:$A$32,$B325,'Assumption-Worst'!$B$3:$B$32,$C325)</f>
        <v>0.45</v>
      </c>
      <c r="O325" s="14">
        <f t="shared" si="40"/>
        <v>89920.729458787508</v>
      </c>
      <c r="P325" s="94">
        <f t="shared" si="41"/>
        <v>43192.692269947496</v>
      </c>
    </row>
    <row r="326" spans="1:16" x14ac:dyDescent="0.35">
      <c r="A326" s="91" t="str">
        <f>LEFT('2025 actual v budget'!A326,4)&amp;"26"</f>
        <v>Nov-26</v>
      </c>
      <c r="B326" s="12" t="str">
        <f>'2025 actual v budget'!B326</f>
        <v>Singapore</v>
      </c>
      <c r="C326" s="12" t="str">
        <f>'2025 actual v budget'!C326</f>
        <v>Treasury Yield</v>
      </c>
      <c r="D326" s="14">
        <f>'2025 actual v budget'!D326</f>
        <v>7677085.4000000004</v>
      </c>
      <c r="E326" s="92">
        <f>SUMIFS('Assumption-Worst'!$C$3:$C$32,'Assumption-Worst'!$A$3:$A$32,$B326,'Assumption-Worst'!$B$3:$B$32,$C326)</f>
        <v>2.5000000000000001E-2</v>
      </c>
      <c r="F326" s="14">
        <f t="shared" si="35"/>
        <v>7869012.5350000001</v>
      </c>
      <c r="G326" s="93">
        <f>SUMIFS('Assumption-Worst'!$D$3:$D$32,'Assumption-Worst'!$A$3:$A$32,$B326,'Assumption-Worst'!$B$3:$B$32,$C326)</f>
        <v>3.0000000000000001E-3</v>
      </c>
      <c r="H326" s="94">
        <f t="shared" si="36"/>
        <v>23607.037605000001</v>
      </c>
      <c r="I326" s="92">
        <f>SUMIFS('Assumption-Worst'!$E$3:$E$32,'Assumption-Worst'!$A$3:$A$32,$B326,'Assumption-Worst'!$B$3:$B$32,$C326)</f>
        <v>0.18</v>
      </c>
      <c r="J326" s="14">
        <f t="shared" si="37"/>
        <v>4249.2667689</v>
      </c>
      <c r="K326" s="95">
        <f>SUMIFS('Assumption-Worst'!$F$3:$F$32,'Assumption-Worst'!$A$3:$A$32,$B326,'Assumption-Worst'!$B$3:$B$32,$C326)</f>
        <v>9.0000000000000006E-5</v>
      </c>
      <c r="L326" s="14">
        <f t="shared" si="38"/>
        <v>708.21112815000004</v>
      </c>
      <c r="M326" s="94">
        <f t="shared" si="39"/>
        <v>18649.55970795</v>
      </c>
      <c r="N326" s="92">
        <f>SUMIFS('Assumption-Worst'!$G$3:$G$32,'Assumption-Worst'!$A$3:$A$32,$B326,'Assumption-Worst'!$B$3:$B$32,$C326)</f>
        <v>0.45</v>
      </c>
      <c r="O326" s="14">
        <f t="shared" si="40"/>
        <v>10623.16692225</v>
      </c>
      <c r="P326" s="94">
        <f t="shared" si="41"/>
        <v>8026.3927856999999</v>
      </c>
    </row>
    <row r="327" spans="1:16" x14ac:dyDescent="0.35">
      <c r="A327" s="91" t="str">
        <f>LEFT('2025 actual v budget'!A327,4)&amp;"26"</f>
        <v>Nov-26</v>
      </c>
      <c r="B327" s="12" t="str">
        <f>'2025 actual v budget'!B327</f>
        <v>Singapore</v>
      </c>
      <c r="C327" s="12" t="str">
        <f>'2025 actual v budget'!C327</f>
        <v>Virtual Accounts</v>
      </c>
      <c r="D327" s="14">
        <f>'2025 actual v budget'!D327</f>
        <v>11906907.65</v>
      </c>
      <c r="E327" s="92">
        <f>SUMIFS('Assumption-Worst'!$C$3:$C$32,'Assumption-Worst'!$A$3:$A$32,$B327,'Assumption-Worst'!$B$3:$B$32,$C327)</f>
        <v>2.5000000000000001E-2</v>
      </c>
      <c r="F327" s="14">
        <f t="shared" si="35"/>
        <v>12204580.341249999</v>
      </c>
      <c r="G327" s="93">
        <f>SUMIFS('Assumption-Worst'!$D$3:$D$32,'Assumption-Worst'!$A$3:$A$32,$B327,'Assumption-Worst'!$B$3:$B$32,$C327)</f>
        <v>4.4999999999999997E-3</v>
      </c>
      <c r="H327" s="94">
        <f t="shared" si="36"/>
        <v>54920.611535624987</v>
      </c>
      <c r="I327" s="92">
        <f>SUMIFS('Assumption-Worst'!$E$3:$E$32,'Assumption-Worst'!$A$3:$A$32,$B327,'Assumption-Worst'!$B$3:$B$32,$C327)</f>
        <v>0.22</v>
      </c>
      <c r="J327" s="14">
        <f t="shared" si="37"/>
        <v>12082.534537837497</v>
      </c>
      <c r="K327" s="95">
        <f>SUMIFS('Assumption-Worst'!$F$3:$F$32,'Assumption-Worst'!$A$3:$A$32,$B327,'Assumption-Worst'!$B$3:$B$32,$C327)</f>
        <v>9.0000000000000006E-5</v>
      </c>
      <c r="L327" s="14">
        <f t="shared" si="38"/>
        <v>1098.4122307124999</v>
      </c>
      <c r="M327" s="94">
        <f t="shared" si="39"/>
        <v>41739.664767074988</v>
      </c>
      <c r="N327" s="92">
        <f>SUMIFS('Assumption-Worst'!$G$3:$G$32,'Assumption-Worst'!$A$3:$A$32,$B327,'Assumption-Worst'!$B$3:$B$32,$C327)</f>
        <v>0.45</v>
      </c>
      <c r="O327" s="14">
        <f t="shared" si="40"/>
        <v>24714.275191031244</v>
      </c>
      <c r="P327" s="94">
        <f t="shared" si="41"/>
        <v>17025.389576043744</v>
      </c>
    </row>
    <row r="328" spans="1:16" x14ac:dyDescent="0.35">
      <c r="A328" s="91" t="str">
        <f>LEFT('2025 actual v budget'!A328,4)&amp;"26"</f>
        <v>Nov-26</v>
      </c>
      <c r="B328" s="12" t="str">
        <f>'2025 actual v budget'!B328</f>
        <v>USA</v>
      </c>
      <c r="C328" s="12" t="str">
        <f>'2025 actual v budget'!C328</f>
        <v>Cross-border Payouts</v>
      </c>
      <c r="D328" s="14">
        <f>'2025 actual v budget'!D328</f>
        <v>28740719.5</v>
      </c>
      <c r="E328" s="92">
        <f>SUMIFS('Assumption-Worst'!$C$3:$C$32,'Assumption-Worst'!$A$3:$A$32,$B328,'Assumption-Worst'!$B$3:$B$32,$C328)</f>
        <v>0.05</v>
      </c>
      <c r="F328" s="14">
        <f t="shared" si="35"/>
        <v>30177755.475000001</v>
      </c>
      <c r="G328" s="93">
        <f>SUMIFS('Assumption-Worst'!$D$3:$D$32,'Assumption-Worst'!$A$3:$A$32,$B328,'Assumption-Worst'!$B$3:$B$32,$C328)</f>
        <v>7.4999999999999997E-3</v>
      </c>
      <c r="H328" s="94">
        <f t="shared" si="36"/>
        <v>226333.16606250001</v>
      </c>
      <c r="I328" s="92">
        <f>SUMIFS('Assumption-Worst'!$E$3:$E$32,'Assumption-Worst'!$A$3:$A$32,$B328,'Assumption-Worst'!$B$3:$B$32,$C328)</f>
        <v>0.35</v>
      </c>
      <c r="J328" s="14">
        <f t="shared" si="37"/>
        <v>79216.608121875004</v>
      </c>
      <c r="K328" s="95">
        <f>SUMIFS('Assumption-Worst'!$F$3:$F$32,'Assumption-Worst'!$A$3:$A$32,$B328,'Assumption-Worst'!$B$3:$B$32,$C328)</f>
        <v>2.0000000000000001E-4</v>
      </c>
      <c r="L328" s="14">
        <f t="shared" si="38"/>
        <v>6035.5510950000007</v>
      </c>
      <c r="M328" s="94">
        <f t="shared" si="39"/>
        <v>141081.006845625</v>
      </c>
      <c r="N328" s="92">
        <f>SUMIFS('Assumption-Worst'!$G$3:$G$32,'Assumption-Worst'!$A$3:$A$32,$B328,'Assumption-Worst'!$B$3:$B$32,$C328)</f>
        <v>0.45</v>
      </c>
      <c r="O328" s="14">
        <f t="shared" si="40"/>
        <v>101849.924728125</v>
      </c>
      <c r="P328" s="94">
        <f t="shared" si="41"/>
        <v>39231.082117500002</v>
      </c>
    </row>
    <row r="329" spans="1:16" x14ac:dyDescent="0.35">
      <c r="A329" s="91" t="str">
        <f>LEFT('2025 actual v budget'!A329,4)&amp;"26"</f>
        <v>Nov-26</v>
      </c>
      <c r="B329" s="12" t="str">
        <f>'2025 actual v budget'!B329</f>
        <v>USA</v>
      </c>
      <c r="C329" s="12" t="str">
        <f>'2025 actual v budget'!C329</f>
        <v>FX Conversion</v>
      </c>
      <c r="D329" s="14">
        <f>'2025 actual v budget'!D329</f>
        <v>43968566.399999999</v>
      </c>
      <c r="E329" s="92">
        <f>SUMIFS('Assumption-Worst'!$C$3:$C$32,'Assumption-Worst'!$A$3:$A$32,$B329,'Assumption-Worst'!$B$3:$B$32,$C329)</f>
        <v>0.05</v>
      </c>
      <c r="F329" s="14">
        <f t="shared" si="35"/>
        <v>46166994.719999999</v>
      </c>
      <c r="G329" s="93">
        <f>SUMIFS('Assumption-Worst'!$D$3:$D$32,'Assumption-Worst'!$A$3:$A$32,$B329,'Assumption-Worst'!$B$3:$B$32,$C329)</f>
        <v>1.0500000000000001E-2</v>
      </c>
      <c r="H329" s="94">
        <f t="shared" si="36"/>
        <v>484753.44456000003</v>
      </c>
      <c r="I329" s="92">
        <f>SUMIFS('Assumption-Worst'!$E$3:$E$32,'Assumption-Worst'!$A$3:$A$32,$B329,'Assumption-Worst'!$B$3:$B$32,$C329)</f>
        <v>0.28000000000000003</v>
      </c>
      <c r="J329" s="14">
        <f t="shared" si="37"/>
        <v>135730.96447680003</v>
      </c>
      <c r="K329" s="95">
        <f>SUMIFS('Assumption-Worst'!$F$3:$F$32,'Assumption-Worst'!$A$3:$A$32,$B329,'Assumption-Worst'!$B$3:$B$32,$C329)</f>
        <v>2.0000000000000001E-4</v>
      </c>
      <c r="L329" s="14">
        <f t="shared" si="38"/>
        <v>9233.3989440000005</v>
      </c>
      <c r="M329" s="94">
        <f t="shared" si="39"/>
        <v>339789.08113920002</v>
      </c>
      <c r="N329" s="92">
        <f>SUMIFS('Assumption-Worst'!$G$3:$G$32,'Assumption-Worst'!$A$3:$A$32,$B329,'Assumption-Worst'!$B$3:$B$32,$C329)</f>
        <v>0.45</v>
      </c>
      <c r="O329" s="14">
        <f t="shared" si="40"/>
        <v>218139.05005200001</v>
      </c>
      <c r="P329" s="94">
        <f t="shared" si="41"/>
        <v>121650.03108720001</v>
      </c>
    </row>
    <row r="330" spans="1:16" x14ac:dyDescent="0.35">
      <c r="A330" s="91" t="str">
        <f>LEFT('2025 actual v budget'!A330,4)&amp;"26"</f>
        <v>Nov-26</v>
      </c>
      <c r="B330" s="12" t="str">
        <f>'2025 actual v budget'!B330</f>
        <v>USA</v>
      </c>
      <c r="C330" s="12" t="str">
        <f>'2025 actual v budget'!C330</f>
        <v>Stablecoin Settlement</v>
      </c>
      <c r="D330" s="14">
        <f>'2025 actual v budget'!D330</f>
        <v>69799619.450000003</v>
      </c>
      <c r="E330" s="92">
        <f>SUMIFS('Assumption-Worst'!$C$3:$C$32,'Assumption-Worst'!$A$3:$A$32,$B330,'Assumption-Worst'!$B$3:$B$32,$C330)</f>
        <v>0.1</v>
      </c>
      <c r="F330" s="14">
        <f t="shared" si="35"/>
        <v>76779581.395000011</v>
      </c>
      <c r="G330" s="93">
        <f>SUMIFS('Assumption-Worst'!$D$3:$D$32,'Assumption-Worst'!$A$3:$A$32,$B330,'Assumption-Worst'!$B$3:$B$32,$C330)</f>
        <v>6.4999999999999997E-3</v>
      </c>
      <c r="H330" s="94">
        <f t="shared" si="36"/>
        <v>499067.27906750003</v>
      </c>
      <c r="I330" s="92">
        <f>SUMIFS('Assumption-Worst'!$E$3:$E$32,'Assumption-Worst'!$A$3:$A$32,$B330,'Assumption-Worst'!$B$3:$B$32,$C330)</f>
        <v>0.32</v>
      </c>
      <c r="J330" s="14">
        <f t="shared" si="37"/>
        <v>159701.52930160001</v>
      </c>
      <c r="K330" s="95">
        <f>SUMIFS('Assumption-Worst'!$F$3:$F$32,'Assumption-Worst'!$A$3:$A$32,$B330,'Assumption-Worst'!$B$3:$B$32,$C330)</f>
        <v>2.0000000000000001E-4</v>
      </c>
      <c r="L330" s="14">
        <f t="shared" si="38"/>
        <v>15355.916279000003</v>
      </c>
      <c r="M330" s="94">
        <f t="shared" si="39"/>
        <v>324009.83348690002</v>
      </c>
      <c r="N330" s="92">
        <f>SUMIFS('Assumption-Worst'!$G$3:$G$32,'Assumption-Worst'!$A$3:$A$32,$B330,'Assumption-Worst'!$B$3:$B$32,$C330)</f>
        <v>0.45</v>
      </c>
      <c r="O330" s="14">
        <f t="shared" si="40"/>
        <v>224580.27558037502</v>
      </c>
      <c r="P330" s="94">
        <f t="shared" si="41"/>
        <v>99429.557906525006</v>
      </c>
    </row>
    <row r="331" spans="1:16" x14ac:dyDescent="0.35">
      <c r="A331" s="91" t="str">
        <f>LEFT('2025 actual v budget'!A331,4)&amp;"26"</f>
        <v>Nov-26</v>
      </c>
      <c r="B331" s="12" t="str">
        <f>'2025 actual v budget'!B331</f>
        <v>USA</v>
      </c>
      <c r="C331" s="12" t="str">
        <f>'2025 actual v budget'!C331</f>
        <v>Treasury Yield</v>
      </c>
      <c r="D331" s="14">
        <f>'2025 actual v budget'!D331</f>
        <v>18298112.539999999</v>
      </c>
      <c r="E331" s="92">
        <f>SUMIFS('Assumption-Worst'!$C$3:$C$32,'Assumption-Worst'!$A$3:$A$32,$B331,'Assumption-Worst'!$B$3:$B$32,$C331)</f>
        <v>0.05</v>
      </c>
      <c r="F331" s="14">
        <f t="shared" si="35"/>
        <v>19213018.166999999</v>
      </c>
      <c r="G331" s="93">
        <f>SUMIFS('Assumption-Worst'!$D$3:$D$32,'Assumption-Worst'!$A$3:$A$32,$B331,'Assumption-Worst'!$B$3:$B$32,$C331)</f>
        <v>3.0000000000000001E-3</v>
      </c>
      <c r="H331" s="94">
        <f t="shared" si="36"/>
        <v>57639.054500999999</v>
      </c>
      <c r="I331" s="92">
        <f>SUMIFS('Assumption-Worst'!$E$3:$E$32,'Assumption-Worst'!$A$3:$A$32,$B331,'Assumption-Worst'!$B$3:$B$32,$C331)</f>
        <v>0.18</v>
      </c>
      <c r="J331" s="14">
        <f t="shared" si="37"/>
        <v>10375.02981018</v>
      </c>
      <c r="K331" s="95">
        <f>SUMIFS('Assumption-Worst'!$F$3:$F$32,'Assumption-Worst'!$A$3:$A$32,$B331,'Assumption-Worst'!$B$3:$B$32,$C331)</f>
        <v>2.0000000000000001E-4</v>
      </c>
      <c r="L331" s="14">
        <f t="shared" si="38"/>
        <v>3842.6036334</v>
      </c>
      <c r="M331" s="94">
        <f t="shared" si="39"/>
        <v>43421.421057419997</v>
      </c>
      <c r="N331" s="92">
        <f>SUMIFS('Assumption-Worst'!$G$3:$G$32,'Assumption-Worst'!$A$3:$A$32,$B331,'Assumption-Worst'!$B$3:$B$32,$C331)</f>
        <v>0.45</v>
      </c>
      <c r="O331" s="14">
        <f t="shared" si="40"/>
        <v>25937.57452545</v>
      </c>
      <c r="P331" s="94">
        <f t="shared" si="41"/>
        <v>17483.846531969997</v>
      </c>
    </row>
    <row r="332" spans="1:16" x14ac:dyDescent="0.35">
      <c r="A332" s="91" t="str">
        <f>LEFT('2025 actual v budget'!A332,4)&amp;"26"</f>
        <v>Nov-26</v>
      </c>
      <c r="B332" s="12" t="str">
        <f>'2025 actual v budget'!B332</f>
        <v>USA</v>
      </c>
      <c r="C332" s="12" t="str">
        <f>'2025 actual v budget'!C332</f>
        <v>Virtual Accounts</v>
      </c>
      <c r="D332" s="14">
        <f>'2025 actual v budget'!D332</f>
        <v>28379772.379999999</v>
      </c>
      <c r="E332" s="92">
        <f>SUMIFS('Assumption-Worst'!$C$3:$C$32,'Assumption-Worst'!$A$3:$A$32,$B332,'Assumption-Worst'!$B$3:$B$32,$C332)</f>
        <v>0.05</v>
      </c>
      <c r="F332" s="14">
        <f t="shared" si="35"/>
        <v>29798760.999000002</v>
      </c>
      <c r="G332" s="93">
        <f>SUMIFS('Assumption-Worst'!$D$3:$D$32,'Assumption-Worst'!$A$3:$A$32,$B332,'Assumption-Worst'!$B$3:$B$32,$C332)</f>
        <v>4.4999999999999997E-3</v>
      </c>
      <c r="H332" s="94">
        <f t="shared" si="36"/>
        <v>134094.42449549999</v>
      </c>
      <c r="I332" s="92">
        <f>SUMIFS('Assumption-Worst'!$E$3:$E$32,'Assumption-Worst'!$A$3:$A$32,$B332,'Assumption-Worst'!$B$3:$B$32,$C332)</f>
        <v>0.22</v>
      </c>
      <c r="J332" s="14">
        <f t="shared" si="37"/>
        <v>29500.773389009999</v>
      </c>
      <c r="K332" s="95">
        <f>SUMIFS('Assumption-Worst'!$F$3:$F$32,'Assumption-Worst'!$A$3:$A$32,$B332,'Assumption-Worst'!$B$3:$B$32,$C332)</f>
        <v>2.0000000000000001E-4</v>
      </c>
      <c r="L332" s="14">
        <f t="shared" si="38"/>
        <v>5959.7521998000002</v>
      </c>
      <c r="M332" s="94">
        <f t="shared" si="39"/>
        <v>98633.898906689996</v>
      </c>
      <c r="N332" s="92">
        <f>SUMIFS('Assumption-Worst'!$G$3:$G$32,'Assumption-Worst'!$A$3:$A$32,$B332,'Assumption-Worst'!$B$3:$B$32,$C332)</f>
        <v>0.45</v>
      </c>
      <c r="O332" s="14">
        <f t="shared" si="40"/>
        <v>60342.491022974995</v>
      </c>
      <c r="P332" s="94">
        <f t="shared" si="41"/>
        <v>38291.407883715001</v>
      </c>
    </row>
    <row r="333" spans="1:16" x14ac:dyDescent="0.35">
      <c r="A333" s="96" t="str">
        <f>LEFT('2025 actual v budget'!A333,4)&amp;"26"</f>
        <v>Dec-26</v>
      </c>
      <c r="B333" s="17" t="str">
        <f>'2025 actual v budget'!B333</f>
        <v>Brazil</v>
      </c>
      <c r="C333" s="17" t="str">
        <f>'2025 actual v budget'!C333</f>
        <v>Cross-border Payouts</v>
      </c>
      <c r="D333" s="19">
        <f>'2025 actual v budget'!D333</f>
        <v>20821465.899999999</v>
      </c>
      <c r="E333" s="97">
        <f>SUMIFS('Assumption-Worst'!$C$3:$C$32,'Assumption-Worst'!$A$3:$A$32,$B333,'Assumption-Worst'!$B$3:$B$32,$C333)</f>
        <v>0.1</v>
      </c>
      <c r="F333" s="19">
        <f t="shared" si="35"/>
        <v>22903612.489999998</v>
      </c>
      <c r="G333" s="98">
        <f>SUMIFS('Assumption-Worst'!$D$3:$D$32,'Assumption-Worst'!$A$3:$A$32,$B333,'Assumption-Worst'!$B$3:$B$32,$C333)</f>
        <v>7.4999999999999997E-3</v>
      </c>
      <c r="H333" s="99">
        <f t="shared" si="36"/>
        <v>171777.09367499998</v>
      </c>
      <c r="I333" s="97">
        <f>SUMIFS('Assumption-Worst'!$E$3:$E$32,'Assumption-Worst'!$A$3:$A$32,$B333,'Assumption-Worst'!$B$3:$B$32,$C333)</f>
        <v>0.35</v>
      </c>
      <c r="J333" s="19">
        <f t="shared" si="37"/>
        <v>60121.982786249988</v>
      </c>
      <c r="K333" s="100">
        <f>SUMIFS('Assumption-Worst'!$F$3:$F$32,'Assumption-Worst'!$A$3:$A$32,$B333,'Assumption-Worst'!$B$3:$B$32,$C333)</f>
        <v>6.9999999999999994E-5</v>
      </c>
      <c r="L333" s="19">
        <f t="shared" si="38"/>
        <v>1603.2528742999998</v>
      </c>
      <c r="M333" s="99">
        <f t="shared" si="39"/>
        <v>110051.85801445</v>
      </c>
      <c r="N333" s="97">
        <f>SUMIFS('Assumption-Worst'!$G$3:$G$32,'Assumption-Worst'!$A$3:$A$32,$B333,'Assumption-Worst'!$B$3:$B$32,$C333)</f>
        <v>0.45</v>
      </c>
      <c r="O333" s="19">
        <f t="shared" si="40"/>
        <v>77299.692153749987</v>
      </c>
      <c r="P333" s="99">
        <f t="shared" si="41"/>
        <v>32752.165860700014</v>
      </c>
    </row>
    <row r="334" spans="1:16" x14ac:dyDescent="0.35">
      <c r="A334" s="96" t="str">
        <f>LEFT('2025 actual v budget'!A334,4)&amp;"26"</f>
        <v>Dec-26</v>
      </c>
      <c r="B334" s="17" t="str">
        <f>'2025 actual v budget'!B334</f>
        <v>Brazil</v>
      </c>
      <c r="C334" s="17" t="str">
        <f>'2025 actual v budget'!C334</f>
        <v>FX Conversion</v>
      </c>
      <c r="D334" s="19">
        <f>'2025 actual v budget'!D334</f>
        <v>31313812.260000002</v>
      </c>
      <c r="E334" s="97">
        <f>SUMIFS('Assumption-Worst'!$C$3:$C$32,'Assumption-Worst'!$A$3:$A$32,$B334,'Assumption-Worst'!$B$3:$B$32,$C334)</f>
        <v>0.1</v>
      </c>
      <c r="F334" s="19">
        <f t="shared" si="35"/>
        <v>34445193.486000001</v>
      </c>
      <c r="G334" s="98">
        <f>SUMIFS('Assumption-Worst'!$D$3:$D$32,'Assumption-Worst'!$A$3:$A$32,$B334,'Assumption-Worst'!$B$3:$B$32,$C334)</f>
        <v>1.0500000000000001E-2</v>
      </c>
      <c r="H334" s="99">
        <f t="shared" si="36"/>
        <v>361674.53160300001</v>
      </c>
      <c r="I334" s="97">
        <f>SUMIFS('Assumption-Worst'!$E$3:$E$32,'Assumption-Worst'!$A$3:$A$32,$B334,'Assumption-Worst'!$B$3:$B$32,$C334)</f>
        <v>0.28000000000000003</v>
      </c>
      <c r="J334" s="19">
        <f t="shared" si="37"/>
        <v>101268.86884884001</v>
      </c>
      <c r="K334" s="100">
        <f>SUMIFS('Assumption-Worst'!$F$3:$F$32,'Assumption-Worst'!$A$3:$A$32,$B334,'Assumption-Worst'!$B$3:$B$32,$C334)</f>
        <v>6.9999999999999994E-5</v>
      </c>
      <c r="L334" s="19">
        <f t="shared" si="38"/>
        <v>2411.1635440199998</v>
      </c>
      <c r="M334" s="99">
        <f t="shared" si="39"/>
        <v>257994.49921014</v>
      </c>
      <c r="N334" s="97">
        <f>SUMIFS('Assumption-Worst'!$G$3:$G$32,'Assumption-Worst'!$A$3:$A$32,$B334,'Assumption-Worst'!$B$3:$B$32,$C334)</f>
        <v>0.45</v>
      </c>
      <c r="O334" s="19">
        <f t="shared" si="40"/>
        <v>162753.53922135002</v>
      </c>
      <c r="P334" s="99">
        <f t="shared" si="41"/>
        <v>95240.959988789982</v>
      </c>
    </row>
    <row r="335" spans="1:16" x14ac:dyDescent="0.35">
      <c r="A335" s="96" t="str">
        <f>LEFT('2025 actual v budget'!A335,4)&amp;"26"</f>
        <v>Dec-26</v>
      </c>
      <c r="B335" s="17" t="str">
        <f>'2025 actual v budget'!B335</f>
        <v>Brazil</v>
      </c>
      <c r="C335" s="17" t="str">
        <f>'2025 actual v budget'!C335</f>
        <v>Stablecoin Settlement</v>
      </c>
      <c r="D335" s="19">
        <f>'2025 actual v budget'!D335</f>
        <v>50934217.549999997</v>
      </c>
      <c r="E335" s="97">
        <f>SUMIFS('Assumption-Worst'!$C$3:$C$32,'Assumption-Worst'!$A$3:$A$32,$B335,'Assumption-Worst'!$B$3:$B$32,$C335)</f>
        <v>0.2</v>
      </c>
      <c r="F335" s="19">
        <f t="shared" si="35"/>
        <v>61121061.059999995</v>
      </c>
      <c r="G335" s="98">
        <f>SUMIFS('Assumption-Worst'!$D$3:$D$32,'Assumption-Worst'!$A$3:$A$32,$B335,'Assumption-Worst'!$B$3:$B$32,$C335)</f>
        <v>6.4999999999999997E-3</v>
      </c>
      <c r="H335" s="99">
        <f t="shared" si="36"/>
        <v>397286.89688999997</v>
      </c>
      <c r="I335" s="97">
        <f>SUMIFS('Assumption-Worst'!$E$3:$E$32,'Assumption-Worst'!$A$3:$A$32,$B335,'Assumption-Worst'!$B$3:$B$32,$C335)</f>
        <v>0.32</v>
      </c>
      <c r="J335" s="19">
        <f t="shared" si="37"/>
        <v>127131.80700479999</v>
      </c>
      <c r="K335" s="100">
        <f>SUMIFS('Assumption-Worst'!$F$3:$F$32,'Assumption-Worst'!$A$3:$A$32,$B335,'Assumption-Worst'!$B$3:$B$32,$C335)</f>
        <v>6.9999999999999994E-5</v>
      </c>
      <c r="L335" s="19">
        <f t="shared" si="38"/>
        <v>4278.4742741999989</v>
      </c>
      <c r="M335" s="99">
        <f t="shared" si="39"/>
        <v>265876.61561099999</v>
      </c>
      <c r="N335" s="97">
        <f>SUMIFS('Assumption-Worst'!$G$3:$G$32,'Assumption-Worst'!$A$3:$A$32,$B335,'Assumption-Worst'!$B$3:$B$32,$C335)</f>
        <v>0.45</v>
      </c>
      <c r="O335" s="19">
        <f t="shared" si="40"/>
        <v>178779.10360050001</v>
      </c>
      <c r="P335" s="99">
        <f t="shared" si="41"/>
        <v>87097.512010499981</v>
      </c>
    </row>
    <row r="336" spans="1:16" x14ac:dyDescent="0.35">
      <c r="A336" s="96" t="str">
        <f>LEFT('2025 actual v budget'!A336,4)&amp;"26"</f>
        <v>Dec-26</v>
      </c>
      <c r="B336" s="17" t="str">
        <f>'2025 actual v budget'!B336</f>
        <v>Brazil</v>
      </c>
      <c r="C336" s="17" t="str">
        <f>'2025 actual v budget'!C336</f>
        <v>Treasury Yield</v>
      </c>
      <c r="D336" s="19">
        <f>'2025 actual v budget'!D336</f>
        <v>13252915.869999999</v>
      </c>
      <c r="E336" s="97">
        <f>SUMIFS('Assumption-Worst'!$C$3:$C$32,'Assumption-Worst'!$A$3:$A$32,$B336,'Assumption-Worst'!$B$3:$B$32,$C336)</f>
        <v>0.1</v>
      </c>
      <c r="F336" s="19">
        <f t="shared" si="35"/>
        <v>14578207.457</v>
      </c>
      <c r="G336" s="98">
        <f>SUMIFS('Assumption-Worst'!$D$3:$D$32,'Assumption-Worst'!$A$3:$A$32,$B336,'Assumption-Worst'!$B$3:$B$32,$C336)</f>
        <v>3.0000000000000001E-3</v>
      </c>
      <c r="H336" s="99">
        <f t="shared" si="36"/>
        <v>43734.622371000005</v>
      </c>
      <c r="I336" s="97">
        <f>SUMIFS('Assumption-Worst'!$E$3:$E$32,'Assumption-Worst'!$A$3:$A$32,$B336,'Assumption-Worst'!$B$3:$B$32,$C336)</f>
        <v>0.18</v>
      </c>
      <c r="J336" s="19">
        <f t="shared" si="37"/>
        <v>7872.2320267800005</v>
      </c>
      <c r="K336" s="100">
        <f>SUMIFS('Assumption-Worst'!$F$3:$F$32,'Assumption-Worst'!$A$3:$A$32,$B336,'Assumption-Worst'!$B$3:$B$32,$C336)</f>
        <v>6.9999999999999994E-5</v>
      </c>
      <c r="L336" s="19">
        <f t="shared" si="38"/>
        <v>1020.47452199</v>
      </c>
      <c r="M336" s="99">
        <f t="shared" si="39"/>
        <v>34841.915822230003</v>
      </c>
      <c r="N336" s="97">
        <f>SUMIFS('Assumption-Worst'!$G$3:$G$32,'Assumption-Worst'!$A$3:$A$32,$B336,'Assumption-Worst'!$B$3:$B$32,$C336)</f>
        <v>0.45</v>
      </c>
      <c r="O336" s="19">
        <f t="shared" si="40"/>
        <v>19680.580066950002</v>
      </c>
      <c r="P336" s="99">
        <f t="shared" si="41"/>
        <v>15161.335755280001</v>
      </c>
    </row>
    <row r="337" spans="1:16" x14ac:dyDescent="0.35">
      <c r="A337" s="96" t="str">
        <f>LEFT('2025 actual v budget'!A337,4)&amp;"26"</f>
        <v>Dec-26</v>
      </c>
      <c r="B337" s="17" t="str">
        <f>'2025 actual v budget'!B337</f>
        <v>Brazil</v>
      </c>
      <c r="C337" s="17" t="str">
        <f>'2025 actual v budget'!C337</f>
        <v>Virtual Accounts</v>
      </c>
      <c r="D337" s="19">
        <f>'2025 actual v budget'!D337</f>
        <v>20313387.140000001</v>
      </c>
      <c r="E337" s="97">
        <f>SUMIFS('Assumption-Worst'!$C$3:$C$32,'Assumption-Worst'!$A$3:$A$32,$B337,'Assumption-Worst'!$B$3:$B$32,$C337)</f>
        <v>0.1</v>
      </c>
      <c r="F337" s="19">
        <f t="shared" si="35"/>
        <v>22344725.854000002</v>
      </c>
      <c r="G337" s="98">
        <f>SUMIFS('Assumption-Worst'!$D$3:$D$32,'Assumption-Worst'!$A$3:$A$32,$B337,'Assumption-Worst'!$B$3:$B$32,$C337)</f>
        <v>4.4999999999999997E-3</v>
      </c>
      <c r="H337" s="99">
        <f t="shared" si="36"/>
        <v>100551.266343</v>
      </c>
      <c r="I337" s="97">
        <f>SUMIFS('Assumption-Worst'!$E$3:$E$32,'Assumption-Worst'!$A$3:$A$32,$B337,'Assumption-Worst'!$B$3:$B$32,$C337)</f>
        <v>0.22</v>
      </c>
      <c r="J337" s="19">
        <f t="shared" si="37"/>
        <v>22121.27859546</v>
      </c>
      <c r="K337" s="100">
        <f>SUMIFS('Assumption-Worst'!$F$3:$F$32,'Assumption-Worst'!$A$3:$A$32,$B337,'Assumption-Worst'!$B$3:$B$32,$C337)</f>
        <v>6.9999999999999994E-5</v>
      </c>
      <c r="L337" s="19">
        <f t="shared" si="38"/>
        <v>1564.1308097799999</v>
      </c>
      <c r="M337" s="99">
        <f t="shared" si="39"/>
        <v>76865.856937759992</v>
      </c>
      <c r="N337" s="97">
        <f>SUMIFS('Assumption-Worst'!$G$3:$G$32,'Assumption-Worst'!$A$3:$A$32,$B337,'Assumption-Worst'!$B$3:$B$32,$C337)</f>
        <v>0.45</v>
      </c>
      <c r="O337" s="19">
        <f t="shared" si="40"/>
        <v>45248.069854349997</v>
      </c>
      <c r="P337" s="99">
        <f t="shared" si="41"/>
        <v>31617.787083409996</v>
      </c>
    </row>
    <row r="338" spans="1:16" x14ac:dyDescent="0.35">
      <c r="A338" s="96" t="str">
        <f>LEFT('2025 actual v budget'!A338,4)&amp;"26"</f>
        <v>Dec-26</v>
      </c>
      <c r="B338" s="17" t="str">
        <f>'2025 actual v budget'!B338</f>
        <v>Germany</v>
      </c>
      <c r="C338" s="17" t="str">
        <f>'2025 actual v budget'!C338</f>
        <v>Cross-border Payouts</v>
      </c>
      <c r="D338" s="19">
        <f>'2025 actual v budget'!D338</f>
        <v>9175513.2799999993</v>
      </c>
      <c r="E338" s="97">
        <f>SUMIFS('Assumption-Worst'!$C$3:$C$32,'Assumption-Worst'!$A$3:$A$32,$B338,'Assumption-Worst'!$B$3:$B$32,$C338)</f>
        <v>0.03</v>
      </c>
      <c r="F338" s="19">
        <f t="shared" si="35"/>
        <v>9450778.6783999987</v>
      </c>
      <c r="G338" s="98">
        <f>SUMIFS('Assumption-Worst'!$D$3:$D$32,'Assumption-Worst'!$A$3:$A$32,$B338,'Assumption-Worst'!$B$3:$B$32,$C338)</f>
        <v>7.4999999999999997E-3</v>
      </c>
      <c r="H338" s="99">
        <f t="shared" si="36"/>
        <v>70880.840087999983</v>
      </c>
      <c r="I338" s="97">
        <f>SUMIFS('Assumption-Worst'!$E$3:$E$32,'Assumption-Worst'!$A$3:$A$32,$B338,'Assumption-Worst'!$B$3:$B$32,$C338)</f>
        <v>0.35</v>
      </c>
      <c r="J338" s="19">
        <f t="shared" si="37"/>
        <v>24808.294030799992</v>
      </c>
      <c r="K338" s="100">
        <f>SUMIFS('Assumption-Worst'!$F$3:$F$32,'Assumption-Worst'!$A$3:$A$32,$B338,'Assumption-Worst'!$B$3:$B$32,$C338)</f>
        <v>1.4999999999999999E-4</v>
      </c>
      <c r="L338" s="19">
        <f t="shared" si="38"/>
        <v>1417.6168017599996</v>
      </c>
      <c r="M338" s="99">
        <f t="shared" si="39"/>
        <v>44654.929255439987</v>
      </c>
      <c r="N338" s="97">
        <f>SUMIFS('Assumption-Worst'!$G$3:$G$32,'Assumption-Worst'!$A$3:$A$32,$B338,'Assumption-Worst'!$B$3:$B$32,$C338)</f>
        <v>0.45</v>
      </c>
      <c r="O338" s="19">
        <f t="shared" si="40"/>
        <v>31896.378039599993</v>
      </c>
      <c r="P338" s="99">
        <f t="shared" si="41"/>
        <v>12758.551215839994</v>
      </c>
    </row>
    <row r="339" spans="1:16" x14ac:dyDescent="0.35">
      <c r="A339" s="96" t="str">
        <f>LEFT('2025 actual v budget'!A339,4)&amp;"26"</f>
        <v>Dec-26</v>
      </c>
      <c r="B339" s="17" t="str">
        <f>'2025 actual v budget'!B339</f>
        <v>Germany</v>
      </c>
      <c r="C339" s="17" t="str">
        <f>'2025 actual v budget'!C339</f>
        <v>FX Conversion</v>
      </c>
      <c r="D339" s="19">
        <f>'2025 actual v budget'!D339</f>
        <v>13785537.83</v>
      </c>
      <c r="E339" s="97">
        <f>SUMIFS('Assumption-Worst'!$C$3:$C$32,'Assumption-Worst'!$A$3:$A$32,$B339,'Assumption-Worst'!$B$3:$B$32,$C339)</f>
        <v>0.03</v>
      </c>
      <c r="F339" s="19">
        <f t="shared" si="35"/>
        <v>14199103.9649</v>
      </c>
      <c r="G339" s="98">
        <f>SUMIFS('Assumption-Worst'!$D$3:$D$32,'Assumption-Worst'!$A$3:$A$32,$B339,'Assumption-Worst'!$B$3:$B$32,$C339)</f>
        <v>1.0500000000000001E-2</v>
      </c>
      <c r="H339" s="99">
        <f t="shared" si="36"/>
        <v>149090.59163145002</v>
      </c>
      <c r="I339" s="97">
        <f>SUMIFS('Assumption-Worst'!$E$3:$E$32,'Assumption-Worst'!$A$3:$A$32,$B339,'Assumption-Worst'!$B$3:$B$32,$C339)</f>
        <v>0.28000000000000003</v>
      </c>
      <c r="J339" s="19">
        <f t="shared" si="37"/>
        <v>41745.365656806011</v>
      </c>
      <c r="K339" s="100">
        <f>SUMIFS('Assumption-Worst'!$F$3:$F$32,'Assumption-Worst'!$A$3:$A$32,$B339,'Assumption-Worst'!$B$3:$B$32,$C339)</f>
        <v>1.4999999999999999E-4</v>
      </c>
      <c r="L339" s="19">
        <f t="shared" si="38"/>
        <v>2129.8655947349998</v>
      </c>
      <c r="M339" s="99">
        <f t="shared" si="39"/>
        <v>105215.36037990901</v>
      </c>
      <c r="N339" s="97">
        <f>SUMIFS('Assumption-Worst'!$G$3:$G$32,'Assumption-Worst'!$A$3:$A$32,$B339,'Assumption-Worst'!$B$3:$B$32,$C339)</f>
        <v>0.45</v>
      </c>
      <c r="O339" s="19">
        <f t="shared" si="40"/>
        <v>67090.766234152514</v>
      </c>
      <c r="P339" s="99">
        <f t="shared" si="41"/>
        <v>38124.594145756491</v>
      </c>
    </row>
    <row r="340" spans="1:16" x14ac:dyDescent="0.35">
      <c r="A340" s="96" t="str">
        <f>LEFT('2025 actual v budget'!A340,4)&amp;"26"</f>
        <v>Dec-26</v>
      </c>
      <c r="B340" s="17" t="str">
        <f>'2025 actual v budget'!B340</f>
        <v>Germany</v>
      </c>
      <c r="C340" s="17" t="str">
        <f>'2025 actual v budget'!C340</f>
        <v>Stablecoin Settlement</v>
      </c>
      <c r="D340" s="19">
        <f>'2025 actual v budget'!D340</f>
        <v>22445470.059999999</v>
      </c>
      <c r="E340" s="97">
        <f>SUMIFS('Assumption-Worst'!$C$3:$C$32,'Assumption-Worst'!$A$3:$A$32,$B340,'Assumption-Worst'!$B$3:$B$32,$C340)</f>
        <v>0.06</v>
      </c>
      <c r="F340" s="19">
        <f t="shared" si="35"/>
        <v>23792198.263599999</v>
      </c>
      <c r="G340" s="98">
        <f>SUMIFS('Assumption-Worst'!$D$3:$D$32,'Assumption-Worst'!$A$3:$A$32,$B340,'Assumption-Worst'!$B$3:$B$32,$C340)</f>
        <v>6.4999999999999997E-3</v>
      </c>
      <c r="H340" s="99">
        <f t="shared" si="36"/>
        <v>154649.28871339999</v>
      </c>
      <c r="I340" s="97">
        <f>SUMIFS('Assumption-Worst'!$E$3:$E$32,'Assumption-Worst'!$A$3:$A$32,$B340,'Assumption-Worst'!$B$3:$B$32,$C340)</f>
        <v>0.32</v>
      </c>
      <c r="J340" s="19">
        <f t="shared" si="37"/>
        <v>49487.772388287995</v>
      </c>
      <c r="K340" s="100">
        <f>SUMIFS('Assumption-Worst'!$F$3:$F$32,'Assumption-Worst'!$A$3:$A$32,$B340,'Assumption-Worst'!$B$3:$B$32,$C340)</f>
        <v>1.4999999999999999E-4</v>
      </c>
      <c r="L340" s="19">
        <f t="shared" si="38"/>
        <v>3568.8297395399995</v>
      </c>
      <c r="M340" s="99">
        <f t="shared" si="39"/>
        <v>101592.686585572</v>
      </c>
      <c r="N340" s="97">
        <f>SUMIFS('Assumption-Worst'!$G$3:$G$32,'Assumption-Worst'!$A$3:$A$32,$B340,'Assumption-Worst'!$B$3:$B$32,$C340)</f>
        <v>0.45</v>
      </c>
      <c r="O340" s="19">
        <f t="shared" si="40"/>
        <v>69592.179921029994</v>
      </c>
      <c r="P340" s="99">
        <f t="shared" si="41"/>
        <v>32000.506664542001</v>
      </c>
    </row>
    <row r="341" spans="1:16" x14ac:dyDescent="0.35">
      <c r="A341" s="96" t="str">
        <f>LEFT('2025 actual v budget'!A341,4)&amp;"26"</f>
        <v>Dec-26</v>
      </c>
      <c r="B341" s="17" t="str">
        <f>'2025 actual v budget'!B341</f>
        <v>Germany</v>
      </c>
      <c r="C341" s="17" t="str">
        <f>'2025 actual v budget'!C341</f>
        <v>Treasury Yield</v>
      </c>
      <c r="D341" s="19">
        <f>'2025 actual v budget'!D341</f>
        <v>5834440.46</v>
      </c>
      <c r="E341" s="97">
        <f>SUMIFS('Assumption-Worst'!$C$3:$C$32,'Assumption-Worst'!$A$3:$A$32,$B341,'Assumption-Worst'!$B$3:$B$32,$C341)</f>
        <v>0.03</v>
      </c>
      <c r="F341" s="19">
        <f t="shared" si="35"/>
        <v>6009473.6738</v>
      </c>
      <c r="G341" s="98">
        <f>SUMIFS('Assumption-Worst'!$D$3:$D$32,'Assumption-Worst'!$A$3:$A$32,$B341,'Assumption-Worst'!$B$3:$B$32,$C341)</f>
        <v>3.0000000000000001E-3</v>
      </c>
      <c r="H341" s="99">
        <f t="shared" si="36"/>
        <v>18028.421021400001</v>
      </c>
      <c r="I341" s="97">
        <f>SUMIFS('Assumption-Worst'!$E$3:$E$32,'Assumption-Worst'!$A$3:$A$32,$B341,'Assumption-Worst'!$B$3:$B$32,$C341)</f>
        <v>0.18</v>
      </c>
      <c r="J341" s="19">
        <f t="shared" si="37"/>
        <v>3245.1157838520003</v>
      </c>
      <c r="K341" s="100">
        <f>SUMIFS('Assumption-Worst'!$F$3:$F$32,'Assumption-Worst'!$A$3:$A$32,$B341,'Assumption-Worst'!$B$3:$B$32,$C341)</f>
        <v>1.4999999999999999E-4</v>
      </c>
      <c r="L341" s="19">
        <f t="shared" si="38"/>
        <v>901.42105106999998</v>
      </c>
      <c r="M341" s="99">
        <f t="shared" si="39"/>
        <v>13881.884186478001</v>
      </c>
      <c r="N341" s="97">
        <f>SUMIFS('Assumption-Worst'!$G$3:$G$32,'Assumption-Worst'!$A$3:$A$32,$B341,'Assumption-Worst'!$B$3:$B$32,$C341)</f>
        <v>0.45</v>
      </c>
      <c r="O341" s="19">
        <f t="shared" si="40"/>
        <v>8112.7894596300011</v>
      </c>
      <c r="P341" s="99">
        <f t="shared" si="41"/>
        <v>5769.0947268479995</v>
      </c>
    </row>
    <row r="342" spans="1:16" x14ac:dyDescent="0.35">
      <c r="A342" s="96" t="str">
        <f>LEFT('2025 actual v budget'!A342,4)&amp;"26"</f>
        <v>Dec-26</v>
      </c>
      <c r="B342" s="17" t="str">
        <f>'2025 actual v budget'!B342</f>
        <v>Germany</v>
      </c>
      <c r="C342" s="17" t="str">
        <f>'2025 actual v budget'!C342</f>
        <v>Virtual Accounts</v>
      </c>
      <c r="D342" s="19">
        <f>'2025 actual v budget'!D342</f>
        <v>8942729.9600000009</v>
      </c>
      <c r="E342" s="97">
        <f>SUMIFS('Assumption-Worst'!$C$3:$C$32,'Assumption-Worst'!$A$3:$A$32,$B342,'Assumption-Worst'!$B$3:$B$32,$C342)</f>
        <v>0.03</v>
      </c>
      <c r="F342" s="19">
        <f t="shared" si="35"/>
        <v>9211011.8588000014</v>
      </c>
      <c r="G342" s="98">
        <f>SUMIFS('Assumption-Worst'!$D$3:$D$32,'Assumption-Worst'!$A$3:$A$32,$B342,'Assumption-Worst'!$B$3:$B$32,$C342)</f>
        <v>4.4999999999999997E-3</v>
      </c>
      <c r="H342" s="99">
        <f t="shared" si="36"/>
        <v>41449.553364600004</v>
      </c>
      <c r="I342" s="97">
        <f>SUMIFS('Assumption-Worst'!$E$3:$E$32,'Assumption-Worst'!$A$3:$A$32,$B342,'Assumption-Worst'!$B$3:$B$32,$C342)</f>
        <v>0.22</v>
      </c>
      <c r="J342" s="19">
        <f t="shared" si="37"/>
        <v>9118.9017402120007</v>
      </c>
      <c r="K342" s="100">
        <f>SUMIFS('Assumption-Worst'!$F$3:$F$32,'Assumption-Worst'!$A$3:$A$32,$B342,'Assumption-Worst'!$B$3:$B$32,$C342)</f>
        <v>1.4999999999999999E-4</v>
      </c>
      <c r="L342" s="19">
        <f t="shared" si="38"/>
        <v>1381.6517788200001</v>
      </c>
      <c r="M342" s="99">
        <f t="shared" si="39"/>
        <v>30948.999845568003</v>
      </c>
      <c r="N342" s="97">
        <f>SUMIFS('Assumption-Worst'!$G$3:$G$32,'Assumption-Worst'!$A$3:$A$32,$B342,'Assumption-Worst'!$B$3:$B$32,$C342)</f>
        <v>0.45</v>
      </c>
      <c r="O342" s="19">
        <f t="shared" si="40"/>
        <v>18652.299014070002</v>
      </c>
      <c r="P342" s="99">
        <f t="shared" si="41"/>
        <v>12296.700831498001</v>
      </c>
    </row>
    <row r="343" spans="1:16" x14ac:dyDescent="0.35">
      <c r="A343" s="96" t="str">
        <f>LEFT('2025 actual v budget'!A343,4)&amp;"26"</f>
        <v>Dec-26</v>
      </c>
      <c r="B343" s="17" t="str">
        <f>'2025 actual v budget'!B343</f>
        <v>India</v>
      </c>
      <c r="C343" s="17" t="str">
        <f>'2025 actual v budget'!C343</f>
        <v>Cross-border Payouts</v>
      </c>
      <c r="D343" s="19">
        <f>'2025 actual v budget'!D343</f>
        <v>14834509.699999999</v>
      </c>
      <c r="E343" s="97">
        <f>SUMIFS('Assumption-Worst'!$C$3:$C$32,'Assumption-Worst'!$A$3:$A$32,$B343,'Assumption-Worst'!$B$3:$B$32,$C343)</f>
        <v>0.06</v>
      </c>
      <c r="F343" s="19">
        <f t="shared" si="35"/>
        <v>15724580.282</v>
      </c>
      <c r="G343" s="98">
        <f>SUMIFS('Assumption-Worst'!$D$3:$D$32,'Assumption-Worst'!$A$3:$A$32,$B343,'Assumption-Worst'!$B$3:$B$32,$C343)</f>
        <v>7.4999999999999997E-3</v>
      </c>
      <c r="H343" s="99">
        <f t="shared" si="36"/>
        <v>117934.35211499999</v>
      </c>
      <c r="I343" s="97">
        <f>SUMIFS('Assumption-Worst'!$E$3:$E$32,'Assumption-Worst'!$A$3:$A$32,$B343,'Assumption-Worst'!$B$3:$B$32,$C343)</f>
        <v>0.35</v>
      </c>
      <c r="J343" s="19">
        <f t="shared" si="37"/>
        <v>41277.02324024999</v>
      </c>
      <c r="K343" s="100">
        <f>SUMIFS('Assumption-Worst'!$F$3:$F$32,'Assumption-Worst'!$A$3:$A$32,$B343,'Assumption-Worst'!$B$3:$B$32,$C343)</f>
        <v>1.8000000000000001E-4</v>
      </c>
      <c r="L343" s="19">
        <f t="shared" si="38"/>
        <v>2830.4244507600001</v>
      </c>
      <c r="M343" s="99">
        <f t="shared" si="39"/>
        <v>73826.90442399001</v>
      </c>
      <c r="N343" s="97">
        <f>SUMIFS('Assumption-Worst'!$G$3:$G$32,'Assumption-Worst'!$A$3:$A$32,$B343,'Assumption-Worst'!$B$3:$B$32,$C343)</f>
        <v>0.45</v>
      </c>
      <c r="O343" s="19">
        <f t="shared" si="40"/>
        <v>53070.458451749997</v>
      </c>
      <c r="P343" s="99">
        <f t="shared" si="41"/>
        <v>20756.445972240013</v>
      </c>
    </row>
    <row r="344" spans="1:16" x14ac:dyDescent="0.35">
      <c r="A344" s="96" t="str">
        <f>LEFT('2025 actual v budget'!A344,4)&amp;"26"</f>
        <v>Dec-26</v>
      </c>
      <c r="B344" s="17" t="str">
        <f>'2025 actual v budget'!B344</f>
        <v>India</v>
      </c>
      <c r="C344" s="17" t="str">
        <f>'2025 actual v budget'!C344</f>
        <v>FX Conversion</v>
      </c>
      <c r="D344" s="19">
        <f>'2025 actual v budget'!D344</f>
        <v>22320681.670000002</v>
      </c>
      <c r="E344" s="97">
        <f>SUMIFS('Assumption-Worst'!$C$3:$C$32,'Assumption-Worst'!$A$3:$A$32,$B344,'Assumption-Worst'!$B$3:$B$32,$C344)</f>
        <v>0.06</v>
      </c>
      <c r="F344" s="19">
        <f t="shared" si="35"/>
        <v>23659922.570200004</v>
      </c>
      <c r="G344" s="98">
        <f>SUMIFS('Assumption-Worst'!$D$3:$D$32,'Assumption-Worst'!$A$3:$A$32,$B344,'Assumption-Worst'!$B$3:$B$32,$C344)</f>
        <v>1.0500000000000001E-2</v>
      </c>
      <c r="H344" s="99">
        <f t="shared" si="36"/>
        <v>248429.18698710005</v>
      </c>
      <c r="I344" s="97">
        <f>SUMIFS('Assumption-Worst'!$E$3:$E$32,'Assumption-Worst'!$A$3:$A$32,$B344,'Assumption-Worst'!$B$3:$B$32,$C344)</f>
        <v>0.28000000000000003</v>
      </c>
      <c r="J344" s="19">
        <f t="shared" si="37"/>
        <v>69560.172356388022</v>
      </c>
      <c r="K344" s="100">
        <f>SUMIFS('Assumption-Worst'!$F$3:$F$32,'Assumption-Worst'!$A$3:$A$32,$B344,'Assumption-Worst'!$B$3:$B$32,$C344)</f>
        <v>1.8000000000000001E-4</v>
      </c>
      <c r="L344" s="19">
        <f t="shared" si="38"/>
        <v>4258.7860626360007</v>
      </c>
      <c r="M344" s="99">
        <f t="shared" si="39"/>
        <v>174610.22856807604</v>
      </c>
      <c r="N344" s="97">
        <f>SUMIFS('Assumption-Worst'!$G$3:$G$32,'Assumption-Worst'!$A$3:$A$32,$B344,'Assumption-Worst'!$B$3:$B$32,$C344)</f>
        <v>0.45</v>
      </c>
      <c r="O344" s="19">
        <f t="shared" si="40"/>
        <v>111793.13414419502</v>
      </c>
      <c r="P344" s="99">
        <f t="shared" si="41"/>
        <v>62817.094423881019</v>
      </c>
    </row>
    <row r="345" spans="1:16" x14ac:dyDescent="0.35">
      <c r="A345" s="96" t="str">
        <f>LEFT('2025 actual v budget'!A345,4)&amp;"26"</f>
        <v>Dec-26</v>
      </c>
      <c r="B345" s="17" t="str">
        <f>'2025 actual v budget'!B345</f>
        <v>India</v>
      </c>
      <c r="C345" s="17" t="str">
        <f>'2025 actual v budget'!C345</f>
        <v>Stablecoin Settlement</v>
      </c>
      <c r="D345" s="19">
        <f>'2025 actual v budget'!D345</f>
        <v>36288710.32</v>
      </c>
      <c r="E345" s="97">
        <f>SUMIFS('Assumption-Worst'!$C$3:$C$32,'Assumption-Worst'!$A$3:$A$32,$B345,'Assumption-Worst'!$B$3:$B$32,$C345)</f>
        <v>0.12</v>
      </c>
      <c r="F345" s="19">
        <f t="shared" si="35"/>
        <v>40643355.558400005</v>
      </c>
      <c r="G345" s="98">
        <f>SUMIFS('Assumption-Worst'!$D$3:$D$32,'Assumption-Worst'!$A$3:$A$32,$B345,'Assumption-Worst'!$B$3:$B$32,$C345)</f>
        <v>6.4999999999999997E-3</v>
      </c>
      <c r="H345" s="99">
        <f t="shared" si="36"/>
        <v>264181.81112960004</v>
      </c>
      <c r="I345" s="97">
        <f>SUMIFS('Assumption-Worst'!$E$3:$E$32,'Assumption-Worst'!$A$3:$A$32,$B345,'Assumption-Worst'!$B$3:$B$32,$C345)</f>
        <v>0.32</v>
      </c>
      <c r="J345" s="19">
        <f t="shared" si="37"/>
        <v>84538.179561472018</v>
      </c>
      <c r="K345" s="100">
        <f>SUMIFS('Assumption-Worst'!$F$3:$F$32,'Assumption-Worst'!$A$3:$A$32,$B345,'Assumption-Worst'!$B$3:$B$32,$C345)</f>
        <v>1.8000000000000001E-4</v>
      </c>
      <c r="L345" s="19">
        <f t="shared" si="38"/>
        <v>7315.804000512001</v>
      </c>
      <c r="M345" s="99">
        <f t="shared" si="39"/>
        <v>172327.82756761601</v>
      </c>
      <c r="N345" s="97">
        <f>SUMIFS('Assumption-Worst'!$G$3:$G$32,'Assumption-Worst'!$A$3:$A$32,$B345,'Assumption-Worst'!$B$3:$B$32,$C345)</f>
        <v>0.45</v>
      </c>
      <c r="O345" s="19">
        <f t="shared" si="40"/>
        <v>118881.81500832002</v>
      </c>
      <c r="P345" s="99">
        <f t="shared" si="41"/>
        <v>53446.012559295996</v>
      </c>
    </row>
    <row r="346" spans="1:16" x14ac:dyDescent="0.35">
      <c r="A346" s="96" t="str">
        <f>LEFT('2025 actual v budget'!A346,4)&amp;"26"</f>
        <v>Dec-26</v>
      </c>
      <c r="B346" s="17" t="str">
        <f>'2025 actual v budget'!B346</f>
        <v>India</v>
      </c>
      <c r="C346" s="17" t="str">
        <f>'2025 actual v budget'!C346</f>
        <v>Treasury Yield</v>
      </c>
      <c r="D346" s="19">
        <f>'2025 actual v budget'!D346</f>
        <v>9446761.5099999998</v>
      </c>
      <c r="E346" s="97">
        <f>SUMIFS('Assumption-Worst'!$C$3:$C$32,'Assumption-Worst'!$A$3:$A$32,$B346,'Assumption-Worst'!$B$3:$B$32,$C346)</f>
        <v>0.06</v>
      </c>
      <c r="F346" s="19">
        <f t="shared" si="35"/>
        <v>10013567.2006</v>
      </c>
      <c r="G346" s="98">
        <f>SUMIFS('Assumption-Worst'!$D$3:$D$32,'Assumption-Worst'!$A$3:$A$32,$B346,'Assumption-Worst'!$B$3:$B$32,$C346)</f>
        <v>3.0000000000000001E-3</v>
      </c>
      <c r="H346" s="99">
        <f t="shared" si="36"/>
        <v>30040.701601799999</v>
      </c>
      <c r="I346" s="97">
        <f>SUMIFS('Assumption-Worst'!$E$3:$E$32,'Assumption-Worst'!$A$3:$A$32,$B346,'Assumption-Worst'!$B$3:$B$32,$C346)</f>
        <v>0.18</v>
      </c>
      <c r="J346" s="19">
        <f t="shared" si="37"/>
        <v>5407.3262883239995</v>
      </c>
      <c r="K346" s="100">
        <f>SUMIFS('Assumption-Worst'!$F$3:$F$32,'Assumption-Worst'!$A$3:$A$32,$B346,'Assumption-Worst'!$B$3:$B$32,$C346)</f>
        <v>1.8000000000000001E-4</v>
      </c>
      <c r="L346" s="19">
        <f t="shared" si="38"/>
        <v>1802.4420961080002</v>
      </c>
      <c r="M346" s="99">
        <f t="shared" si="39"/>
        <v>22830.933217368001</v>
      </c>
      <c r="N346" s="97">
        <f>SUMIFS('Assumption-Worst'!$G$3:$G$32,'Assumption-Worst'!$A$3:$A$32,$B346,'Assumption-Worst'!$B$3:$B$32,$C346)</f>
        <v>0.45</v>
      </c>
      <c r="O346" s="19">
        <f t="shared" si="40"/>
        <v>13518.31572081</v>
      </c>
      <c r="P346" s="99">
        <f t="shared" si="41"/>
        <v>9312.6174965580012</v>
      </c>
    </row>
    <row r="347" spans="1:16" x14ac:dyDescent="0.35">
      <c r="A347" s="96" t="str">
        <f>LEFT('2025 actual v budget'!A347,4)&amp;"26"</f>
        <v>Dec-26</v>
      </c>
      <c r="B347" s="17" t="str">
        <f>'2025 actual v budget'!B347</f>
        <v>India</v>
      </c>
      <c r="C347" s="17" t="str">
        <f>'2025 actual v budget'!C347</f>
        <v>Virtual Accounts</v>
      </c>
      <c r="D347" s="19">
        <f>'2025 actual v budget'!D347</f>
        <v>14479509.689999999</v>
      </c>
      <c r="E347" s="97">
        <f>SUMIFS('Assumption-Worst'!$C$3:$C$32,'Assumption-Worst'!$A$3:$A$32,$B347,'Assumption-Worst'!$B$3:$B$32,$C347)</f>
        <v>0.06</v>
      </c>
      <c r="F347" s="19">
        <f t="shared" si="35"/>
        <v>15348280.271400001</v>
      </c>
      <c r="G347" s="98">
        <f>SUMIFS('Assumption-Worst'!$D$3:$D$32,'Assumption-Worst'!$A$3:$A$32,$B347,'Assumption-Worst'!$B$3:$B$32,$C347)</f>
        <v>4.4999999999999997E-3</v>
      </c>
      <c r="H347" s="99">
        <f t="shared" si="36"/>
        <v>69067.261221299996</v>
      </c>
      <c r="I347" s="97">
        <f>SUMIFS('Assumption-Worst'!$E$3:$E$32,'Assumption-Worst'!$A$3:$A$32,$B347,'Assumption-Worst'!$B$3:$B$32,$C347)</f>
        <v>0.22</v>
      </c>
      <c r="J347" s="19">
        <f t="shared" si="37"/>
        <v>15194.797468686</v>
      </c>
      <c r="K347" s="100">
        <f>SUMIFS('Assumption-Worst'!$F$3:$F$32,'Assumption-Worst'!$A$3:$A$32,$B347,'Assumption-Worst'!$B$3:$B$32,$C347)</f>
        <v>1.8000000000000001E-4</v>
      </c>
      <c r="L347" s="19">
        <f t="shared" si="38"/>
        <v>2762.6904488520004</v>
      </c>
      <c r="M347" s="99">
        <f t="shared" si="39"/>
        <v>51109.773303761998</v>
      </c>
      <c r="N347" s="97">
        <f>SUMIFS('Assumption-Worst'!$G$3:$G$32,'Assumption-Worst'!$A$3:$A$32,$B347,'Assumption-Worst'!$B$3:$B$32,$C347)</f>
        <v>0.45</v>
      </c>
      <c r="O347" s="19">
        <f t="shared" si="40"/>
        <v>31080.267549584998</v>
      </c>
      <c r="P347" s="99">
        <f t="shared" si="41"/>
        <v>20029.505754177</v>
      </c>
    </row>
    <row r="348" spans="1:16" x14ac:dyDescent="0.35">
      <c r="A348" s="96" t="str">
        <f>LEFT('2025 actual v budget'!A348,4)&amp;"26"</f>
        <v>Dec-26</v>
      </c>
      <c r="B348" s="17" t="str">
        <f>'2025 actual v budget'!B348</f>
        <v>Mexico</v>
      </c>
      <c r="C348" s="17" t="str">
        <f>'2025 actual v budget'!C348</f>
        <v>Cross-border Payouts</v>
      </c>
      <c r="D348" s="19">
        <f>'2025 actual v budget'!D348</f>
        <v>17224706.100000001</v>
      </c>
      <c r="E348" s="97">
        <f>SUMIFS('Assumption-Worst'!$C$3:$C$32,'Assumption-Worst'!$A$3:$A$32,$B348,'Assumption-Worst'!$B$3:$B$32,$C348)</f>
        <v>7.4999999999999997E-2</v>
      </c>
      <c r="F348" s="19">
        <f t="shared" si="35"/>
        <v>18516559.057500001</v>
      </c>
      <c r="G348" s="98">
        <f>SUMIFS('Assumption-Worst'!$D$3:$D$32,'Assumption-Worst'!$A$3:$A$32,$B348,'Assumption-Worst'!$B$3:$B$32,$C348)</f>
        <v>7.4999999999999997E-3</v>
      </c>
      <c r="H348" s="99">
        <f t="shared" si="36"/>
        <v>138874.19293125</v>
      </c>
      <c r="I348" s="97">
        <f>SUMIFS('Assumption-Worst'!$E$3:$E$32,'Assumption-Worst'!$A$3:$A$32,$B348,'Assumption-Worst'!$B$3:$B$32,$C348)</f>
        <v>0.35</v>
      </c>
      <c r="J348" s="19">
        <f t="shared" si="37"/>
        <v>48605.9675259375</v>
      </c>
      <c r="K348" s="100">
        <f>SUMIFS('Assumption-Worst'!$F$3:$F$32,'Assumption-Worst'!$A$3:$A$32,$B348,'Assumption-Worst'!$B$3:$B$32,$C348)</f>
        <v>8.0000000000000007E-5</v>
      </c>
      <c r="L348" s="19">
        <f t="shared" si="38"/>
        <v>1481.3247246000003</v>
      </c>
      <c r="M348" s="99">
        <f t="shared" si="39"/>
        <v>88786.900680712497</v>
      </c>
      <c r="N348" s="97">
        <f>SUMIFS('Assumption-Worst'!$G$3:$G$32,'Assumption-Worst'!$A$3:$A$32,$B348,'Assumption-Worst'!$B$3:$B$32,$C348)</f>
        <v>0.45</v>
      </c>
      <c r="O348" s="19">
        <f t="shared" si="40"/>
        <v>62493.3868190625</v>
      </c>
      <c r="P348" s="99">
        <f t="shared" si="41"/>
        <v>26293.513861649997</v>
      </c>
    </row>
    <row r="349" spans="1:16" x14ac:dyDescent="0.35">
      <c r="A349" s="96" t="str">
        <f>LEFT('2025 actual v budget'!A349,4)&amp;"26"</f>
        <v>Dec-26</v>
      </c>
      <c r="B349" s="17" t="str">
        <f>'2025 actual v budget'!B349</f>
        <v>Mexico</v>
      </c>
      <c r="C349" s="17" t="str">
        <f>'2025 actual v budget'!C349</f>
        <v>FX Conversion</v>
      </c>
      <c r="D349" s="19">
        <f>'2025 actual v budget'!D349</f>
        <v>25910855.989999998</v>
      </c>
      <c r="E349" s="97">
        <f>SUMIFS('Assumption-Worst'!$C$3:$C$32,'Assumption-Worst'!$A$3:$A$32,$B349,'Assumption-Worst'!$B$3:$B$32,$C349)</f>
        <v>7.4999999999999997E-2</v>
      </c>
      <c r="F349" s="19">
        <f t="shared" si="35"/>
        <v>27854170.189249996</v>
      </c>
      <c r="G349" s="98">
        <f>SUMIFS('Assumption-Worst'!$D$3:$D$32,'Assumption-Worst'!$A$3:$A$32,$B349,'Assumption-Worst'!$B$3:$B$32,$C349)</f>
        <v>1.0500000000000001E-2</v>
      </c>
      <c r="H349" s="99">
        <f t="shared" si="36"/>
        <v>292468.786987125</v>
      </c>
      <c r="I349" s="97">
        <f>SUMIFS('Assumption-Worst'!$E$3:$E$32,'Assumption-Worst'!$A$3:$A$32,$B349,'Assumption-Worst'!$B$3:$B$32,$C349)</f>
        <v>0.28000000000000003</v>
      </c>
      <c r="J349" s="19">
        <f t="shared" si="37"/>
        <v>81891.260356395011</v>
      </c>
      <c r="K349" s="100">
        <f>SUMIFS('Assumption-Worst'!$F$3:$F$32,'Assumption-Worst'!$A$3:$A$32,$B349,'Assumption-Worst'!$B$3:$B$32,$C349)</f>
        <v>8.0000000000000007E-5</v>
      </c>
      <c r="L349" s="19">
        <f t="shared" si="38"/>
        <v>2228.3336151399999</v>
      </c>
      <c r="M349" s="99">
        <f t="shared" si="39"/>
        <v>208349.19301558999</v>
      </c>
      <c r="N349" s="97">
        <f>SUMIFS('Assumption-Worst'!$G$3:$G$32,'Assumption-Worst'!$A$3:$A$32,$B349,'Assumption-Worst'!$B$3:$B$32,$C349)</f>
        <v>0.45</v>
      </c>
      <c r="O349" s="19">
        <f t="shared" si="40"/>
        <v>131610.95414420625</v>
      </c>
      <c r="P349" s="99">
        <f t="shared" si="41"/>
        <v>76738.238871383743</v>
      </c>
    </row>
    <row r="350" spans="1:16" x14ac:dyDescent="0.35">
      <c r="A350" s="96" t="str">
        <f>LEFT('2025 actual v budget'!A350,4)&amp;"26"</f>
        <v>Dec-26</v>
      </c>
      <c r="B350" s="17" t="str">
        <f>'2025 actual v budget'!B350</f>
        <v>Mexico</v>
      </c>
      <c r="C350" s="17" t="str">
        <f>'2025 actual v budget'!C350</f>
        <v>Stablecoin Settlement</v>
      </c>
      <c r="D350" s="19">
        <f>'2025 actual v budget'!D350</f>
        <v>42135694.579999998</v>
      </c>
      <c r="E350" s="97">
        <f>SUMIFS('Assumption-Worst'!$C$3:$C$32,'Assumption-Worst'!$A$3:$A$32,$B350,'Assumption-Worst'!$B$3:$B$32,$C350)</f>
        <v>0.15</v>
      </c>
      <c r="F350" s="19">
        <f t="shared" si="35"/>
        <v>48456048.766999997</v>
      </c>
      <c r="G350" s="98">
        <f>SUMIFS('Assumption-Worst'!$D$3:$D$32,'Assumption-Worst'!$A$3:$A$32,$B350,'Assumption-Worst'!$B$3:$B$32,$C350)</f>
        <v>6.4999999999999997E-3</v>
      </c>
      <c r="H350" s="99">
        <f t="shared" si="36"/>
        <v>314964.31698549999</v>
      </c>
      <c r="I350" s="97">
        <f>SUMIFS('Assumption-Worst'!$E$3:$E$32,'Assumption-Worst'!$A$3:$A$32,$B350,'Assumption-Worst'!$B$3:$B$32,$C350)</f>
        <v>0.32</v>
      </c>
      <c r="J350" s="19">
        <f t="shared" si="37"/>
        <v>100788.58143536</v>
      </c>
      <c r="K350" s="100">
        <f>SUMIFS('Assumption-Worst'!$F$3:$F$32,'Assumption-Worst'!$A$3:$A$32,$B350,'Assumption-Worst'!$B$3:$B$32,$C350)</f>
        <v>8.0000000000000007E-5</v>
      </c>
      <c r="L350" s="19">
        <f t="shared" si="38"/>
        <v>3876.4839013599999</v>
      </c>
      <c r="M350" s="99">
        <f t="shared" si="39"/>
        <v>210299.25164877996</v>
      </c>
      <c r="N350" s="97">
        <f>SUMIFS('Assumption-Worst'!$G$3:$G$32,'Assumption-Worst'!$A$3:$A$32,$B350,'Assumption-Worst'!$B$3:$B$32,$C350)</f>
        <v>0.45</v>
      </c>
      <c r="O350" s="19">
        <f t="shared" si="40"/>
        <v>141733.94264347499</v>
      </c>
      <c r="P350" s="99">
        <f t="shared" si="41"/>
        <v>68565.309005304967</v>
      </c>
    </row>
    <row r="351" spans="1:16" x14ac:dyDescent="0.35">
      <c r="A351" s="96" t="str">
        <f>LEFT('2025 actual v budget'!A351,4)&amp;"26"</f>
        <v>Dec-26</v>
      </c>
      <c r="B351" s="17" t="str">
        <f>'2025 actual v budget'!B351</f>
        <v>Mexico</v>
      </c>
      <c r="C351" s="17" t="str">
        <f>'2025 actual v budget'!C351</f>
        <v>Treasury Yield</v>
      </c>
      <c r="D351" s="19">
        <f>'2025 actual v budget'!D351</f>
        <v>10966227.67</v>
      </c>
      <c r="E351" s="97">
        <f>SUMIFS('Assumption-Worst'!$C$3:$C$32,'Assumption-Worst'!$A$3:$A$32,$B351,'Assumption-Worst'!$B$3:$B$32,$C351)</f>
        <v>7.4999999999999997E-2</v>
      </c>
      <c r="F351" s="19">
        <f t="shared" si="35"/>
        <v>11788694.74525</v>
      </c>
      <c r="G351" s="98">
        <f>SUMIFS('Assumption-Worst'!$D$3:$D$32,'Assumption-Worst'!$A$3:$A$32,$B351,'Assumption-Worst'!$B$3:$B$32,$C351)</f>
        <v>3.0000000000000001E-3</v>
      </c>
      <c r="H351" s="99">
        <f t="shared" si="36"/>
        <v>35366.084235750001</v>
      </c>
      <c r="I351" s="97">
        <f>SUMIFS('Assumption-Worst'!$E$3:$E$32,'Assumption-Worst'!$A$3:$A$32,$B351,'Assumption-Worst'!$B$3:$B$32,$C351)</f>
        <v>0.18</v>
      </c>
      <c r="J351" s="19">
        <f t="shared" si="37"/>
        <v>6365.8951624350002</v>
      </c>
      <c r="K351" s="100">
        <f>SUMIFS('Assumption-Worst'!$F$3:$F$32,'Assumption-Worst'!$A$3:$A$32,$B351,'Assumption-Worst'!$B$3:$B$32,$C351)</f>
        <v>8.0000000000000007E-5</v>
      </c>
      <c r="L351" s="19">
        <f t="shared" si="38"/>
        <v>943.09557962000008</v>
      </c>
      <c r="M351" s="99">
        <f t="shared" si="39"/>
        <v>28057.093493695</v>
      </c>
      <c r="N351" s="97">
        <f>SUMIFS('Assumption-Worst'!$G$3:$G$32,'Assumption-Worst'!$A$3:$A$32,$B351,'Assumption-Worst'!$B$3:$B$32,$C351)</f>
        <v>0.45</v>
      </c>
      <c r="O351" s="19">
        <f t="shared" si="40"/>
        <v>15914.737906087501</v>
      </c>
      <c r="P351" s="99">
        <f t="shared" si="41"/>
        <v>12142.355587607499</v>
      </c>
    </row>
    <row r="352" spans="1:16" x14ac:dyDescent="0.35">
      <c r="A352" s="96" t="str">
        <f>LEFT('2025 actual v budget'!A352,4)&amp;"26"</f>
        <v>Dec-26</v>
      </c>
      <c r="B352" s="17" t="str">
        <f>'2025 actual v budget'!B352</f>
        <v>Mexico</v>
      </c>
      <c r="C352" s="17" t="str">
        <f>'2025 actual v budget'!C352</f>
        <v>Virtual Accounts</v>
      </c>
      <c r="D352" s="19">
        <f>'2025 actual v budget'!D352</f>
        <v>16808469.199999999</v>
      </c>
      <c r="E352" s="97">
        <f>SUMIFS('Assumption-Worst'!$C$3:$C$32,'Assumption-Worst'!$A$3:$A$32,$B352,'Assumption-Worst'!$B$3:$B$32,$C352)</f>
        <v>7.4999999999999997E-2</v>
      </c>
      <c r="F352" s="19">
        <f t="shared" si="35"/>
        <v>18069104.389999997</v>
      </c>
      <c r="G352" s="98">
        <f>SUMIFS('Assumption-Worst'!$D$3:$D$32,'Assumption-Worst'!$A$3:$A$32,$B352,'Assumption-Worst'!$B$3:$B$32,$C352)</f>
        <v>4.4999999999999997E-3</v>
      </c>
      <c r="H352" s="99">
        <f t="shared" si="36"/>
        <v>81310.969754999984</v>
      </c>
      <c r="I352" s="97">
        <f>SUMIFS('Assumption-Worst'!$E$3:$E$32,'Assumption-Worst'!$A$3:$A$32,$B352,'Assumption-Worst'!$B$3:$B$32,$C352)</f>
        <v>0.22</v>
      </c>
      <c r="J352" s="19">
        <f t="shared" si="37"/>
        <v>17888.413346099998</v>
      </c>
      <c r="K352" s="100">
        <f>SUMIFS('Assumption-Worst'!$F$3:$F$32,'Assumption-Worst'!$A$3:$A$32,$B352,'Assumption-Worst'!$B$3:$B$32,$C352)</f>
        <v>8.0000000000000007E-5</v>
      </c>
      <c r="L352" s="19">
        <f t="shared" si="38"/>
        <v>1445.5283511999999</v>
      </c>
      <c r="M352" s="99">
        <f t="shared" si="39"/>
        <v>61977.028057699979</v>
      </c>
      <c r="N352" s="97">
        <f>SUMIFS('Assumption-Worst'!$G$3:$G$32,'Assumption-Worst'!$A$3:$A$32,$B352,'Assumption-Worst'!$B$3:$B$32,$C352)</f>
        <v>0.45</v>
      </c>
      <c r="O352" s="19">
        <f t="shared" si="40"/>
        <v>36589.936389749993</v>
      </c>
      <c r="P352" s="99">
        <f t="shared" si="41"/>
        <v>25387.091667949986</v>
      </c>
    </row>
    <row r="353" spans="1:16" x14ac:dyDescent="0.35">
      <c r="A353" s="96" t="str">
        <f>LEFT('2025 actual v budget'!A353,4)&amp;"26"</f>
        <v>Dec-26</v>
      </c>
      <c r="B353" s="17" t="str">
        <f>'2025 actual v budget'!B353</f>
        <v>Singapore</v>
      </c>
      <c r="C353" s="17" t="str">
        <f>'2025 actual v budget'!C353</f>
        <v>Cross-border Payouts</v>
      </c>
      <c r="D353" s="19">
        <f>'2025 actual v budget'!D353</f>
        <v>12870217.01</v>
      </c>
      <c r="E353" s="97">
        <f>SUMIFS('Assumption-Worst'!$C$3:$C$32,'Assumption-Worst'!$A$3:$A$32,$B353,'Assumption-Worst'!$B$3:$B$32,$C353)</f>
        <v>2.5000000000000001E-2</v>
      </c>
      <c r="F353" s="19">
        <f t="shared" si="35"/>
        <v>13191972.435249999</v>
      </c>
      <c r="G353" s="98">
        <f>SUMIFS('Assumption-Worst'!$D$3:$D$32,'Assumption-Worst'!$A$3:$A$32,$B353,'Assumption-Worst'!$B$3:$B$32,$C353)</f>
        <v>7.4999999999999997E-3</v>
      </c>
      <c r="H353" s="99">
        <f t="shared" si="36"/>
        <v>98939.793264374995</v>
      </c>
      <c r="I353" s="97">
        <f>SUMIFS('Assumption-Worst'!$E$3:$E$32,'Assumption-Worst'!$A$3:$A$32,$B353,'Assumption-Worst'!$B$3:$B$32,$C353)</f>
        <v>0.35</v>
      </c>
      <c r="J353" s="19">
        <f t="shared" si="37"/>
        <v>34628.927642531249</v>
      </c>
      <c r="K353" s="100">
        <f>SUMIFS('Assumption-Worst'!$F$3:$F$32,'Assumption-Worst'!$A$3:$A$32,$B353,'Assumption-Worst'!$B$3:$B$32,$C353)</f>
        <v>9.0000000000000006E-5</v>
      </c>
      <c r="L353" s="19">
        <f t="shared" si="38"/>
        <v>1187.2775191725</v>
      </c>
      <c r="M353" s="99">
        <f t="shared" si="39"/>
        <v>63123.588102671245</v>
      </c>
      <c r="N353" s="97">
        <f>SUMIFS('Assumption-Worst'!$G$3:$G$32,'Assumption-Worst'!$A$3:$A$32,$B353,'Assumption-Worst'!$B$3:$B$32,$C353)</f>
        <v>0.45</v>
      </c>
      <c r="O353" s="19">
        <f t="shared" si="40"/>
        <v>44522.906968968746</v>
      </c>
      <c r="P353" s="99">
        <f t="shared" si="41"/>
        <v>18600.681133702499</v>
      </c>
    </row>
    <row r="354" spans="1:16" x14ac:dyDescent="0.35">
      <c r="A354" s="96" t="str">
        <f>LEFT('2025 actual v budget'!A354,4)&amp;"26"</f>
        <v>Dec-26</v>
      </c>
      <c r="B354" s="17" t="str">
        <f>'2025 actual v budget'!B354</f>
        <v>Singapore</v>
      </c>
      <c r="C354" s="17" t="str">
        <f>'2025 actual v budget'!C354</f>
        <v>FX Conversion</v>
      </c>
      <c r="D354" s="19">
        <f>'2025 actual v budget'!D354</f>
        <v>19346255.210000001</v>
      </c>
      <c r="E354" s="97">
        <f>SUMIFS('Assumption-Worst'!$C$3:$C$32,'Assumption-Worst'!$A$3:$A$32,$B354,'Assumption-Worst'!$B$3:$B$32,$C354)</f>
        <v>2.5000000000000001E-2</v>
      </c>
      <c r="F354" s="19">
        <f t="shared" si="35"/>
        <v>19829911.59025</v>
      </c>
      <c r="G354" s="98">
        <f>SUMIFS('Assumption-Worst'!$D$3:$D$32,'Assumption-Worst'!$A$3:$A$32,$B354,'Assumption-Worst'!$B$3:$B$32,$C354)</f>
        <v>1.0500000000000001E-2</v>
      </c>
      <c r="H354" s="99">
        <f t="shared" si="36"/>
        <v>208214.07169762501</v>
      </c>
      <c r="I354" s="97">
        <f>SUMIFS('Assumption-Worst'!$E$3:$E$32,'Assumption-Worst'!$A$3:$A$32,$B354,'Assumption-Worst'!$B$3:$B$32,$C354)</f>
        <v>0.28000000000000003</v>
      </c>
      <c r="J354" s="19">
        <f t="shared" si="37"/>
        <v>58299.940075335006</v>
      </c>
      <c r="K354" s="100">
        <f>SUMIFS('Assumption-Worst'!$F$3:$F$32,'Assumption-Worst'!$A$3:$A$32,$B354,'Assumption-Worst'!$B$3:$B$32,$C354)</f>
        <v>9.0000000000000006E-5</v>
      </c>
      <c r="L354" s="19">
        <f t="shared" si="38"/>
        <v>1784.6920431225001</v>
      </c>
      <c r="M354" s="99">
        <f t="shared" si="39"/>
        <v>148129.43957916752</v>
      </c>
      <c r="N354" s="97">
        <f>SUMIFS('Assumption-Worst'!$G$3:$G$32,'Assumption-Worst'!$A$3:$A$32,$B354,'Assumption-Worst'!$B$3:$B$32,$C354)</f>
        <v>0.45</v>
      </c>
      <c r="O354" s="19">
        <f t="shared" si="40"/>
        <v>93696.332263931254</v>
      </c>
      <c r="P354" s="99">
        <f t="shared" si="41"/>
        <v>54433.107315236266</v>
      </c>
    </row>
    <row r="355" spans="1:16" x14ac:dyDescent="0.35">
      <c r="A355" s="96" t="str">
        <f>LEFT('2025 actual v budget'!A355,4)&amp;"26"</f>
        <v>Dec-26</v>
      </c>
      <c r="B355" s="17" t="str">
        <f>'2025 actual v budget'!B355</f>
        <v>Singapore</v>
      </c>
      <c r="C355" s="17" t="str">
        <f>'2025 actual v budget'!C355</f>
        <v>Stablecoin Settlement</v>
      </c>
      <c r="D355" s="19">
        <f>'2025 actual v budget'!D355</f>
        <v>31483587</v>
      </c>
      <c r="E355" s="97">
        <f>SUMIFS('Assumption-Worst'!$C$3:$C$32,'Assumption-Worst'!$A$3:$A$32,$B355,'Assumption-Worst'!$B$3:$B$32,$C355)</f>
        <v>0.05</v>
      </c>
      <c r="F355" s="19">
        <f t="shared" si="35"/>
        <v>33057766.350000001</v>
      </c>
      <c r="G355" s="98">
        <f>SUMIFS('Assumption-Worst'!$D$3:$D$32,'Assumption-Worst'!$A$3:$A$32,$B355,'Assumption-Worst'!$B$3:$B$32,$C355)</f>
        <v>6.4999999999999997E-3</v>
      </c>
      <c r="H355" s="99">
        <f t="shared" si="36"/>
        <v>214875.481275</v>
      </c>
      <c r="I355" s="97">
        <f>SUMIFS('Assumption-Worst'!$E$3:$E$32,'Assumption-Worst'!$A$3:$A$32,$B355,'Assumption-Worst'!$B$3:$B$32,$C355)</f>
        <v>0.32</v>
      </c>
      <c r="J355" s="19">
        <f t="shared" si="37"/>
        <v>68760.154007999998</v>
      </c>
      <c r="K355" s="100">
        <f>SUMIFS('Assumption-Worst'!$F$3:$F$32,'Assumption-Worst'!$A$3:$A$32,$B355,'Assumption-Worst'!$B$3:$B$32,$C355)</f>
        <v>9.0000000000000006E-5</v>
      </c>
      <c r="L355" s="19">
        <f t="shared" si="38"/>
        <v>2975.1989715000004</v>
      </c>
      <c r="M355" s="99">
        <f t="shared" si="39"/>
        <v>143140.12829549998</v>
      </c>
      <c r="N355" s="97">
        <f>SUMIFS('Assumption-Worst'!$G$3:$G$32,'Assumption-Worst'!$A$3:$A$32,$B355,'Assumption-Worst'!$B$3:$B$32,$C355)</f>
        <v>0.45</v>
      </c>
      <c r="O355" s="19">
        <f t="shared" si="40"/>
        <v>96693.966573750004</v>
      </c>
      <c r="P355" s="99">
        <f t="shared" si="41"/>
        <v>46446.161721749973</v>
      </c>
    </row>
    <row r="356" spans="1:16" x14ac:dyDescent="0.35">
      <c r="A356" s="96" t="str">
        <f>LEFT('2025 actual v budget'!A356,4)&amp;"26"</f>
        <v>Dec-26</v>
      </c>
      <c r="B356" s="17" t="str">
        <f>'2025 actual v budget'!B356</f>
        <v>Singapore</v>
      </c>
      <c r="C356" s="17" t="str">
        <f>'2025 actual v budget'!C356</f>
        <v>Treasury Yield</v>
      </c>
      <c r="D356" s="19">
        <f>'2025 actual v budget'!D356</f>
        <v>8187897.7400000002</v>
      </c>
      <c r="E356" s="97">
        <f>SUMIFS('Assumption-Worst'!$C$3:$C$32,'Assumption-Worst'!$A$3:$A$32,$B356,'Assumption-Worst'!$B$3:$B$32,$C356)</f>
        <v>2.5000000000000001E-2</v>
      </c>
      <c r="F356" s="19">
        <f t="shared" si="35"/>
        <v>8392595.1834999993</v>
      </c>
      <c r="G356" s="98">
        <f>SUMIFS('Assumption-Worst'!$D$3:$D$32,'Assumption-Worst'!$A$3:$A$32,$B356,'Assumption-Worst'!$B$3:$B$32,$C356)</f>
        <v>3.0000000000000001E-3</v>
      </c>
      <c r="H356" s="99">
        <f t="shared" si="36"/>
        <v>25177.785550499997</v>
      </c>
      <c r="I356" s="97">
        <f>SUMIFS('Assumption-Worst'!$E$3:$E$32,'Assumption-Worst'!$A$3:$A$32,$B356,'Assumption-Worst'!$B$3:$B$32,$C356)</f>
        <v>0.18</v>
      </c>
      <c r="J356" s="19">
        <f t="shared" si="37"/>
        <v>4532.0013990899997</v>
      </c>
      <c r="K356" s="100">
        <f>SUMIFS('Assumption-Worst'!$F$3:$F$32,'Assumption-Worst'!$A$3:$A$32,$B356,'Assumption-Worst'!$B$3:$B$32,$C356)</f>
        <v>9.0000000000000006E-5</v>
      </c>
      <c r="L356" s="19">
        <f t="shared" si="38"/>
        <v>755.33356651500003</v>
      </c>
      <c r="M356" s="99">
        <f t="shared" si="39"/>
        <v>19890.450584894996</v>
      </c>
      <c r="N356" s="97">
        <f>SUMIFS('Assumption-Worst'!$G$3:$G$32,'Assumption-Worst'!$A$3:$A$32,$B356,'Assumption-Worst'!$B$3:$B$32,$C356)</f>
        <v>0.45</v>
      </c>
      <c r="O356" s="19">
        <f t="shared" si="40"/>
        <v>11330.003497725</v>
      </c>
      <c r="P356" s="99">
        <f t="shared" si="41"/>
        <v>8560.4470871699959</v>
      </c>
    </row>
    <row r="357" spans="1:16" x14ac:dyDescent="0.35">
      <c r="A357" s="96" t="str">
        <f>LEFT('2025 actual v budget'!A357,4)&amp;"26"</f>
        <v>Dec-26</v>
      </c>
      <c r="B357" s="17" t="str">
        <f>'2025 actual v budget'!B357</f>
        <v>Singapore</v>
      </c>
      <c r="C357" s="17" t="str">
        <f>'2025 actual v budget'!C357</f>
        <v>Virtual Accounts</v>
      </c>
      <c r="D357" s="19">
        <f>'2025 actual v budget'!D357</f>
        <v>12549988.119999999</v>
      </c>
      <c r="E357" s="97">
        <f>SUMIFS('Assumption-Worst'!$C$3:$C$32,'Assumption-Worst'!$A$3:$A$32,$B357,'Assumption-Worst'!$B$3:$B$32,$C357)</f>
        <v>2.5000000000000001E-2</v>
      </c>
      <c r="F357" s="19">
        <f t="shared" si="35"/>
        <v>12863737.822999999</v>
      </c>
      <c r="G357" s="98">
        <f>SUMIFS('Assumption-Worst'!$D$3:$D$32,'Assumption-Worst'!$A$3:$A$32,$B357,'Assumption-Worst'!$B$3:$B$32,$C357)</f>
        <v>4.4999999999999997E-3</v>
      </c>
      <c r="H357" s="99">
        <f t="shared" si="36"/>
        <v>57886.820203499992</v>
      </c>
      <c r="I357" s="97">
        <f>SUMIFS('Assumption-Worst'!$E$3:$E$32,'Assumption-Worst'!$A$3:$A$32,$B357,'Assumption-Worst'!$B$3:$B$32,$C357)</f>
        <v>0.22</v>
      </c>
      <c r="J357" s="19">
        <f t="shared" si="37"/>
        <v>12735.100444769998</v>
      </c>
      <c r="K357" s="100">
        <f>SUMIFS('Assumption-Worst'!$F$3:$F$32,'Assumption-Worst'!$A$3:$A$32,$B357,'Assumption-Worst'!$B$3:$B$32,$C357)</f>
        <v>9.0000000000000006E-5</v>
      </c>
      <c r="L357" s="19">
        <f t="shared" si="38"/>
        <v>1157.7364040699999</v>
      </c>
      <c r="M357" s="99">
        <f t="shared" si="39"/>
        <v>43993.983354659998</v>
      </c>
      <c r="N357" s="97">
        <f>SUMIFS('Assumption-Worst'!$G$3:$G$32,'Assumption-Worst'!$A$3:$A$32,$B357,'Assumption-Worst'!$B$3:$B$32,$C357)</f>
        <v>0.45</v>
      </c>
      <c r="O357" s="19">
        <f t="shared" si="40"/>
        <v>26049.069091574998</v>
      </c>
      <c r="P357" s="99">
        <f t="shared" si="41"/>
        <v>17944.914263085</v>
      </c>
    </row>
    <row r="358" spans="1:16" x14ac:dyDescent="0.35">
      <c r="A358" s="96" t="str">
        <f>LEFT('2025 actual v budget'!A358,4)&amp;"26"</f>
        <v>Dec-26</v>
      </c>
      <c r="B358" s="17" t="str">
        <f>'2025 actual v budget'!B358</f>
        <v>USA</v>
      </c>
      <c r="C358" s="17" t="str">
        <f>'2025 actual v budget'!C358</f>
        <v>Cross-border Payouts</v>
      </c>
      <c r="D358" s="19">
        <f>'2025 actual v budget'!D358</f>
        <v>30537333.510000002</v>
      </c>
      <c r="E358" s="97">
        <f>SUMIFS('Assumption-Worst'!$C$3:$C$32,'Assumption-Worst'!$A$3:$A$32,$B358,'Assumption-Worst'!$B$3:$B$32,$C358)</f>
        <v>0.05</v>
      </c>
      <c r="F358" s="19">
        <f t="shared" si="35"/>
        <v>32064200.185500003</v>
      </c>
      <c r="G358" s="98">
        <f>SUMIFS('Assumption-Worst'!$D$3:$D$32,'Assumption-Worst'!$A$3:$A$32,$B358,'Assumption-Worst'!$B$3:$B$32,$C358)</f>
        <v>7.4999999999999997E-3</v>
      </c>
      <c r="H358" s="99">
        <f t="shared" si="36"/>
        <v>240481.50139125003</v>
      </c>
      <c r="I358" s="97">
        <f>SUMIFS('Assumption-Worst'!$E$3:$E$32,'Assumption-Worst'!$A$3:$A$32,$B358,'Assumption-Worst'!$B$3:$B$32,$C358)</f>
        <v>0.35</v>
      </c>
      <c r="J358" s="19">
        <f t="shared" si="37"/>
        <v>84168.525486937506</v>
      </c>
      <c r="K358" s="100">
        <f>SUMIFS('Assumption-Worst'!$F$3:$F$32,'Assumption-Worst'!$A$3:$A$32,$B358,'Assumption-Worst'!$B$3:$B$32,$C358)</f>
        <v>2.0000000000000001E-4</v>
      </c>
      <c r="L358" s="19">
        <f t="shared" si="38"/>
        <v>6412.8400371000007</v>
      </c>
      <c r="M358" s="99">
        <f t="shared" si="39"/>
        <v>149900.13586721252</v>
      </c>
      <c r="N358" s="97">
        <f>SUMIFS('Assumption-Worst'!$G$3:$G$32,'Assumption-Worst'!$A$3:$A$32,$B358,'Assumption-Worst'!$B$3:$B$32,$C358)</f>
        <v>0.45</v>
      </c>
      <c r="O358" s="19">
        <f t="shared" si="40"/>
        <v>108216.67562606251</v>
      </c>
      <c r="P358" s="99">
        <f t="shared" si="41"/>
        <v>41683.460241150009</v>
      </c>
    </row>
    <row r="359" spans="1:16" x14ac:dyDescent="0.35">
      <c r="A359" s="96" t="str">
        <f>LEFT('2025 actual v budget'!A359,4)&amp;"26"</f>
        <v>Dec-26</v>
      </c>
      <c r="B359" s="17" t="str">
        <f>'2025 actual v budget'!B359</f>
        <v>USA</v>
      </c>
      <c r="C359" s="17" t="str">
        <f>'2025 actual v budget'!C359</f>
        <v>FX Conversion</v>
      </c>
      <c r="D359" s="19">
        <f>'2025 actual v budget'!D359</f>
        <v>45891666.25</v>
      </c>
      <c r="E359" s="97">
        <f>SUMIFS('Assumption-Worst'!$C$3:$C$32,'Assumption-Worst'!$A$3:$A$32,$B359,'Assumption-Worst'!$B$3:$B$32,$C359)</f>
        <v>0.05</v>
      </c>
      <c r="F359" s="19">
        <f t="shared" si="35"/>
        <v>48186249.5625</v>
      </c>
      <c r="G359" s="98">
        <f>SUMIFS('Assumption-Worst'!$D$3:$D$32,'Assumption-Worst'!$A$3:$A$32,$B359,'Assumption-Worst'!$B$3:$B$32,$C359)</f>
        <v>1.0500000000000001E-2</v>
      </c>
      <c r="H359" s="99">
        <f t="shared" si="36"/>
        <v>505955.62040625</v>
      </c>
      <c r="I359" s="97">
        <f>SUMIFS('Assumption-Worst'!$E$3:$E$32,'Assumption-Worst'!$A$3:$A$32,$B359,'Assumption-Worst'!$B$3:$B$32,$C359)</f>
        <v>0.28000000000000003</v>
      </c>
      <c r="J359" s="19">
        <f t="shared" si="37"/>
        <v>141667.57371375003</v>
      </c>
      <c r="K359" s="100">
        <f>SUMIFS('Assumption-Worst'!$F$3:$F$32,'Assumption-Worst'!$A$3:$A$32,$B359,'Assumption-Worst'!$B$3:$B$32,$C359)</f>
        <v>2.0000000000000001E-4</v>
      </c>
      <c r="L359" s="19">
        <f t="shared" si="38"/>
        <v>9637.2499125000013</v>
      </c>
      <c r="M359" s="99">
        <f t="shared" si="39"/>
        <v>354650.79678000003</v>
      </c>
      <c r="N359" s="97">
        <f>SUMIFS('Assumption-Worst'!$G$3:$G$32,'Assumption-Worst'!$A$3:$A$32,$B359,'Assumption-Worst'!$B$3:$B$32,$C359)</f>
        <v>0.45</v>
      </c>
      <c r="O359" s="19">
        <f t="shared" si="40"/>
        <v>227680.02918281252</v>
      </c>
      <c r="P359" s="99">
        <f t="shared" si="41"/>
        <v>126970.76759718751</v>
      </c>
    </row>
    <row r="360" spans="1:16" x14ac:dyDescent="0.35">
      <c r="A360" s="96" t="str">
        <f>LEFT('2025 actual v budget'!A360,4)&amp;"26"</f>
        <v>Dec-26</v>
      </c>
      <c r="B360" s="17" t="str">
        <f>'2025 actual v budget'!B360</f>
        <v>USA</v>
      </c>
      <c r="C360" s="17" t="str">
        <f>'2025 actual v budget'!C360</f>
        <v>Stablecoin Settlement</v>
      </c>
      <c r="D360" s="19">
        <f>'2025 actual v budget'!D360</f>
        <v>74701521.790000007</v>
      </c>
      <c r="E360" s="97">
        <f>SUMIFS('Assumption-Worst'!$C$3:$C$32,'Assumption-Worst'!$A$3:$A$32,$B360,'Assumption-Worst'!$B$3:$B$32,$C360)</f>
        <v>0.1</v>
      </c>
      <c r="F360" s="19">
        <f t="shared" si="35"/>
        <v>82171673.969000012</v>
      </c>
      <c r="G360" s="98">
        <f>SUMIFS('Assumption-Worst'!$D$3:$D$32,'Assumption-Worst'!$A$3:$A$32,$B360,'Assumption-Worst'!$B$3:$B$32,$C360)</f>
        <v>6.4999999999999997E-3</v>
      </c>
      <c r="H360" s="99">
        <f t="shared" si="36"/>
        <v>534115.88079850003</v>
      </c>
      <c r="I360" s="97">
        <f>SUMIFS('Assumption-Worst'!$E$3:$E$32,'Assumption-Worst'!$A$3:$A$32,$B360,'Assumption-Worst'!$B$3:$B$32,$C360)</f>
        <v>0.32</v>
      </c>
      <c r="J360" s="19">
        <f t="shared" si="37"/>
        <v>170917.08185552002</v>
      </c>
      <c r="K360" s="100">
        <f>SUMIFS('Assumption-Worst'!$F$3:$F$32,'Assumption-Worst'!$A$3:$A$32,$B360,'Assumption-Worst'!$B$3:$B$32,$C360)</f>
        <v>2.0000000000000001E-4</v>
      </c>
      <c r="L360" s="19">
        <f t="shared" si="38"/>
        <v>16434.334793800004</v>
      </c>
      <c r="M360" s="99">
        <f t="shared" si="39"/>
        <v>346764.46414917998</v>
      </c>
      <c r="N360" s="97">
        <f>SUMIFS('Assumption-Worst'!$G$3:$G$32,'Assumption-Worst'!$A$3:$A$32,$B360,'Assumption-Worst'!$B$3:$B$32,$C360)</f>
        <v>0.45</v>
      </c>
      <c r="O360" s="19">
        <f t="shared" si="40"/>
        <v>240352.14635932501</v>
      </c>
      <c r="P360" s="99">
        <f t="shared" si="41"/>
        <v>106412.31778985498</v>
      </c>
    </row>
    <row r="361" spans="1:16" x14ac:dyDescent="0.35">
      <c r="A361" s="96" t="str">
        <f>LEFT('2025 actual v budget'!A361,4)&amp;"26"</f>
        <v>Dec-26</v>
      </c>
      <c r="B361" s="17" t="str">
        <f>'2025 actual v budget'!B361</f>
        <v>USA</v>
      </c>
      <c r="C361" s="17" t="str">
        <f>'2025 actual v budget'!C361</f>
        <v>Treasury Yield</v>
      </c>
      <c r="D361" s="19">
        <f>'2025 actual v budget'!D361</f>
        <v>19422687.559999999</v>
      </c>
      <c r="E361" s="97">
        <f>SUMIFS('Assumption-Worst'!$C$3:$C$32,'Assumption-Worst'!$A$3:$A$32,$B361,'Assumption-Worst'!$B$3:$B$32,$C361)</f>
        <v>0.05</v>
      </c>
      <c r="F361" s="19">
        <f t="shared" si="35"/>
        <v>20393821.938000001</v>
      </c>
      <c r="G361" s="98">
        <f>SUMIFS('Assumption-Worst'!$D$3:$D$32,'Assumption-Worst'!$A$3:$A$32,$B361,'Assumption-Worst'!$B$3:$B$32,$C361)</f>
        <v>3.0000000000000001E-3</v>
      </c>
      <c r="H361" s="99">
        <f t="shared" si="36"/>
        <v>61181.465814000003</v>
      </c>
      <c r="I361" s="97">
        <f>SUMIFS('Assumption-Worst'!$E$3:$E$32,'Assumption-Worst'!$A$3:$A$32,$B361,'Assumption-Worst'!$B$3:$B$32,$C361)</f>
        <v>0.18</v>
      </c>
      <c r="J361" s="19">
        <f t="shared" si="37"/>
        <v>11012.663846519999</v>
      </c>
      <c r="K361" s="100">
        <f>SUMIFS('Assumption-Worst'!$F$3:$F$32,'Assumption-Worst'!$A$3:$A$32,$B361,'Assumption-Worst'!$B$3:$B$32,$C361)</f>
        <v>2.0000000000000001E-4</v>
      </c>
      <c r="L361" s="19">
        <f t="shared" si="38"/>
        <v>4078.7643876000002</v>
      </c>
      <c r="M361" s="99">
        <f t="shared" si="39"/>
        <v>46090.037579880001</v>
      </c>
      <c r="N361" s="97">
        <f>SUMIFS('Assumption-Worst'!$G$3:$G$32,'Assumption-Worst'!$A$3:$A$32,$B361,'Assumption-Worst'!$B$3:$B$32,$C361)</f>
        <v>0.45</v>
      </c>
      <c r="O361" s="19">
        <f t="shared" si="40"/>
        <v>27531.659616300003</v>
      </c>
      <c r="P361" s="99">
        <f t="shared" si="41"/>
        <v>18558.377963579998</v>
      </c>
    </row>
    <row r="362" spans="1:16" x14ac:dyDescent="0.35">
      <c r="A362" s="96" t="str">
        <f>LEFT('2025 actual v budget'!A362,4)&amp;"26"</f>
        <v>Dec-26</v>
      </c>
      <c r="B362" s="17" t="str">
        <f>'2025 actual v budget'!B362</f>
        <v>USA</v>
      </c>
      <c r="C362" s="17" t="str">
        <f>'2025 actual v budget'!C362</f>
        <v>Virtual Accounts</v>
      </c>
      <c r="D362" s="19">
        <f>'2025 actual v budget'!D362</f>
        <v>29770095.550000001</v>
      </c>
      <c r="E362" s="97">
        <f>SUMIFS('Assumption-Worst'!$C$3:$C$32,'Assumption-Worst'!$A$3:$A$32,$B362,'Assumption-Worst'!$B$3:$B$32,$C362)</f>
        <v>0.05</v>
      </c>
      <c r="F362" s="19">
        <f t="shared" si="35"/>
        <v>31258600.327500001</v>
      </c>
      <c r="G362" s="98">
        <f>SUMIFS('Assumption-Worst'!$D$3:$D$32,'Assumption-Worst'!$A$3:$A$32,$B362,'Assumption-Worst'!$B$3:$B$32,$C362)</f>
        <v>4.4999999999999997E-3</v>
      </c>
      <c r="H362" s="99">
        <f t="shared" si="36"/>
        <v>140663.70147375</v>
      </c>
      <c r="I362" s="97">
        <f>SUMIFS('Assumption-Worst'!$E$3:$E$32,'Assumption-Worst'!$A$3:$A$32,$B362,'Assumption-Worst'!$B$3:$B$32,$C362)</f>
        <v>0.22</v>
      </c>
      <c r="J362" s="19">
        <f t="shared" si="37"/>
        <v>30946.014324225001</v>
      </c>
      <c r="K362" s="100">
        <f>SUMIFS('Assumption-Worst'!$F$3:$F$32,'Assumption-Worst'!$A$3:$A$32,$B362,'Assumption-Worst'!$B$3:$B$32,$C362)</f>
        <v>2.0000000000000001E-4</v>
      </c>
      <c r="L362" s="19">
        <f t="shared" si="38"/>
        <v>6251.7200655000006</v>
      </c>
      <c r="M362" s="99">
        <f t="shared" si="39"/>
        <v>103465.96708402499</v>
      </c>
      <c r="N362" s="97">
        <f>SUMIFS('Assumption-Worst'!$G$3:$G$32,'Assumption-Worst'!$A$3:$A$32,$B362,'Assumption-Worst'!$B$3:$B$32,$C362)</f>
        <v>0.45</v>
      </c>
      <c r="O362" s="19">
        <f t="shared" si="40"/>
        <v>63298.665663187501</v>
      </c>
      <c r="P362" s="99">
        <f t="shared" si="41"/>
        <v>40167.301420837488</v>
      </c>
    </row>
    <row r="364" spans="1:16" x14ac:dyDescent="0.35">
      <c r="A364" s="41" t="s">
        <v>160</v>
      </c>
      <c r="B364" s="42"/>
      <c r="C364" s="42"/>
      <c r="D364" s="43">
        <f>SUM(D3:D362)</f>
        <v>6218824625.8599997</v>
      </c>
      <c r="E364" s="44">
        <f>F364/D364-1</f>
        <v>8.1712311964020179E-2</v>
      </c>
      <c r="F364" s="43">
        <f>SUM(F3:F362)</f>
        <v>6726979163.7378035</v>
      </c>
      <c r="G364" s="101">
        <f>H364/F364</f>
        <v>6.9481472388443219E-3</v>
      </c>
      <c r="H364" s="43">
        <f>SUM(H3:H362)</f>
        <v>46740041.702288106</v>
      </c>
      <c r="I364" s="44">
        <f>J364/H364</f>
        <v>0.2955965891426281</v>
      </c>
      <c r="J364" s="43">
        <f>SUM(J3:J362)</f>
        <v>13816196.903580561</v>
      </c>
      <c r="K364" s="102">
        <f>L364/F364</f>
        <v>1.3443191437188267E-4</v>
      </c>
      <c r="L364" s="43">
        <f>SUM(L3:L362)</f>
        <v>904320.68692103925</v>
      </c>
      <c r="M364" s="43">
        <f>SUM(M3:M362)</f>
        <v>32019524.111786518</v>
      </c>
      <c r="N364" s="44">
        <f>O364/H364</f>
        <v>0.44999999999999968</v>
      </c>
      <c r="O364" s="43">
        <f>SUM(O3:O362)</f>
        <v>21033018.766029634</v>
      </c>
      <c r="P364" s="43">
        <f>SUM(P3:P362)</f>
        <v>10986505.345756859</v>
      </c>
    </row>
  </sheetData>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73763"/>
    <pageSetUpPr fitToPage="1"/>
  </sheetPr>
  <dimension ref="A1:J29"/>
  <sheetViews>
    <sheetView showGridLines="0" zoomScale="70" zoomScaleNormal="70" workbookViewId="0">
      <selection activeCell="B4" sqref="B4"/>
    </sheetView>
  </sheetViews>
  <sheetFormatPr defaultColWidth="69" defaultRowHeight="14.5" x14ac:dyDescent="0.35"/>
  <cols>
    <col min="1" max="1" width="42" customWidth="1"/>
    <col min="2" max="5" width="17" customWidth="1"/>
    <col min="6" max="8" width="13" customWidth="1"/>
    <col min="9" max="10" width="17" customWidth="1"/>
  </cols>
  <sheetData>
    <row r="1" spans="1:10" ht="30" customHeight="1" x14ac:dyDescent="0.35">
      <c r="A1" s="7" t="s">
        <v>0</v>
      </c>
      <c r="B1" s="7"/>
      <c r="C1" s="7"/>
      <c r="D1" s="7"/>
      <c r="E1" s="7"/>
      <c r="F1" s="7"/>
      <c r="G1" s="7"/>
      <c r="H1" s="7"/>
      <c r="I1" s="7"/>
      <c r="J1" s="7"/>
    </row>
    <row r="3" spans="1:10" ht="34" customHeight="1" x14ac:dyDescent="0.35">
      <c r="A3" s="8" t="s">
        <v>1</v>
      </c>
      <c r="B3" s="103" t="s">
        <v>2</v>
      </c>
      <c r="C3" s="9" t="s">
        <v>3</v>
      </c>
      <c r="D3" s="59" t="s">
        <v>4</v>
      </c>
      <c r="E3" s="60" t="s">
        <v>5</v>
      </c>
      <c r="F3" s="9" t="s">
        <v>6</v>
      </c>
      <c r="G3" s="59" t="s">
        <v>7</v>
      </c>
      <c r="H3" s="60" t="s">
        <v>8</v>
      </c>
      <c r="I3" s="59" t="s">
        <v>9</v>
      </c>
      <c r="J3" s="60" t="s">
        <v>10</v>
      </c>
    </row>
    <row r="4" spans="1:10" ht="21" customHeight="1" x14ac:dyDescent="0.35">
      <c r="A4" s="61" t="s">
        <v>11</v>
      </c>
      <c r="B4" s="104">
        <f>'2025 actual v budget'!D408</f>
        <v>6218824625.8600006</v>
      </c>
      <c r="C4" s="104">
        <f>'Forecast 26-Base'!F364</f>
        <v>7235133701.6155987</v>
      </c>
      <c r="D4" s="104">
        <f>'Forecast 26-Best'!F364</f>
        <v>8251442777.3711958</v>
      </c>
      <c r="E4" s="104">
        <f>'Forecast 26-Worst'!F364</f>
        <v>6726979163.7378035</v>
      </c>
      <c r="F4" s="76">
        <f t="shared" ref="F4:F10" si="0">C4/B4-1</f>
        <v>0.16342462392803903</v>
      </c>
      <c r="G4" s="76">
        <f t="shared" ref="G4:G10" si="1">D4/B4-1</f>
        <v>0.32684924785607783</v>
      </c>
      <c r="H4" s="76">
        <f t="shared" ref="H4:H10" si="2">E4/B4-1</f>
        <v>8.1712311964020179E-2</v>
      </c>
      <c r="I4" s="105">
        <f t="shared" ref="I4:I10" si="3">D4-C4</f>
        <v>1016309075.7555971</v>
      </c>
      <c r="J4" s="105">
        <f>E4-C4</f>
        <v>-508154537.87779522</v>
      </c>
    </row>
    <row r="5" spans="1:10" ht="21" customHeight="1" x14ac:dyDescent="0.35">
      <c r="A5" s="66" t="s">
        <v>12</v>
      </c>
      <c r="B5" s="106">
        <f>'2025 actual v budget'!H408</f>
        <v>43266787.060000002</v>
      </c>
      <c r="C5" s="106">
        <f>'Forecast 26-Base'!H364</f>
        <v>50213296.425191201</v>
      </c>
      <c r="D5" s="106">
        <f>'Forecast 26-Best'!H364</f>
        <v>57159805.870997414</v>
      </c>
      <c r="E5" s="106">
        <f>'Forecast 26-Worst'!H364</f>
        <v>46740041.702288106</v>
      </c>
      <c r="F5" s="107">
        <f t="shared" si="0"/>
        <v>0.16055061716411156</v>
      </c>
      <c r="G5" s="107">
        <f t="shared" si="1"/>
        <v>0.32110123619143094</v>
      </c>
      <c r="H5" s="107">
        <f t="shared" si="2"/>
        <v>8.0275307650452099E-2</v>
      </c>
      <c r="I5" s="108">
        <f>D5-C5</f>
        <v>6946509.4458062127</v>
      </c>
      <c r="J5" s="108">
        <f t="shared" ref="J4:J10" si="4">E5-C5</f>
        <v>-3473254.7229030952</v>
      </c>
    </row>
    <row r="6" spans="1:10" ht="21" customHeight="1" x14ac:dyDescent="0.35">
      <c r="A6" s="61" t="s">
        <v>13</v>
      </c>
      <c r="B6" s="104">
        <f>'2025 actual v budget'!L408</f>
        <v>12769174.75</v>
      </c>
      <c r="C6" s="104">
        <f>'Forecast 26-Base'!J364</f>
        <v>14863219.08907811</v>
      </c>
      <c r="D6" s="104">
        <f>'Forecast 26-Best'!J364</f>
        <v>16957263.460073244</v>
      </c>
      <c r="E6" s="104">
        <f>'Forecast 26-Worst'!J364</f>
        <v>13816196.903580561</v>
      </c>
      <c r="F6" s="76">
        <f t="shared" si="0"/>
        <v>0.16399214358610847</v>
      </c>
      <c r="G6" s="76">
        <f t="shared" si="1"/>
        <v>0.32798428967175375</v>
      </c>
      <c r="H6" s="76">
        <f t="shared" si="2"/>
        <v>8.1996070543287169E-2</v>
      </c>
      <c r="I6" s="105">
        <f>D6-C6</f>
        <v>2094044.3709951341</v>
      </c>
      <c r="J6" s="105">
        <f t="shared" si="4"/>
        <v>-1047022.1854975484</v>
      </c>
    </row>
    <row r="7" spans="1:10" ht="21" customHeight="1" x14ac:dyDescent="0.35">
      <c r="A7" s="61" t="s">
        <v>14</v>
      </c>
      <c r="B7" s="104">
        <f>'2025 actual v budget'!P408</f>
        <v>770046.74999999988</v>
      </c>
      <c r="C7" s="104">
        <f>'Forecast 26-Base'!L364</f>
        <v>967361.86532467813</v>
      </c>
      <c r="D7" s="104">
        <f>'Forecast 26-Best'!L364</f>
        <v>1093444.2221319561</v>
      </c>
      <c r="E7" s="104">
        <f>'Forecast 26-Worst'!L364</f>
        <v>904320.68692103925</v>
      </c>
      <c r="F7" s="76">
        <f t="shared" si="0"/>
        <v>0.25623783922817456</v>
      </c>
      <c r="G7" s="76">
        <f t="shared" si="1"/>
        <v>0.41997121880191868</v>
      </c>
      <c r="H7" s="76">
        <f t="shared" si="2"/>
        <v>0.1743711494413025</v>
      </c>
      <c r="I7" s="105">
        <f t="shared" si="3"/>
        <v>126082.356807278</v>
      </c>
      <c r="J7" s="105">
        <f t="shared" si="4"/>
        <v>-63041.178403638885</v>
      </c>
    </row>
    <row r="8" spans="1:10" ht="21" customHeight="1" x14ac:dyDescent="0.35">
      <c r="A8" s="66" t="s">
        <v>15</v>
      </c>
      <c r="B8" s="106">
        <f>'2025 actual v budget'!T408</f>
        <v>29727565.59</v>
      </c>
      <c r="C8" s="106">
        <f>'Forecast 26-Base'!M364</f>
        <v>34382715.470788389</v>
      </c>
      <c r="D8" s="106">
        <f>'Forecast 26-Best'!M364</f>
        <v>39109098.188792214</v>
      </c>
      <c r="E8" s="106">
        <f>'Forecast 26-Worst'!M364</f>
        <v>32019524.111786518</v>
      </c>
      <c r="F8" s="107">
        <f t="shared" si="0"/>
        <v>0.156593713221991</v>
      </c>
      <c r="G8" s="107">
        <f t="shared" si="1"/>
        <v>0.31558361448702188</v>
      </c>
      <c r="H8" s="107">
        <f t="shared" si="2"/>
        <v>7.709876258947701E-2</v>
      </c>
      <c r="I8" s="108">
        <f t="shared" si="3"/>
        <v>4726382.7180038244</v>
      </c>
      <c r="J8" s="108">
        <f t="shared" si="4"/>
        <v>-2363191.3590018712</v>
      </c>
    </row>
    <row r="9" spans="1:10" ht="21" customHeight="1" x14ac:dyDescent="0.35">
      <c r="A9" s="61" t="s">
        <v>16</v>
      </c>
      <c r="B9" s="104">
        <f>'2025 actual v budget'!X408</f>
        <v>17929286.370000001</v>
      </c>
      <c r="C9" s="104">
        <f>'Forecast 26-Base'!O364</f>
        <v>20085318.570076484</v>
      </c>
      <c r="D9" s="104">
        <f>'Forecast 26-Best'!O364</f>
        <v>20005932.054849096</v>
      </c>
      <c r="E9" s="104">
        <f>'Forecast 26-Worst'!O364</f>
        <v>21033018.766029634</v>
      </c>
      <c r="F9" s="76">
        <f t="shared" si="0"/>
        <v>0.12025198078625388</v>
      </c>
      <c r="G9" s="76">
        <f t="shared" si="1"/>
        <v>0.11582422423258421</v>
      </c>
      <c r="H9" s="76">
        <f t="shared" si="2"/>
        <v>0.17310964485585556</v>
      </c>
      <c r="I9" s="105">
        <f t="shared" si="3"/>
        <v>-79386.515227388591</v>
      </c>
      <c r="J9" s="105">
        <f t="shared" si="4"/>
        <v>947700.19595314935</v>
      </c>
    </row>
    <row r="10" spans="1:10" ht="21" customHeight="1" x14ac:dyDescent="0.35">
      <c r="A10" s="109" t="s">
        <v>17</v>
      </c>
      <c r="B10" s="110">
        <f>'2025 actual v budget'!AB408</f>
        <v>11798279.220000003</v>
      </c>
      <c r="C10" s="110">
        <f>'Forecast 26-Base'!P364</f>
        <v>14297396.900711924</v>
      </c>
      <c r="D10" s="110">
        <f>'Forecast 26-Best'!P364</f>
        <v>19103166.133943103</v>
      </c>
      <c r="E10" s="110">
        <f>'Forecast 26-Worst'!P364</f>
        <v>10986505.345756859</v>
      </c>
      <c r="F10" s="111">
        <f t="shared" si="0"/>
        <v>0.21182052349426606</v>
      </c>
      <c r="G10" s="111">
        <f t="shared" si="1"/>
        <v>0.6191485027375967</v>
      </c>
      <c r="H10" s="111">
        <f t="shared" si="2"/>
        <v>-6.8804429790664368E-2</v>
      </c>
      <c r="I10" s="112">
        <f t="shared" si="3"/>
        <v>4805769.2332311794</v>
      </c>
      <c r="J10" s="112">
        <f t="shared" si="4"/>
        <v>-3310891.5549550653</v>
      </c>
    </row>
    <row r="12" spans="1:10" x14ac:dyDescent="0.35">
      <c r="A12" s="71" t="s">
        <v>18</v>
      </c>
      <c r="B12" s="113" t="str">
        <f>IF(AND(D5&gt;C5,C5&gt;E5),"OK","CHECK")</f>
        <v>OK</v>
      </c>
    </row>
    <row r="13" spans="1:10" x14ac:dyDescent="0.35">
      <c r="A13" s="71" t="s">
        <v>19</v>
      </c>
      <c r="B13" s="113" t="str">
        <f>IF(AND(D10&gt;C10,C10&gt;E10),"OK","CHECK")</f>
        <v>OK</v>
      </c>
    </row>
    <row r="16" spans="1:10" ht="24" customHeight="1" x14ac:dyDescent="0.35">
      <c r="A16" s="74" t="s">
        <v>20</v>
      </c>
      <c r="B16" s="74"/>
      <c r="C16" s="74"/>
      <c r="D16" s="74"/>
      <c r="E16" s="74"/>
    </row>
    <row r="17" spans="1:10" x14ac:dyDescent="0.35">
      <c r="A17" s="114" t="s">
        <v>21</v>
      </c>
      <c r="B17" s="115">
        <f>C5*0.01</f>
        <v>502132.96425191202</v>
      </c>
    </row>
    <row r="18" spans="1:10" x14ac:dyDescent="0.35">
      <c r="A18" s="114" t="s">
        <v>22</v>
      </c>
      <c r="B18" s="115">
        <f>C8-C5*0.45</f>
        <v>11786732.079452347</v>
      </c>
    </row>
    <row r="19" spans="1:10" x14ac:dyDescent="0.35">
      <c r="A19" s="114" t="s">
        <v>23</v>
      </c>
      <c r="B19" s="115">
        <f>C8-C5*0.35</f>
        <v>16808061.721971471</v>
      </c>
    </row>
    <row r="21" spans="1:10" ht="24" customHeight="1" x14ac:dyDescent="0.35">
      <c r="A21" s="116" t="s">
        <v>24</v>
      </c>
      <c r="B21" s="116"/>
      <c r="C21" s="116"/>
      <c r="D21" s="116"/>
      <c r="E21" s="116"/>
      <c r="F21" s="116"/>
      <c r="G21" s="116"/>
      <c r="H21" s="116"/>
      <c r="I21" s="116"/>
      <c r="J21" s="116"/>
    </row>
    <row r="22" spans="1:10" ht="23" customHeight="1" x14ac:dyDescent="0.35">
      <c r="A22" s="117" t="s">
        <v>25</v>
      </c>
      <c r="B22" s="131" t="s">
        <v>26</v>
      </c>
      <c r="C22" s="132"/>
      <c r="D22" s="132"/>
      <c r="E22" s="132"/>
      <c r="F22" s="132"/>
      <c r="G22" s="132"/>
      <c r="H22" s="132"/>
      <c r="I22" s="132"/>
      <c r="J22" s="132"/>
    </row>
    <row r="23" spans="1:10" ht="23" customHeight="1" x14ac:dyDescent="0.35">
      <c r="A23" s="117" t="s">
        <v>27</v>
      </c>
      <c r="B23" s="131" t="s">
        <v>28</v>
      </c>
      <c r="C23" s="132"/>
      <c r="D23" s="132"/>
      <c r="E23" s="132"/>
      <c r="F23" s="132"/>
      <c r="G23" s="132"/>
      <c r="H23" s="132"/>
      <c r="I23" s="132"/>
      <c r="J23" s="132"/>
    </row>
    <row r="24" spans="1:10" ht="23" customHeight="1" x14ac:dyDescent="0.35">
      <c r="A24" s="117" t="s">
        <v>29</v>
      </c>
      <c r="B24" s="131" t="s">
        <v>30</v>
      </c>
      <c r="C24" s="132"/>
      <c r="D24" s="132"/>
      <c r="E24" s="132"/>
      <c r="F24" s="132"/>
      <c r="G24" s="132"/>
      <c r="H24" s="132"/>
      <c r="I24" s="132"/>
      <c r="J24" s="132"/>
    </row>
    <row r="25" spans="1:10" ht="23" customHeight="1" x14ac:dyDescent="0.35">
      <c r="A25" s="118" t="s">
        <v>31</v>
      </c>
      <c r="B25" s="129" t="s">
        <v>32</v>
      </c>
      <c r="C25" s="130"/>
      <c r="D25" s="130"/>
      <c r="E25" s="130"/>
      <c r="F25" s="130"/>
      <c r="G25" s="130"/>
      <c r="H25" s="130"/>
      <c r="I25" s="130"/>
      <c r="J25" s="130"/>
    </row>
    <row r="26" spans="1:10" ht="23" customHeight="1" x14ac:dyDescent="0.35">
      <c r="A26" s="118" t="s">
        <v>33</v>
      </c>
      <c r="B26" s="129" t="s">
        <v>34</v>
      </c>
      <c r="C26" s="130"/>
      <c r="D26" s="130"/>
      <c r="E26" s="130"/>
      <c r="F26" s="130"/>
      <c r="G26" s="130"/>
      <c r="H26" s="130"/>
      <c r="I26" s="130"/>
      <c r="J26" s="130"/>
    </row>
    <row r="27" spans="1:10" ht="23" customHeight="1" x14ac:dyDescent="0.35">
      <c r="A27" s="119" t="s">
        <v>35</v>
      </c>
      <c r="B27" s="127" t="s">
        <v>36</v>
      </c>
      <c r="C27" s="128"/>
      <c r="D27" s="128"/>
      <c r="E27" s="128"/>
      <c r="F27" s="128"/>
      <c r="G27" s="128"/>
      <c r="H27" s="128"/>
      <c r="I27" s="128"/>
      <c r="J27" s="128"/>
    </row>
    <row r="28" spans="1:10" ht="23" customHeight="1" x14ac:dyDescent="0.35">
      <c r="A28" s="119" t="s">
        <v>37</v>
      </c>
      <c r="B28" s="127" t="s">
        <v>38</v>
      </c>
      <c r="C28" s="128"/>
      <c r="D28" s="128"/>
      <c r="E28" s="128"/>
      <c r="F28" s="128"/>
      <c r="G28" s="128"/>
      <c r="H28" s="128"/>
      <c r="I28" s="128"/>
      <c r="J28" s="128"/>
    </row>
    <row r="29" spans="1:10" ht="23" customHeight="1" x14ac:dyDescent="0.35">
      <c r="A29" s="119" t="s">
        <v>39</v>
      </c>
      <c r="B29" s="127" t="s">
        <v>40</v>
      </c>
      <c r="C29" s="128"/>
      <c r="D29" s="128"/>
      <c r="E29" s="128"/>
      <c r="F29" s="128"/>
      <c r="G29" s="128"/>
      <c r="H29" s="128"/>
      <c r="I29" s="128"/>
      <c r="J29" s="128"/>
    </row>
  </sheetData>
  <mergeCells count="8">
    <mergeCell ref="B29:J29"/>
    <mergeCell ref="B25:J25"/>
    <mergeCell ref="B28:J28"/>
    <mergeCell ref="B22:J22"/>
    <mergeCell ref="B26:J26"/>
    <mergeCell ref="B23:J23"/>
    <mergeCell ref="B27:J27"/>
    <mergeCell ref="B24:J24"/>
  </mergeCells>
  <conditionalFormatting sqref="B12:B13">
    <cfRule type="cellIs" dxfId="19" priority="9" operator="equal">
      <formula>"OK"</formula>
    </cfRule>
    <cfRule type="cellIs" dxfId="18" priority="10" operator="equal">
      <formula>"CHECK"</formula>
    </cfRule>
  </conditionalFormatting>
  <conditionalFormatting sqref="F4:J5">
    <cfRule type="cellIs" dxfId="17" priority="1" operator="greaterThan">
      <formula>0</formula>
    </cfRule>
    <cfRule type="cellIs" dxfId="16" priority="2" operator="lessThan">
      <formula>0</formula>
    </cfRule>
  </conditionalFormatting>
  <conditionalFormatting sqref="F8:J8">
    <cfRule type="cellIs" dxfId="15" priority="5" operator="greaterThan">
      <formula>0</formula>
    </cfRule>
    <cfRule type="cellIs" dxfId="14" priority="6" operator="lessThan">
      <formula>0</formula>
    </cfRule>
  </conditionalFormatting>
  <conditionalFormatting sqref="F10:J10">
    <cfRule type="cellIs" dxfId="13" priority="7" operator="greaterThan">
      <formula>0</formula>
    </cfRule>
    <cfRule type="cellIs" dxfId="12" priority="8" operator="lessThan">
      <formula>0</formula>
    </cfRule>
  </conditionalFormatting>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EA5E9"/>
    <pageSetUpPr fitToPage="1"/>
  </sheetPr>
  <dimension ref="A1:H44"/>
  <sheetViews>
    <sheetView showGridLines="0" zoomScale="70" zoomScaleNormal="70" workbookViewId="0">
      <selection activeCell="A4" sqref="A4"/>
    </sheetView>
  </sheetViews>
  <sheetFormatPr defaultColWidth="42.90625" defaultRowHeight="14.5" x14ac:dyDescent="0.35"/>
  <cols>
    <col min="1" max="1" width="26" customWidth="1"/>
    <col min="2" max="5" width="17" customWidth="1"/>
    <col min="6" max="8" width="13" customWidth="1"/>
    <col min="9" max="9" width="3" customWidth="1"/>
  </cols>
  <sheetData>
    <row r="1" spans="1:8" ht="44" customHeight="1" x14ac:dyDescent="0.35">
      <c r="A1" s="144" t="s">
        <v>163</v>
      </c>
      <c r="B1" s="145"/>
      <c r="C1" s="145"/>
      <c r="D1" s="145"/>
      <c r="E1" s="145"/>
      <c r="F1" s="145"/>
      <c r="G1" s="145"/>
      <c r="H1" s="145"/>
    </row>
    <row r="2" spans="1:8" ht="22" customHeight="1" x14ac:dyDescent="0.35">
      <c r="A2" s="142" t="s">
        <v>164</v>
      </c>
      <c r="B2" s="143"/>
      <c r="C2" s="143"/>
      <c r="D2" s="143"/>
      <c r="E2" s="143"/>
      <c r="F2" s="143"/>
      <c r="G2" s="143"/>
      <c r="H2" s="143"/>
    </row>
    <row r="4" spans="1:8" ht="24" customHeight="1" x14ac:dyDescent="0.35">
      <c r="A4" s="74" t="s">
        <v>11</v>
      </c>
      <c r="B4" s="74"/>
      <c r="C4" s="74"/>
      <c r="D4" s="74"/>
      <c r="E4" s="74"/>
      <c r="F4" s="74"/>
      <c r="G4" s="74"/>
      <c r="H4" s="74"/>
    </row>
    <row r="5" spans="1:8" ht="30" customHeight="1" x14ac:dyDescent="0.35">
      <c r="A5" s="8" t="s">
        <v>44</v>
      </c>
      <c r="B5" s="103" t="s">
        <v>2</v>
      </c>
      <c r="C5" s="9" t="s">
        <v>3</v>
      </c>
      <c r="D5" s="59" t="s">
        <v>4</v>
      </c>
      <c r="E5" s="60" t="s">
        <v>5</v>
      </c>
      <c r="F5" s="9" t="s">
        <v>6</v>
      </c>
      <c r="G5" s="59" t="s">
        <v>7</v>
      </c>
      <c r="H5" s="60" t="s">
        <v>8</v>
      </c>
    </row>
    <row r="6" spans="1:8" ht="21" customHeight="1" x14ac:dyDescent="0.35">
      <c r="A6" s="61" t="s">
        <v>75</v>
      </c>
      <c r="B6" s="75">
        <f>SUMIFS('2025 actual v budget'!$D$3:$D$362,'2025 actual v budget'!$C$3:$C$362,$A6)</f>
        <v>945575419.82000005</v>
      </c>
      <c r="C6" s="75">
        <f>SUMIFS('Forecast 26-Base'!$F$3:$F$362,'Forecast 26-Base'!$C$3:$C$362,$A6)</f>
        <v>1058781101.3438001</v>
      </c>
      <c r="D6" s="75">
        <f>SUMIFS('Forecast 26-Best'!$F$3:$F$362,'Forecast 26-Best'!$C$3:$C$362,$A6)</f>
        <v>1171986782.8675992</v>
      </c>
      <c r="E6" s="75">
        <f>SUMIFS('Forecast 26-Worst'!$F$3:$F$362,'Forecast 26-Worst'!$C$3:$C$362,$A6)</f>
        <v>1002178260.5819001</v>
      </c>
      <c r="F6" s="76">
        <f t="shared" ref="F6:F11" si="0">C6/B6-1</f>
        <v>0.11972147239756925</v>
      </c>
      <c r="G6" s="76">
        <f t="shared" ref="G6:G11" si="1">D6/B6-1</f>
        <v>0.23944294479513739</v>
      </c>
      <c r="H6" s="76">
        <f t="shared" ref="H6:H11" si="2">E6/B6-1</f>
        <v>5.9860736198784625E-2</v>
      </c>
    </row>
    <row r="7" spans="1:8" ht="21" customHeight="1" x14ac:dyDescent="0.35">
      <c r="A7" s="66" t="s">
        <v>76</v>
      </c>
      <c r="B7" s="80">
        <f>SUMIFS('2025 actual v budget'!$D$3:$D$362,'2025 actual v budget'!$C$3:$C$362,$A7)</f>
        <v>1470617000.5300004</v>
      </c>
      <c r="C7" s="80">
        <f>SUMIFS('Forecast 26-Base'!$F$3:$F$362,'Forecast 26-Base'!$C$3:$C$362,$A7)</f>
        <v>1646669718.6327002</v>
      </c>
      <c r="D7" s="80">
        <f>SUMIFS('Forecast 26-Best'!$F$3:$F$362,'Forecast 26-Best'!$C$3:$C$362,$A7)</f>
        <v>1822722436.7354004</v>
      </c>
      <c r="E7" s="80">
        <f>SUMIFS('Forecast 26-Worst'!$F$3:$F$362,'Forecast 26-Worst'!$C$3:$C$362,$A7)</f>
        <v>1558643359.5813498</v>
      </c>
      <c r="F7" s="81">
        <f t="shared" si="0"/>
        <v>0.11971350667050062</v>
      </c>
      <c r="G7" s="81">
        <f t="shared" si="1"/>
        <v>0.23942701334100147</v>
      </c>
      <c r="H7" s="81">
        <f t="shared" si="2"/>
        <v>5.9856753335249868E-2</v>
      </c>
    </row>
    <row r="8" spans="1:8" ht="21" customHeight="1" x14ac:dyDescent="0.35">
      <c r="A8" s="61" t="s">
        <v>77</v>
      </c>
      <c r="B8" s="75">
        <f>SUMIFS('2025 actual v budget'!$D$3:$D$362,'2025 actual v budget'!$C$3:$C$362,$A8)</f>
        <v>2270051032.5099998</v>
      </c>
      <c r="C8" s="75">
        <f>SUMIFS('Forecast 26-Base'!$F$3:$F$362,'Forecast 26-Base'!$C$3:$C$362,$A8)</f>
        <v>2813619850.6526003</v>
      </c>
      <c r="D8" s="75">
        <f>SUMIFS('Forecast 26-Best'!$F$3:$F$362,'Forecast 26-Best'!$C$3:$C$362,$A8)</f>
        <v>3357188668.7952013</v>
      </c>
      <c r="E8" s="75">
        <f>SUMIFS('Forecast 26-Worst'!$F$3:$F$362,'Forecast 26-Worst'!$C$3:$C$362,$A8)</f>
        <v>2541835441.5813007</v>
      </c>
      <c r="F8" s="76">
        <f t="shared" si="0"/>
        <v>0.23945224594425762</v>
      </c>
      <c r="G8" s="76">
        <f t="shared" si="1"/>
        <v>0.47890449188851547</v>
      </c>
      <c r="H8" s="76">
        <f t="shared" si="2"/>
        <v>0.11972612297212915</v>
      </c>
    </row>
    <row r="9" spans="1:8" ht="21" customHeight="1" x14ac:dyDescent="0.35">
      <c r="A9" s="66" t="s">
        <v>78</v>
      </c>
      <c r="B9" s="80">
        <f>SUMIFS('2025 actual v budget'!$D$3:$D$362,'2025 actual v budget'!$C$3:$C$362,$A9)</f>
        <v>612302776.43000007</v>
      </c>
      <c r="C9" s="80">
        <f>SUMIFS('Forecast 26-Base'!$F$3:$F$362,'Forecast 26-Base'!$C$3:$C$362,$A9)</f>
        <v>685604366.14119971</v>
      </c>
      <c r="D9" s="80">
        <f>SUMIFS('Forecast 26-Best'!$F$3:$F$362,'Forecast 26-Best'!$C$3:$C$362,$A9)</f>
        <v>758905955.85240006</v>
      </c>
      <c r="E9" s="80">
        <f>SUMIFS('Forecast 26-Worst'!$F$3:$F$362,'Forecast 26-Worst'!$C$3:$C$362,$A9)</f>
        <v>648953571.28559995</v>
      </c>
      <c r="F9" s="81">
        <f t="shared" si="0"/>
        <v>0.11971461266039141</v>
      </c>
      <c r="G9" s="81">
        <f t="shared" si="1"/>
        <v>0.2394292253207837</v>
      </c>
      <c r="H9" s="81">
        <f t="shared" si="2"/>
        <v>5.9857306330195703E-2</v>
      </c>
    </row>
    <row r="10" spans="1:8" ht="21" customHeight="1" x14ac:dyDescent="0.35">
      <c r="A10" s="61" t="s">
        <v>79</v>
      </c>
      <c r="B10" s="75">
        <f>SUMIFS('2025 actual v budget'!$D$3:$D$362,'2025 actual v budget'!$C$3:$C$362,$A10)</f>
        <v>920278396.56999981</v>
      </c>
      <c r="C10" s="75">
        <f>SUMIFS('Forecast 26-Base'!$F$3:$F$362,'Forecast 26-Base'!$C$3:$C$362,$A10)</f>
        <v>1030458664.8453001</v>
      </c>
      <c r="D10" s="75">
        <f>SUMIFS('Forecast 26-Best'!$F$3:$F$362,'Forecast 26-Best'!$C$3:$C$362,$A10)</f>
        <v>1140638933.1205997</v>
      </c>
      <c r="E10" s="75">
        <f>SUMIFS('Forecast 26-Worst'!$F$3:$F$362,'Forecast 26-Worst'!$C$3:$C$362,$A10)</f>
        <v>975368530.70764983</v>
      </c>
      <c r="F10" s="76">
        <f t="shared" si="0"/>
        <v>0.11972493180971844</v>
      </c>
      <c r="G10" s="76">
        <f t="shared" si="1"/>
        <v>0.23944986361943621</v>
      </c>
      <c r="H10" s="76">
        <f t="shared" si="2"/>
        <v>5.9862465904858997E-2</v>
      </c>
    </row>
    <row r="11" spans="1:8" ht="21" customHeight="1" x14ac:dyDescent="0.35">
      <c r="A11" s="120" t="s">
        <v>99</v>
      </c>
      <c r="B11" s="121">
        <f>SUM(B6:B10)</f>
        <v>6218824625.8600006</v>
      </c>
      <c r="C11" s="121">
        <f>SUM(C6:C10)</f>
        <v>7235133701.6156006</v>
      </c>
      <c r="D11" s="121">
        <f>SUM(D6:D10)</f>
        <v>8251442777.3712006</v>
      </c>
      <c r="E11" s="121">
        <f>SUM(E6:E10)</f>
        <v>6726979163.7378006</v>
      </c>
      <c r="F11" s="122">
        <f t="shared" si="0"/>
        <v>0.16342462392803925</v>
      </c>
      <c r="G11" s="122">
        <f t="shared" si="1"/>
        <v>0.3268492478560785</v>
      </c>
      <c r="H11" s="122">
        <f t="shared" si="2"/>
        <v>8.1712311964019513E-2</v>
      </c>
    </row>
    <row r="14" spans="1:8" ht="24" customHeight="1" x14ac:dyDescent="0.35">
      <c r="A14" s="74" t="s">
        <v>12</v>
      </c>
      <c r="B14" s="74"/>
      <c r="C14" s="74"/>
      <c r="D14" s="74"/>
      <c r="E14" s="74"/>
      <c r="F14" s="74"/>
      <c r="G14" s="74"/>
      <c r="H14" s="74"/>
    </row>
    <row r="15" spans="1:8" ht="30" customHeight="1" x14ac:dyDescent="0.35">
      <c r="A15" s="8" t="s">
        <v>44</v>
      </c>
      <c r="B15" s="103" t="s">
        <v>2</v>
      </c>
      <c r="C15" s="9" t="s">
        <v>3</v>
      </c>
      <c r="D15" s="59" t="s">
        <v>4</v>
      </c>
      <c r="E15" s="60" t="s">
        <v>5</v>
      </c>
      <c r="F15" s="9" t="s">
        <v>6</v>
      </c>
      <c r="G15" s="59" t="s">
        <v>7</v>
      </c>
      <c r="H15" s="60" t="s">
        <v>8</v>
      </c>
    </row>
    <row r="16" spans="1:8" ht="21" customHeight="1" x14ac:dyDescent="0.35">
      <c r="A16" s="61" t="s">
        <v>75</v>
      </c>
      <c r="B16" s="75">
        <f>SUMIFS('2025 actual v budget'!$H$3:$H$362,'2025 actual v budget'!$C$3:$C$362,$A16)</f>
        <v>7091815.6700000009</v>
      </c>
      <c r="C16" s="75">
        <f>SUMIFS('Forecast 26-Base'!$H$3:$H$362,'Forecast 26-Base'!$C$3:$C$362,$A16)</f>
        <v>7940858.260078501</v>
      </c>
      <c r="D16" s="75">
        <f>SUMIFS('Forecast 26-Best'!$H$3:$H$362,'Forecast 26-Best'!$C$3:$C$362,$A16)</f>
        <v>8789900.8715070002</v>
      </c>
      <c r="E16" s="75">
        <f>SUMIFS('Forecast 26-Worst'!$H$3:$H$362,'Forecast 26-Worst'!$C$3:$C$362,$A16)</f>
        <v>7516336.9543642486</v>
      </c>
      <c r="F16" s="76">
        <f t="shared" ref="F16:F21" si="3">C16/B16-1</f>
        <v>0.11972146902663372</v>
      </c>
      <c r="G16" s="76">
        <f t="shared" ref="G16:G21" si="4">D16/B16-1</f>
        <v>0.23944294106377972</v>
      </c>
      <c r="H16" s="76">
        <f t="shared" ref="H16:H21" si="5">E16/B16-1</f>
        <v>5.9860733008060274E-2</v>
      </c>
    </row>
    <row r="17" spans="1:8" ht="21" customHeight="1" x14ac:dyDescent="0.35">
      <c r="A17" s="66" t="s">
        <v>76</v>
      </c>
      <c r="B17" s="80">
        <f>SUMIFS('2025 actual v budget'!$H$3:$H$362,'2025 actual v budget'!$C$3:$C$362,$A17)</f>
        <v>15441478.559999995</v>
      </c>
      <c r="C17" s="80">
        <f>SUMIFS('Forecast 26-Base'!$H$3:$H$362,'Forecast 26-Base'!$C$3:$C$362,$A17)</f>
        <v>17290032.045643348</v>
      </c>
      <c r="D17" s="80">
        <f>SUMIFS('Forecast 26-Best'!$H$3:$H$362,'Forecast 26-Best'!$C$3:$C$362,$A17)</f>
        <v>19138585.585721705</v>
      </c>
      <c r="E17" s="80">
        <f>SUMIFS('Forecast 26-Worst'!$H$3:$H$362,'Forecast 26-Worst'!$C$3:$C$362,$A17)</f>
        <v>16365755.275604177</v>
      </c>
      <c r="F17" s="81">
        <f t="shared" si="3"/>
        <v>0.11971350272323633</v>
      </c>
      <c r="G17" s="81">
        <f t="shared" si="4"/>
        <v>0.23942700897171809</v>
      </c>
      <c r="H17" s="81">
        <f t="shared" si="5"/>
        <v>5.9856749598995895E-2</v>
      </c>
    </row>
    <row r="18" spans="1:8" ht="21" customHeight="1" x14ac:dyDescent="0.35">
      <c r="A18" s="61" t="s">
        <v>77</v>
      </c>
      <c r="B18" s="75">
        <f>SUMIFS('2025 actual v budget'!$H$3:$H$362,'2025 actual v budget'!$C$3:$C$362,$A18)</f>
        <v>14755331.720000001</v>
      </c>
      <c r="C18" s="75">
        <f>SUMIFS('Forecast 26-Base'!$H$3:$H$362,'Forecast 26-Base'!$C$3:$C$362,$A18)</f>
        <v>18288529.029241905</v>
      </c>
      <c r="D18" s="75">
        <f>SUMIFS('Forecast 26-Best'!$H$3:$H$362,'Forecast 26-Best'!$C$3:$C$362,$A18)</f>
        <v>21821726.347168796</v>
      </c>
      <c r="E18" s="75">
        <f>SUMIFS('Forecast 26-Worst'!$H$3:$H$362,'Forecast 26-Worst'!$C$3:$C$362,$A18)</f>
        <v>16521930.370278446</v>
      </c>
      <c r="F18" s="76">
        <f t="shared" si="3"/>
        <v>0.2394522452147152</v>
      </c>
      <c r="G18" s="76">
        <f t="shared" si="4"/>
        <v>0.47890449101803001</v>
      </c>
      <c r="H18" s="76">
        <f t="shared" si="5"/>
        <v>0.11972612231305679</v>
      </c>
    </row>
    <row r="19" spans="1:8" ht="21" customHeight="1" x14ac:dyDescent="0.35">
      <c r="A19" s="66" t="s">
        <v>78</v>
      </c>
      <c r="B19" s="80">
        <f>SUMIFS('2025 actual v budget'!$H$3:$H$362,'2025 actual v budget'!$C$3:$C$362,$A19)</f>
        <v>1836908.33</v>
      </c>
      <c r="C19" s="80">
        <f>SUMIFS('Forecast 26-Base'!$H$3:$H$362,'Forecast 26-Base'!$C$3:$C$362,$A19)</f>
        <v>2056813.0984236</v>
      </c>
      <c r="D19" s="80">
        <f>SUMIFS('Forecast 26-Best'!$H$3:$H$362,'Forecast 26-Best'!$C$3:$C$362,$A19)</f>
        <v>2276717.8675572001</v>
      </c>
      <c r="E19" s="80">
        <f>SUMIFS('Forecast 26-Worst'!$H$3:$H$362,'Forecast 26-Worst'!$C$3:$C$362,$A19)</f>
        <v>1946860.7138568009</v>
      </c>
      <c r="F19" s="81">
        <f t="shared" si="3"/>
        <v>0.11971461222760094</v>
      </c>
      <c r="G19" s="81">
        <f t="shared" si="4"/>
        <v>0.23942922484172091</v>
      </c>
      <c r="H19" s="81">
        <f t="shared" si="5"/>
        <v>5.9857305920541393E-2</v>
      </c>
    </row>
    <row r="20" spans="1:8" ht="21" customHeight="1" x14ac:dyDescent="0.35">
      <c r="A20" s="61" t="s">
        <v>79</v>
      </c>
      <c r="B20" s="75">
        <f>SUMIFS('2025 actual v budget'!$H$3:$H$362,'2025 actual v budget'!$C$3:$C$362,$A20)</f>
        <v>4141252.7800000003</v>
      </c>
      <c r="C20" s="75">
        <f>SUMIFS('Forecast 26-Base'!$H$3:$H$362,'Forecast 26-Base'!$C$3:$C$362,$A20)</f>
        <v>4637063.9918038491</v>
      </c>
      <c r="D20" s="75">
        <f>SUMIFS('Forecast 26-Best'!$H$3:$H$362,'Forecast 26-Best'!$C$3:$C$362,$A20)</f>
        <v>5132875.1990427021</v>
      </c>
      <c r="E20" s="75">
        <f>SUMIFS('Forecast 26-Worst'!$H$3:$H$362,'Forecast 26-Worst'!$C$3:$C$362,$A20)</f>
        <v>4389158.3881844264</v>
      </c>
      <c r="F20" s="76">
        <f t="shared" si="3"/>
        <v>0.11972493304401688</v>
      </c>
      <c r="G20" s="76">
        <f t="shared" si="4"/>
        <v>0.2394498649857113</v>
      </c>
      <c r="H20" s="76">
        <f t="shared" si="5"/>
        <v>5.9862467073170667E-2</v>
      </c>
    </row>
    <row r="21" spans="1:8" ht="21" customHeight="1" x14ac:dyDescent="0.35">
      <c r="A21" s="120" t="s">
        <v>99</v>
      </c>
      <c r="B21" s="121">
        <f>SUM(B16:B20)</f>
        <v>43266787.059999995</v>
      </c>
      <c r="C21" s="121">
        <f>SUM(C16:C20)</f>
        <v>50213296.425191201</v>
      </c>
      <c r="D21" s="121">
        <f>SUM(D16:D20)</f>
        <v>57159805.870997399</v>
      </c>
      <c r="E21" s="121">
        <f>SUM(E16:E20)</f>
        <v>46740041.702288099</v>
      </c>
      <c r="F21" s="122">
        <f t="shared" si="3"/>
        <v>0.16055061716411179</v>
      </c>
      <c r="G21" s="122">
        <f t="shared" si="4"/>
        <v>0.32110123619143094</v>
      </c>
      <c r="H21" s="122">
        <f t="shared" si="5"/>
        <v>8.0275307650452099E-2</v>
      </c>
    </row>
    <row r="24" spans="1:8" ht="24" customHeight="1" x14ac:dyDescent="0.35">
      <c r="A24" s="74" t="s">
        <v>17</v>
      </c>
      <c r="B24" s="74"/>
      <c r="C24" s="74"/>
      <c r="D24" s="74"/>
      <c r="E24" s="74"/>
      <c r="F24" s="74"/>
      <c r="G24" s="74"/>
      <c r="H24" s="74"/>
    </row>
    <row r="25" spans="1:8" ht="30" customHeight="1" x14ac:dyDescent="0.35">
      <c r="A25" s="8" t="s">
        <v>44</v>
      </c>
      <c r="B25" s="103" t="s">
        <v>2</v>
      </c>
      <c r="C25" s="9" t="s">
        <v>3</v>
      </c>
      <c r="D25" s="59" t="s">
        <v>4</v>
      </c>
      <c r="E25" s="60" t="s">
        <v>5</v>
      </c>
      <c r="F25" s="9" t="s">
        <v>6</v>
      </c>
      <c r="G25" s="59" t="s">
        <v>7</v>
      </c>
      <c r="H25" s="60" t="s">
        <v>8</v>
      </c>
    </row>
    <row r="26" spans="1:8" ht="21" customHeight="1" x14ac:dyDescent="0.35">
      <c r="A26" s="61" t="s">
        <v>75</v>
      </c>
      <c r="B26" s="75">
        <f>SUMIFS('2025 actual v budget'!$AB$3:$AB$362,'2025 actual v budget'!$C$3:$C$362,$A26)</f>
        <v>1554044.4000000001</v>
      </c>
      <c r="C26" s="75">
        <f>SUMIFS('Forecast 26-Base'!$P$3:$P$362,'Forecast 26-Base'!$C$3:$C$362,$A26)</f>
        <v>1843253.6075308311</v>
      </c>
      <c r="D26" s="75">
        <f>SUMIFS('Forecast 26-Best'!$P$3:$P$362,'Forecast 26-Best'!$C$3:$C$362,$A26)</f>
        <v>2480965.0212300131</v>
      </c>
      <c r="E26" s="75">
        <f>SUMIFS('Forecast 26-Worst'!$P$3:$P$362,'Forecast 26-Worst'!$C$3:$C$362,$A26)</f>
        <v>1368328.5747507031</v>
      </c>
      <c r="F26" s="76">
        <f t="shared" ref="F26:F31" si="6">C26/B26-1</f>
        <v>0.18610099398114421</v>
      </c>
      <c r="G26" s="76">
        <f t="shared" ref="G26:G31" si="7">D26/B26-1</f>
        <v>0.59645697460768354</v>
      </c>
      <c r="H26" s="76">
        <f t="shared" ref="H26:H31" si="8">E26/B26-1</f>
        <v>-0.11950483863221484</v>
      </c>
    </row>
    <row r="27" spans="1:8" ht="21" customHeight="1" x14ac:dyDescent="0.35">
      <c r="A27" s="66" t="s">
        <v>76</v>
      </c>
      <c r="B27" s="80">
        <f>SUMIFS('2025 actual v budget'!$AB$3:$AB$362,'2025 actual v budget'!$C$3:$C$362,$A27)</f>
        <v>4536425.18</v>
      </c>
      <c r="C27" s="80">
        <f>SUMIFS('Forecast 26-Base'!$P$3:$P$362,'Forecast 26-Base'!$C$3:$C$362,$A27)</f>
        <v>5312014.6095389007</v>
      </c>
      <c r="D27" s="80">
        <f>SUMIFS('Forecast 26-Best'!$P$3:$P$362,'Forecast 26-Best'!$C$3:$C$362,$A27)</f>
        <v>6838638.7392500844</v>
      </c>
      <c r="E27" s="80">
        <f>SUMIFS('Forecast 26-Worst'!$P$3:$P$362,'Forecast 26-Worst'!$C$3:$C$362,$A27)</f>
        <v>4208879.4205461415</v>
      </c>
      <c r="F27" s="81">
        <f t="shared" si="6"/>
        <v>0.17096929823912599</v>
      </c>
      <c r="G27" s="81">
        <f t="shared" si="7"/>
        <v>0.50749510195825276</v>
      </c>
      <c r="H27" s="81">
        <f t="shared" si="8"/>
        <v>-7.2203496466320738E-2</v>
      </c>
    </row>
    <row r="28" spans="1:8" ht="21" customHeight="1" x14ac:dyDescent="0.35">
      <c r="A28" s="61" t="s">
        <v>77</v>
      </c>
      <c r="B28" s="75">
        <f>SUMIFS('2025 actual v budget'!$AB$3:$AB$362,'2025 actual v budget'!$C$3:$C$362,$A28)</f>
        <v>3638640.3400000003</v>
      </c>
      <c r="C28" s="75">
        <f>SUMIFS('Forecast 26-Base'!$P$3:$P$362,'Forecast 26-Base'!$C$3:$C$362,$A28)</f>
        <v>4746272.9835502747</v>
      </c>
      <c r="D28" s="75">
        <f>SUMIFS('Forecast 26-Best'!$P$3:$P$362,'Forecast 26-Best'!$C$3:$C$362,$A28)</f>
        <v>6759221.6132591935</v>
      </c>
      <c r="E28" s="75">
        <f>SUMIFS('Forecast 26-Worst'!$P$3:$P$362,'Forecast 26-Worst'!$C$3:$C$362,$A28)</f>
        <v>3459245.3088611155</v>
      </c>
      <c r="F28" s="76">
        <f t="shared" si="6"/>
        <v>0.30440838886271293</v>
      </c>
      <c r="G28" s="76">
        <f t="shared" si="7"/>
        <v>0.85762289802437386</v>
      </c>
      <c r="H28" s="76">
        <f t="shared" si="8"/>
        <v>-4.9302765422230443E-2</v>
      </c>
    </row>
    <row r="29" spans="1:8" ht="21" customHeight="1" x14ac:dyDescent="0.35">
      <c r="A29" s="66" t="s">
        <v>78</v>
      </c>
      <c r="B29" s="80">
        <f>SUMIFS('2025 actual v budget'!$AB$3:$AB$362,'2025 actual v budget'!$C$3:$C$362,$A29)</f>
        <v>669241.54999999993</v>
      </c>
      <c r="C29" s="80">
        <f>SUMIFS('Forecast 26-Base'!$P$3:$P$362,'Forecast 26-Base'!$C$3:$C$362,$A29)</f>
        <v>771932.0464567832</v>
      </c>
      <c r="D29" s="80">
        <f>SUMIFS('Forecast 26-Best'!$P$3:$P$362,'Forecast 26-Best'!$C$3:$C$362,$A29)</f>
        <v>969033.72355952603</v>
      </c>
      <c r="E29" s="80">
        <f>SUMIFS('Forecast 26-Worst'!$P$3:$P$362,'Forecast 26-Worst'!$C$3:$C$362,$A29)</f>
        <v>632956.11890150141</v>
      </c>
      <c r="F29" s="81">
        <f t="shared" si="6"/>
        <v>0.15344309757334007</v>
      </c>
      <c r="G29" s="81">
        <f t="shared" si="7"/>
        <v>0.44795810056851093</v>
      </c>
      <c r="H29" s="81">
        <f t="shared" si="8"/>
        <v>-5.4218736267194645E-2</v>
      </c>
    </row>
    <row r="30" spans="1:8" ht="21" customHeight="1" x14ac:dyDescent="0.35">
      <c r="A30" s="61" t="s">
        <v>79</v>
      </c>
      <c r="B30" s="75">
        <f>SUMIFS('2025 actual v budget'!$AB$3:$AB$362,'2025 actual v budget'!$C$3:$C$362,$A30)</f>
        <v>1399927.7499999998</v>
      </c>
      <c r="C30" s="75">
        <f>SUMIFS('Forecast 26-Base'!$P$3:$P$362,'Forecast 26-Base'!$C$3:$C$362,$A30)</f>
        <v>1623923.6536351349</v>
      </c>
      <c r="D30" s="75">
        <f>SUMIFS('Forecast 26-Best'!$P$3:$P$362,'Forecast 26-Best'!$C$3:$C$362,$A30)</f>
        <v>2055307.0366443044</v>
      </c>
      <c r="E30" s="75">
        <f>SUMIFS('Forecast 26-Worst'!$P$3:$P$362,'Forecast 26-Worst'!$C$3:$C$362,$A30)</f>
        <v>1317095.9226973958</v>
      </c>
      <c r="F30" s="76">
        <f t="shared" si="6"/>
        <v>0.16000533144309426</v>
      </c>
      <c r="G30" s="76">
        <f t="shared" si="7"/>
        <v>0.46815222188738304</v>
      </c>
      <c r="H30" s="76">
        <f t="shared" si="8"/>
        <v>-5.9168644455118491E-2</v>
      </c>
    </row>
    <row r="31" spans="1:8" ht="21" customHeight="1" x14ac:dyDescent="0.35">
      <c r="A31" s="120" t="s">
        <v>99</v>
      </c>
      <c r="B31" s="121">
        <f>SUM(B26:B30)</f>
        <v>11798279.220000001</v>
      </c>
      <c r="C31" s="121">
        <f>SUM(C26:C30)</f>
        <v>14297396.900711926</v>
      </c>
      <c r="D31" s="121">
        <f>SUM(D26:D30)</f>
        <v>19103166.133943122</v>
      </c>
      <c r="E31" s="121">
        <f>SUM(E26:E30)</f>
        <v>10986505.345756855</v>
      </c>
      <c r="F31" s="122">
        <f t="shared" si="6"/>
        <v>0.21182052349426628</v>
      </c>
      <c r="G31" s="122">
        <f t="shared" si="7"/>
        <v>0.61914850273759847</v>
      </c>
      <c r="H31" s="122">
        <f t="shared" si="8"/>
        <v>-6.8804429790664479E-2</v>
      </c>
    </row>
    <row r="34" spans="1:8" ht="24" customHeight="1" x14ac:dyDescent="0.35">
      <c r="A34" s="116" t="s">
        <v>165</v>
      </c>
      <c r="B34" s="116"/>
      <c r="C34" s="116"/>
      <c r="D34" s="116"/>
      <c r="E34" s="116"/>
      <c r="F34" s="116"/>
      <c r="G34" s="116"/>
      <c r="H34" s="116"/>
    </row>
    <row r="35" spans="1:8" ht="25" customHeight="1" x14ac:dyDescent="0.35">
      <c r="A35" s="139" t="s">
        <v>166</v>
      </c>
      <c r="B35" s="140"/>
      <c r="C35" s="140"/>
      <c r="D35" s="140"/>
      <c r="E35" s="140"/>
      <c r="F35" s="140"/>
      <c r="G35" s="140"/>
      <c r="H35" s="140"/>
    </row>
    <row r="36" spans="1:8" ht="40" customHeight="1" x14ac:dyDescent="0.35">
      <c r="A36" s="139" t="s">
        <v>167</v>
      </c>
      <c r="B36" s="140"/>
      <c r="C36" s="140"/>
      <c r="D36" s="140"/>
      <c r="E36" s="140"/>
      <c r="F36" s="140"/>
      <c r="G36" s="140"/>
      <c r="H36" s="140"/>
    </row>
    <row r="37" spans="1:8" ht="25" customHeight="1" x14ac:dyDescent="0.35">
      <c r="A37" s="139" t="s">
        <v>168</v>
      </c>
      <c r="B37" s="140"/>
      <c r="C37" s="140"/>
      <c r="D37" s="140"/>
      <c r="E37" s="140"/>
      <c r="F37" s="140"/>
      <c r="G37" s="140"/>
      <c r="H37" s="140"/>
    </row>
    <row r="38" spans="1:8" ht="55" customHeight="1" x14ac:dyDescent="0.35">
      <c r="A38" s="139" t="s">
        <v>169</v>
      </c>
      <c r="B38" s="140"/>
      <c r="C38" s="140"/>
      <c r="D38" s="140"/>
      <c r="E38" s="140"/>
      <c r="F38" s="140"/>
      <c r="G38" s="140"/>
      <c r="H38" s="140"/>
    </row>
    <row r="41" spans="1:8" ht="24" customHeight="1" x14ac:dyDescent="0.35">
      <c r="A41" s="123" t="s">
        <v>170</v>
      </c>
      <c r="B41" s="123"/>
      <c r="C41" s="123"/>
      <c r="D41" s="123"/>
      <c r="E41" s="123"/>
      <c r="F41" s="123"/>
      <c r="G41" s="123"/>
      <c r="H41" s="123"/>
    </row>
    <row r="42" spans="1:8" ht="40" customHeight="1" x14ac:dyDescent="0.35">
      <c r="A42" s="141" t="s">
        <v>171</v>
      </c>
      <c r="B42" s="128"/>
      <c r="C42" s="128"/>
      <c r="D42" s="128"/>
      <c r="E42" s="128"/>
      <c r="F42" s="128"/>
      <c r="G42" s="128"/>
      <c r="H42" s="128"/>
    </row>
    <row r="43" spans="1:8" ht="25" customHeight="1" x14ac:dyDescent="0.35">
      <c r="A43" s="141" t="s">
        <v>172</v>
      </c>
      <c r="B43" s="128"/>
      <c r="C43" s="128"/>
      <c r="D43" s="128"/>
      <c r="E43" s="128"/>
      <c r="F43" s="128"/>
      <c r="G43" s="128"/>
      <c r="H43" s="128"/>
    </row>
    <row r="44" spans="1:8" ht="25" customHeight="1" x14ac:dyDescent="0.35">
      <c r="A44" s="141" t="s">
        <v>173</v>
      </c>
      <c r="B44" s="128"/>
      <c r="C44" s="128"/>
      <c r="D44" s="128"/>
      <c r="E44" s="128"/>
      <c r="F44" s="128"/>
      <c r="G44" s="128"/>
      <c r="H44" s="128"/>
    </row>
  </sheetData>
  <mergeCells count="9">
    <mergeCell ref="A44:H44"/>
    <mergeCell ref="A1:H1"/>
    <mergeCell ref="A37:H37"/>
    <mergeCell ref="A35:H35"/>
    <mergeCell ref="A43:H43"/>
    <mergeCell ref="A38:H38"/>
    <mergeCell ref="A2:H2"/>
    <mergeCell ref="A42:H42"/>
    <mergeCell ref="A36:H36"/>
  </mergeCells>
  <conditionalFormatting sqref="F6:H10">
    <cfRule type="cellIs" dxfId="11" priority="1" operator="greaterThan">
      <formula>0</formula>
    </cfRule>
    <cfRule type="cellIs" dxfId="10" priority="2" operator="lessThan">
      <formula>0</formula>
    </cfRule>
  </conditionalFormatting>
  <conditionalFormatting sqref="F16:H20">
    <cfRule type="cellIs" dxfId="9" priority="3" operator="greaterThan">
      <formula>0</formula>
    </cfRule>
    <cfRule type="cellIs" dxfId="8" priority="4" operator="lessThan">
      <formula>0</formula>
    </cfRule>
  </conditionalFormatting>
  <conditionalFormatting sqref="F26:H30">
    <cfRule type="cellIs" dxfId="7" priority="5" operator="greaterThan">
      <formula>0</formula>
    </cfRule>
    <cfRule type="cellIs" dxfId="6" priority="6" operator="lessThan">
      <formula>0</formula>
    </cfRule>
  </conditionalFormatting>
  <pageMargins left="0.7" right="0.7" top="0.75" bottom="0.75" header="0.3" footer="0.3"/>
  <pageSetup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EA5E9"/>
    <pageSetUpPr fitToPage="1"/>
  </sheetPr>
  <dimension ref="A1:H47"/>
  <sheetViews>
    <sheetView showGridLines="0" zoomScale="70" zoomScaleNormal="70" workbookViewId="0">
      <selection activeCell="A4" sqref="A4"/>
    </sheetView>
  </sheetViews>
  <sheetFormatPr defaultColWidth="42.90625" defaultRowHeight="14.5" x14ac:dyDescent="0.35"/>
  <cols>
    <col min="1" max="1" width="26" customWidth="1"/>
    <col min="2" max="5" width="17" customWidth="1"/>
    <col min="6" max="8" width="13" customWidth="1"/>
    <col min="9" max="9" width="3" customWidth="1"/>
  </cols>
  <sheetData>
    <row r="1" spans="1:8" ht="44" customHeight="1" x14ac:dyDescent="0.35">
      <c r="A1" s="144" t="s">
        <v>174</v>
      </c>
      <c r="B1" s="145"/>
      <c r="C1" s="145"/>
      <c r="D1" s="145"/>
      <c r="E1" s="145"/>
      <c r="F1" s="145"/>
      <c r="G1" s="145"/>
      <c r="H1" s="145"/>
    </row>
    <row r="2" spans="1:8" ht="22" customHeight="1" x14ac:dyDescent="0.35">
      <c r="A2" s="142" t="s">
        <v>175</v>
      </c>
      <c r="B2" s="143"/>
      <c r="C2" s="143"/>
      <c r="D2" s="143"/>
      <c r="E2" s="143"/>
      <c r="F2" s="143"/>
      <c r="G2" s="143"/>
      <c r="H2" s="143"/>
    </row>
    <row r="4" spans="1:8" ht="24" customHeight="1" x14ac:dyDescent="0.35">
      <c r="A4" s="74" t="s">
        <v>11</v>
      </c>
      <c r="B4" s="74"/>
      <c r="C4" s="74"/>
      <c r="D4" s="74"/>
      <c r="E4" s="74"/>
      <c r="F4" s="74"/>
      <c r="G4" s="74"/>
      <c r="H4" s="74"/>
    </row>
    <row r="5" spans="1:8" ht="30" customHeight="1" x14ac:dyDescent="0.35">
      <c r="A5" s="8" t="s">
        <v>43</v>
      </c>
      <c r="B5" s="103" t="s">
        <v>2</v>
      </c>
      <c r="C5" s="9" t="s">
        <v>3</v>
      </c>
      <c r="D5" s="59" t="s">
        <v>4</v>
      </c>
      <c r="E5" s="60" t="s">
        <v>5</v>
      </c>
      <c r="F5" s="9" t="s">
        <v>6</v>
      </c>
      <c r="G5" s="59" t="s">
        <v>7</v>
      </c>
      <c r="H5" s="60" t="s">
        <v>8</v>
      </c>
    </row>
    <row r="6" spans="1:8" ht="21" customHeight="1" x14ac:dyDescent="0.35">
      <c r="A6" s="61" t="s">
        <v>74</v>
      </c>
      <c r="B6" s="75">
        <f>SUMIFS('2025 actual v budget'!$D$3:$D$362,'2025 actual v budget'!$B$3:$B$362,$A6)</f>
        <v>1197664933</v>
      </c>
      <c r="C6" s="75">
        <f>SUMIFS('Forecast 26-Base'!$F$3:$F$362,'Forecast 26-Base'!$B$3:$B$362,$A6)</f>
        <v>1524642347.4319999</v>
      </c>
      <c r="D6" s="75">
        <f>SUMIFS('Forecast 26-Best'!$F$3:$F$362,'Forecast 26-Best'!$B$3:$B$362,$A6)</f>
        <v>1851619761.8639996</v>
      </c>
      <c r="E6" s="75">
        <f>SUMIFS('Forecast 26-Worst'!$F$3:$F$362,'Forecast 26-Worst'!$B$3:$B$362,$A6)</f>
        <v>1361153640.2159996</v>
      </c>
      <c r="F6" s="76">
        <f t="shared" ref="F6:F12" si="0">C6/B6-1</f>
        <v>0.2730124306244508</v>
      </c>
      <c r="G6" s="76">
        <f t="shared" ref="G6:G12" si="1">D6/B6-1</f>
        <v>0.54602486124890115</v>
      </c>
      <c r="H6" s="76">
        <f t="shared" ref="H6:H12" si="2">E6/B6-1</f>
        <v>0.13650621531222495</v>
      </c>
    </row>
    <row r="7" spans="1:8" ht="21" customHeight="1" x14ac:dyDescent="0.35">
      <c r="A7" s="66" t="s">
        <v>80</v>
      </c>
      <c r="B7" s="80">
        <f>SUMIFS('2025 actual v budget'!$D$3:$D$362,'2025 actual v budget'!$B$3:$B$362,$A7)</f>
        <v>579022150.77999997</v>
      </c>
      <c r="C7" s="80">
        <f>SUMIFS('Forecast 26-Base'!$F$3:$F$362,'Forecast 26-Base'!$B$3:$B$362,$A7)</f>
        <v>626442105.28600013</v>
      </c>
      <c r="D7" s="80">
        <f>SUMIFS('Forecast 26-Best'!$F$3:$F$362,'Forecast 26-Best'!$B$3:$B$362,$A7)</f>
        <v>673862059.79200006</v>
      </c>
      <c r="E7" s="80">
        <f>SUMIFS('Forecast 26-Worst'!$F$3:$F$362,'Forecast 26-Worst'!$B$3:$B$362,$A7)</f>
        <v>602732128.03299999</v>
      </c>
      <c r="F7" s="81">
        <f t="shared" si="0"/>
        <v>8.189661559945649E-2</v>
      </c>
      <c r="G7" s="81">
        <f t="shared" si="1"/>
        <v>0.16379323119891254</v>
      </c>
      <c r="H7" s="81">
        <f t="shared" si="2"/>
        <v>4.0948307799728134E-2</v>
      </c>
    </row>
    <row r="8" spans="1:8" ht="21" customHeight="1" x14ac:dyDescent="0.35">
      <c r="A8" s="61" t="s">
        <v>81</v>
      </c>
      <c r="B8" s="75">
        <f>SUMIFS('2025 actual v budget'!$D$3:$D$362,'2025 actual v budget'!$B$3:$B$362,$A8)</f>
        <v>816451378.55000031</v>
      </c>
      <c r="C8" s="75">
        <f>SUMIFS('Forecast 26-Base'!$F$3:$F$362,'Forecast 26-Base'!$B$3:$B$362,$A8)</f>
        <v>950197678.72159982</v>
      </c>
      <c r="D8" s="75">
        <f>SUMIFS('Forecast 26-Best'!$F$3:$F$362,'Forecast 26-Best'!$B$3:$B$362,$A8)</f>
        <v>1083943978.8932002</v>
      </c>
      <c r="E8" s="75">
        <f>SUMIFS('Forecast 26-Worst'!$F$3:$F$362,'Forecast 26-Worst'!$B$3:$B$362,$A8)</f>
        <v>883324528.63579988</v>
      </c>
      <c r="F8" s="76">
        <f t="shared" si="0"/>
        <v>0.16381416418100736</v>
      </c>
      <c r="G8" s="76">
        <f t="shared" si="1"/>
        <v>0.32762832836201561</v>
      </c>
      <c r="H8" s="76">
        <f t="shared" si="2"/>
        <v>8.1907082090503458E-2</v>
      </c>
    </row>
    <row r="9" spans="1:8" ht="21" customHeight="1" x14ac:dyDescent="0.35">
      <c r="A9" s="66" t="s">
        <v>82</v>
      </c>
      <c r="B9" s="80">
        <f>SUMIFS('2025 actual v budget'!$D$3:$D$362,'2025 actual v budget'!$B$3:$B$362,$A9)</f>
        <v>968980402.71000004</v>
      </c>
      <c r="C9" s="80">
        <f>SUMIFS('Forecast 26-Base'!$F$3:$F$362,'Forecast 26-Base'!$B$3:$B$362,$A9)</f>
        <v>1167392276.3070002</v>
      </c>
      <c r="D9" s="80">
        <f>SUMIFS('Forecast 26-Best'!$F$3:$F$362,'Forecast 26-Best'!$B$3:$B$362,$A9)</f>
        <v>1365804149.9040003</v>
      </c>
      <c r="E9" s="80">
        <f>SUMIFS('Forecast 26-Worst'!$F$3:$F$362,'Forecast 26-Worst'!$B$3:$B$362,$A9)</f>
        <v>1068186339.5084997</v>
      </c>
      <c r="F9" s="81">
        <f t="shared" si="0"/>
        <v>0.20476355666439794</v>
      </c>
      <c r="G9" s="81">
        <f t="shared" si="1"/>
        <v>0.40952711332879566</v>
      </c>
      <c r="H9" s="81">
        <f t="shared" si="2"/>
        <v>0.10238177833219853</v>
      </c>
    </row>
    <row r="10" spans="1:8" ht="21" customHeight="1" x14ac:dyDescent="0.35">
      <c r="A10" s="61" t="s">
        <v>83</v>
      </c>
      <c r="B10" s="75">
        <f>SUMIFS('2025 actual v budget'!$D$3:$D$362,'2025 actual v budget'!$B$3:$B$362,$A10)</f>
        <v>774829017.53999996</v>
      </c>
      <c r="C10" s="75">
        <f>SUMIFS('Forecast 26-Base'!$F$3:$F$362,'Forecast 26-Base'!$B$3:$B$362,$A10)</f>
        <v>827711253.06099987</v>
      </c>
      <c r="D10" s="75">
        <f>SUMIFS('Forecast 26-Best'!$F$3:$F$362,'Forecast 26-Best'!$B$3:$B$362,$A10)</f>
        <v>880593488.5819999</v>
      </c>
      <c r="E10" s="75">
        <f>SUMIFS('Forecast 26-Worst'!$F$3:$F$362,'Forecast 26-Worst'!$B$3:$B$362,$A10)</f>
        <v>801270135.30050015</v>
      </c>
      <c r="F10" s="76">
        <f t="shared" si="0"/>
        <v>6.8250200139503558E-2</v>
      </c>
      <c r="G10" s="76">
        <f t="shared" si="1"/>
        <v>0.13650040027900734</v>
      </c>
      <c r="H10" s="76">
        <f t="shared" si="2"/>
        <v>3.4125100069752001E-2</v>
      </c>
    </row>
    <row r="11" spans="1:8" ht="21" customHeight="1" x14ac:dyDescent="0.35">
      <c r="A11" s="66" t="s">
        <v>84</v>
      </c>
      <c r="B11" s="80">
        <f>SUMIFS('2025 actual v budget'!$D$3:$D$362,'2025 actual v budget'!$B$3:$B$362,$A11)</f>
        <v>1881876743.2799997</v>
      </c>
      <c r="C11" s="80">
        <f>SUMIFS('Forecast 26-Base'!$F$3:$F$362,'Forecast 26-Base'!$B$3:$B$362,$A11)</f>
        <v>2138748040.8079998</v>
      </c>
      <c r="D11" s="80">
        <f>SUMIFS('Forecast 26-Best'!$F$3:$F$362,'Forecast 26-Best'!$B$3:$B$362,$A11)</f>
        <v>2395619338.3359995</v>
      </c>
      <c r="E11" s="80">
        <f>SUMIFS('Forecast 26-Worst'!$F$3:$F$362,'Forecast 26-Worst'!$B$3:$B$362,$A11)</f>
        <v>2010312392.0440001</v>
      </c>
      <c r="F11" s="81">
        <f t="shared" si="0"/>
        <v>0.1364974079440977</v>
      </c>
      <c r="G11" s="81">
        <f t="shared" si="1"/>
        <v>0.27299481588819519</v>
      </c>
      <c r="H11" s="81">
        <f t="shared" si="2"/>
        <v>6.8248703972048963E-2</v>
      </c>
    </row>
    <row r="12" spans="1:8" ht="21" customHeight="1" x14ac:dyDescent="0.35">
      <c r="A12" s="120" t="s">
        <v>99</v>
      </c>
      <c r="B12" s="121">
        <f>SUM(B6:B11)</f>
        <v>6218824625.8599997</v>
      </c>
      <c r="C12" s="121">
        <f>SUM(C6:C11)</f>
        <v>7235133701.6155996</v>
      </c>
      <c r="D12" s="121">
        <f>SUM(D6:D11)</f>
        <v>8251442777.3711996</v>
      </c>
      <c r="E12" s="121">
        <f>SUM(E6:E11)</f>
        <v>6726979163.7377987</v>
      </c>
      <c r="F12" s="122">
        <f t="shared" si="0"/>
        <v>0.16342462392803925</v>
      </c>
      <c r="G12" s="122">
        <f t="shared" si="1"/>
        <v>0.3268492478560785</v>
      </c>
      <c r="H12" s="122">
        <f t="shared" si="2"/>
        <v>8.1712311964019513E-2</v>
      </c>
    </row>
    <row r="15" spans="1:8" ht="24" customHeight="1" x14ac:dyDescent="0.35">
      <c r="A15" s="74" t="s">
        <v>12</v>
      </c>
      <c r="B15" s="74"/>
      <c r="C15" s="74"/>
      <c r="D15" s="74"/>
      <c r="E15" s="74"/>
      <c r="F15" s="74"/>
      <c r="G15" s="74"/>
      <c r="H15" s="74"/>
    </row>
    <row r="16" spans="1:8" ht="30" customHeight="1" x14ac:dyDescent="0.35">
      <c r="A16" s="8" t="s">
        <v>43</v>
      </c>
      <c r="B16" s="103" t="s">
        <v>2</v>
      </c>
      <c r="C16" s="9" t="s">
        <v>3</v>
      </c>
      <c r="D16" s="59" t="s">
        <v>4</v>
      </c>
      <c r="E16" s="60" t="s">
        <v>5</v>
      </c>
      <c r="F16" s="9" t="s">
        <v>6</v>
      </c>
      <c r="G16" s="59" t="s">
        <v>7</v>
      </c>
      <c r="H16" s="60" t="s">
        <v>8</v>
      </c>
    </row>
    <row r="17" spans="1:8" ht="21" customHeight="1" x14ac:dyDescent="0.35">
      <c r="A17" s="61" t="s">
        <v>74</v>
      </c>
      <c r="B17" s="75">
        <f>SUMIFS('2025 actual v budget'!$H$3:$H$362,'2025 actual v budget'!$B$3:$B$362,$A17)</f>
        <v>8332492.2800000003</v>
      </c>
      <c r="C17" s="75">
        <f>SUMIFS('Forecast 26-Base'!$H$3:$H$362,'Forecast 26-Base'!$B$3:$B$362,$A17)</f>
        <v>10567379.499448003</v>
      </c>
      <c r="D17" s="75">
        <f>SUMIFS('Forecast 26-Best'!$H$3:$H$362,'Forecast 26-Best'!$B$3:$B$362,$A17)</f>
        <v>12802266.733446</v>
      </c>
      <c r="E17" s="75">
        <f>SUMIFS('Forecast 26-Worst'!$H$3:$H$362,'Forecast 26-Worst'!$B$3:$B$362,$A17)</f>
        <v>9449935.8824489973</v>
      </c>
      <c r="F17" s="76">
        <f t="shared" ref="F17:F23" si="3">C17/B17-1</f>
        <v>0.26821353616039634</v>
      </c>
      <c r="G17" s="76">
        <f t="shared" ref="G17:G23" si="4">D17/B17-1</f>
        <v>0.5364270740669681</v>
      </c>
      <c r="H17" s="76">
        <f t="shared" ref="H17:H23" si="5">E17/B17-1</f>
        <v>0.13410676720710946</v>
      </c>
    </row>
    <row r="18" spans="1:8" ht="21" customHeight="1" x14ac:dyDescent="0.35">
      <c r="A18" s="66" t="s">
        <v>80</v>
      </c>
      <c r="B18" s="80">
        <f>SUMIFS('2025 actual v budget'!$H$3:$H$362,'2025 actual v budget'!$B$3:$B$362,$A18)</f>
        <v>4028645.1900000004</v>
      </c>
      <c r="C18" s="80">
        <f>SUMIFS('Forecast 26-Base'!$H$3:$H$362,'Forecast 26-Base'!$B$3:$B$362,$A18)</f>
        <v>4352774.9294032007</v>
      </c>
      <c r="D18" s="80">
        <f>SUMIFS('Forecast 26-Best'!$H$3:$H$362,'Forecast 26-Best'!$B$3:$B$362,$A18)</f>
        <v>4676904.7041664012</v>
      </c>
      <c r="E18" s="80">
        <f>SUMIFS('Forecast 26-Worst'!$H$3:$H$362,'Forecast 26-Worst'!$B$3:$B$362,$A18)</f>
        <v>4190710.0420215996</v>
      </c>
      <c r="F18" s="81">
        <f t="shared" si="3"/>
        <v>8.0456263611340839E-2</v>
      </c>
      <c r="G18" s="81">
        <f t="shared" si="4"/>
        <v>0.16091253599982602</v>
      </c>
      <c r="H18" s="81">
        <f t="shared" si="5"/>
        <v>4.0228127417098136E-2</v>
      </c>
    </row>
    <row r="19" spans="1:8" ht="21" customHeight="1" x14ac:dyDescent="0.35">
      <c r="A19" s="61" t="s">
        <v>81</v>
      </c>
      <c r="B19" s="75">
        <f>SUMIFS('2025 actual v budget'!$H$3:$H$362,'2025 actual v budget'!$B$3:$B$362,$A19)</f>
        <v>5680125.8199999994</v>
      </c>
      <c r="C19" s="75">
        <f>SUMIFS('Forecast 26-Base'!$H$3:$H$362,'Forecast 26-Base'!$B$3:$B$362,$A19)</f>
        <v>6594259.8060120009</v>
      </c>
      <c r="D19" s="75">
        <f>SUMIFS('Forecast 26-Best'!$H$3:$H$362,'Forecast 26-Best'!$B$3:$B$362,$A19)</f>
        <v>7508393.7815190013</v>
      </c>
      <c r="E19" s="75">
        <f>SUMIFS('Forecast 26-Worst'!$H$3:$H$362,'Forecast 26-Worst'!$B$3:$B$362,$A19)</f>
        <v>6137192.8182584988</v>
      </c>
      <c r="F19" s="76">
        <f t="shared" si="3"/>
        <v>0.16093551709599296</v>
      </c>
      <c r="G19" s="76">
        <f t="shared" si="4"/>
        <v>0.3218710323425551</v>
      </c>
      <c r="H19" s="76">
        <f t="shared" si="5"/>
        <v>8.0467759472711675E-2</v>
      </c>
    </row>
    <row r="20" spans="1:8" ht="21" customHeight="1" x14ac:dyDescent="0.35">
      <c r="A20" s="66" t="s">
        <v>82</v>
      </c>
      <c r="B20" s="80">
        <f>SUMIFS('2025 actual v budget'!$H$3:$H$362,'2025 actual v budget'!$B$3:$B$362,$A20)</f>
        <v>6741376.5599999977</v>
      </c>
      <c r="C20" s="80">
        <f>SUMIFS('Forecast 26-Base'!$H$3:$H$362,'Forecast 26-Base'!$B$3:$B$362,$A20)</f>
        <v>8097504.3362587485</v>
      </c>
      <c r="D20" s="80">
        <f>SUMIFS('Forecast 26-Best'!$H$3:$H$362,'Forecast 26-Best'!$B$3:$B$362,$A20)</f>
        <v>9453632.1068474986</v>
      </c>
      <c r="E20" s="80">
        <f>SUMIFS('Forecast 26-Worst'!$H$3:$H$362,'Forecast 26-Worst'!$B$3:$B$362,$A20)</f>
        <v>7419440.4509643735</v>
      </c>
      <c r="F20" s="81">
        <f t="shared" si="3"/>
        <v>0.20116481614531723</v>
      </c>
      <c r="G20" s="81">
        <f t="shared" si="4"/>
        <v>0.40232963144955991</v>
      </c>
      <c r="H20" s="81">
        <f t="shared" si="5"/>
        <v>0.10058240849319589</v>
      </c>
    </row>
    <row r="21" spans="1:8" ht="21" customHeight="1" x14ac:dyDescent="0.35">
      <c r="A21" s="61" t="s">
        <v>83</v>
      </c>
      <c r="B21" s="75">
        <f>SUMIFS('2025 actual v budget'!$H$3:$H$362,'2025 actual v budget'!$B$3:$B$362,$A21)</f>
        <v>5390853.5300000003</v>
      </c>
      <c r="C21" s="75">
        <f>SUMIFS('Forecast 26-Base'!$H$3:$H$362,'Forecast 26-Base'!$B$3:$B$362,$A21)</f>
        <v>5752311.3035097504</v>
      </c>
      <c r="D21" s="75">
        <f>SUMIFS('Forecast 26-Best'!$H$3:$H$362,'Forecast 26-Best'!$B$3:$B$362,$A21)</f>
        <v>6113769.0800444996</v>
      </c>
      <c r="E21" s="75">
        <f>SUMIFS('Forecast 26-Worst'!$H$3:$H$362,'Forecast 26-Worst'!$B$3:$B$362,$A21)</f>
        <v>5571582.4152423739</v>
      </c>
      <c r="F21" s="76">
        <f t="shared" si="3"/>
        <v>6.705019372131793E-2</v>
      </c>
      <c r="G21" s="76">
        <f t="shared" si="4"/>
        <v>0.13410038800377122</v>
      </c>
      <c r="H21" s="76">
        <f t="shared" si="5"/>
        <v>3.3525096580090841E-2</v>
      </c>
    </row>
    <row r="22" spans="1:8" ht="21" customHeight="1" x14ac:dyDescent="0.35">
      <c r="A22" s="66" t="s">
        <v>84</v>
      </c>
      <c r="B22" s="80">
        <f>SUMIFS('2025 actual v budget'!$H$3:$H$362,'2025 actual v budget'!$B$3:$B$362,$A22)</f>
        <v>13093293.680000003</v>
      </c>
      <c r="C22" s="80">
        <f>SUMIFS('Forecast 26-Base'!$H$3:$H$362,'Forecast 26-Base'!$B$3:$B$362,$A22)</f>
        <v>14849066.550559498</v>
      </c>
      <c r="D22" s="80">
        <f>SUMIFS('Forecast 26-Best'!$H$3:$H$362,'Forecast 26-Best'!$B$3:$B$362,$A22)</f>
        <v>16604839.464973999</v>
      </c>
      <c r="E22" s="80">
        <f>SUMIFS('Forecast 26-Worst'!$H$3:$H$362,'Forecast 26-Worst'!$B$3:$B$362,$A22)</f>
        <v>13971180.093352256</v>
      </c>
      <c r="F22" s="81">
        <f t="shared" si="3"/>
        <v>0.13409711211484066</v>
      </c>
      <c r="G22" s="81">
        <f t="shared" si="4"/>
        <v>0.26819422757910627</v>
      </c>
      <c r="H22" s="81">
        <f t="shared" si="5"/>
        <v>6.7048554382708403E-2</v>
      </c>
    </row>
    <row r="23" spans="1:8" ht="21" customHeight="1" x14ac:dyDescent="0.35">
      <c r="A23" s="120" t="s">
        <v>99</v>
      </c>
      <c r="B23" s="121">
        <f>SUM(B17:B22)</f>
        <v>43266787.060000002</v>
      </c>
      <c r="C23" s="121">
        <f>SUM(C17:C22)</f>
        <v>50213296.425191201</v>
      </c>
      <c r="D23" s="121">
        <f>SUM(D17:D22)</f>
        <v>57159805.870997407</v>
      </c>
      <c r="E23" s="121">
        <f>SUM(E17:E22)</f>
        <v>46740041.702288099</v>
      </c>
      <c r="F23" s="122">
        <f t="shared" si="3"/>
        <v>0.16055061716411156</v>
      </c>
      <c r="G23" s="122">
        <f t="shared" si="4"/>
        <v>0.32110123619143094</v>
      </c>
      <c r="H23" s="122">
        <f t="shared" si="5"/>
        <v>8.0275307650452099E-2</v>
      </c>
    </row>
    <row r="26" spans="1:8" ht="24" customHeight="1" x14ac:dyDescent="0.35">
      <c r="A26" s="74" t="s">
        <v>17</v>
      </c>
      <c r="B26" s="74"/>
      <c r="C26" s="74"/>
      <c r="D26" s="74"/>
      <c r="E26" s="74"/>
      <c r="F26" s="74"/>
      <c r="G26" s="74"/>
      <c r="H26" s="74"/>
    </row>
    <row r="27" spans="1:8" ht="30" customHeight="1" x14ac:dyDescent="0.35">
      <c r="A27" s="8" t="s">
        <v>43</v>
      </c>
      <c r="B27" s="103" t="s">
        <v>2</v>
      </c>
      <c r="C27" s="9" t="s">
        <v>3</v>
      </c>
      <c r="D27" s="59" t="s">
        <v>4</v>
      </c>
      <c r="E27" s="60" t="s">
        <v>5</v>
      </c>
      <c r="F27" s="9" t="s">
        <v>6</v>
      </c>
      <c r="G27" s="59" t="s">
        <v>7</v>
      </c>
      <c r="H27" s="60" t="s">
        <v>8</v>
      </c>
    </row>
    <row r="28" spans="1:8" ht="21" customHeight="1" x14ac:dyDescent="0.35">
      <c r="A28" s="61" t="s">
        <v>74</v>
      </c>
      <c r="B28" s="75">
        <f>SUMIFS('2025 actual v budget'!$AB$3:$AB$362,'2025 actual v budget'!$B$3:$B$362,$A28)</f>
        <v>2205279.5600000005</v>
      </c>
      <c r="C28" s="75">
        <f>SUMIFS('Forecast 26-Base'!$P$3:$P$362,'Forecast 26-Base'!$B$3:$B$362,$A28)</f>
        <v>3100834.4960986981</v>
      </c>
      <c r="D28" s="75">
        <f>SUMIFS('Forecast 26-Best'!$P$3:$P$362,'Forecast 26-Best'!$B$3:$B$362,$A28)</f>
        <v>4385276.7060424509</v>
      </c>
      <c r="E28" s="75">
        <f>SUMIFS('Forecast 26-Worst'!$P$3:$P$362,'Forecast 26-Worst'!$B$3:$B$362,$A28)</f>
        <v>2306173.2653405252</v>
      </c>
      <c r="F28" s="76">
        <f t="shared" ref="F28:F34" si="6">C28/B28-1</f>
        <v>0.40609587661470803</v>
      </c>
      <c r="G28" s="76">
        <f t="shared" ref="G28:G34" si="7">D28/B28-1</f>
        <v>0.98853550614800501</v>
      </c>
      <c r="H28" s="76">
        <f t="shared" ref="H28:H34" si="8">E28/B28-1</f>
        <v>4.5750981948304403E-2</v>
      </c>
    </row>
    <row r="29" spans="1:8" ht="21" customHeight="1" x14ac:dyDescent="0.35">
      <c r="A29" s="66" t="s">
        <v>80</v>
      </c>
      <c r="B29" s="80">
        <f>SUMIFS('2025 actual v budget'!$AB$3:$AB$362,'2025 actual v budget'!$B$3:$B$362,$A29)</f>
        <v>1117636.54</v>
      </c>
      <c r="C29" s="80">
        <f>SUMIFS('Forecast 26-Base'!$P$3:$P$362,'Forecast 26-Base'!$B$3:$B$362,$A29)</f>
        <v>1231047.9576467443</v>
      </c>
      <c r="D29" s="80">
        <f>SUMIFS('Forecast 26-Best'!$P$3:$P$362,'Forecast 26-Best'!$B$3:$B$362,$A29)</f>
        <v>1554549.9683038082</v>
      </c>
      <c r="E29" s="80">
        <f>SUMIFS('Forecast 26-Worst'!$P$3:$P$362,'Forecast 26-Worst'!$B$3:$B$362,$A29)</f>
        <v>976684.06782129186</v>
      </c>
      <c r="F29" s="81">
        <f t="shared" si="6"/>
        <v>0.10147432871758499</v>
      </c>
      <c r="G29" s="81">
        <f t="shared" si="7"/>
        <v>0.39092622034691904</v>
      </c>
      <c r="H29" s="81">
        <f t="shared" si="8"/>
        <v>-0.12611655680003819</v>
      </c>
    </row>
    <row r="30" spans="1:8" ht="21" customHeight="1" x14ac:dyDescent="0.35">
      <c r="A30" s="61" t="s">
        <v>81</v>
      </c>
      <c r="B30" s="75">
        <f>SUMIFS('2025 actual v budget'!$AB$3:$AB$362,'2025 actual v budget'!$B$3:$B$362,$A30)</f>
        <v>1487501.6500000001</v>
      </c>
      <c r="C30" s="75">
        <f>SUMIFS('Forecast 26-Base'!$P$3:$P$362,'Forecast 26-Base'!$B$3:$B$362,$A30)</f>
        <v>1833568.3005935519</v>
      </c>
      <c r="D30" s="75">
        <f>SUMIFS('Forecast 26-Best'!$P$3:$P$362,'Forecast 26-Best'!$B$3:$B$362,$A30)</f>
        <v>2457822.3620391544</v>
      </c>
      <c r="E30" s="75">
        <f>SUMIFS('Forecast 26-Worst'!$P$3:$P$362,'Forecast 26-Worst'!$B$3:$B$362,$A30)</f>
        <v>1402291.4734958012</v>
      </c>
      <c r="F30" s="76">
        <f t="shared" si="6"/>
        <v>0.23264959107342964</v>
      </c>
      <c r="G30" s="76">
        <f t="shared" si="7"/>
        <v>0.65231572149123607</v>
      </c>
      <c r="H30" s="76">
        <f t="shared" si="8"/>
        <v>-5.7284088729716021E-2</v>
      </c>
    </row>
    <row r="31" spans="1:8" ht="21" customHeight="1" x14ac:dyDescent="0.35">
      <c r="A31" s="66" t="s">
        <v>82</v>
      </c>
      <c r="B31" s="80">
        <f>SUMIFS('2025 actual v budget'!$AB$3:$AB$362,'2025 actual v budget'!$B$3:$B$362,$A31)</f>
        <v>1813553.3299999998</v>
      </c>
      <c r="C31" s="80">
        <f>SUMIFS('Forecast 26-Base'!$P$3:$P$362,'Forecast 26-Base'!$B$3:$B$362,$A31)</f>
        <v>2366720.1971029504</v>
      </c>
      <c r="D31" s="80">
        <f>SUMIFS('Forecast 26-Best'!$P$3:$P$362,'Forecast 26-Best'!$B$3:$B$362,$A31)</f>
        <v>3228393.8063730756</v>
      </c>
      <c r="E31" s="80">
        <f>SUMIFS('Forecast 26-Worst'!$P$3:$P$362,'Forecast 26-Worst'!$B$3:$B$362,$A31)</f>
        <v>1801252.1725908557</v>
      </c>
      <c r="F31" s="81">
        <f t="shared" si="6"/>
        <v>0.30501825226333468</v>
      </c>
      <c r="G31" s="81">
        <f t="shared" si="7"/>
        <v>0.78014826085818822</v>
      </c>
      <c r="H31" s="81">
        <f t="shared" si="8"/>
        <v>-6.7829035990598641E-3</v>
      </c>
    </row>
    <row r="32" spans="1:8" ht="21" customHeight="1" x14ac:dyDescent="0.35">
      <c r="A32" s="61" t="s">
        <v>83</v>
      </c>
      <c r="B32" s="75">
        <f>SUMIFS('2025 actual v budget'!$AB$3:$AB$362,'2025 actual v budget'!$B$3:$B$362,$A32)</f>
        <v>1503749.1699999997</v>
      </c>
      <c r="C32" s="75">
        <f>SUMIFS('Forecast 26-Base'!$P$3:$P$362,'Forecast 26-Base'!$B$3:$B$362,$A32)</f>
        <v>1676953.8895494351</v>
      </c>
      <c r="D32" s="75">
        <f>SUMIFS('Forecast 26-Best'!$P$3:$P$362,'Forecast 26-Best'!$B$3:$B$362,$A32)</f>
        <v>2085795.9168007954</v>
      </c>
      <c r="E32" s="75">
        <f>SUMIFS('Forecast 26-Worst'!$P$3:$P$362,'Forecast 26-Worst'!$B$3:$B$362,$A32)</f>
        <v>1346797.9821627485</v>
      </c>
      <c r="F32" s="76">
        <f t="shared" si="6"/>
        <v>0.11518192196204868</v>
      </c>
      <c r="G32" s="76">
        <f t="shared" si="7"/>
        <v>0.38706371941059547</v>
      </c>
      <c r="H32" s="76">
        <f t="shared" si="8"/>
        <v>-0.10437324985339891</v>
      </c>
    </row>
    <row r="33" spans="1:8" ht="21" customHeight="1" x14ac:dyDescent="0.35">
      <c r="A33" s="66" t="s">
        <v>84</v>
      </c>
      <c r="B33" s="80">
        <f>SUMIFS('2025 actual v budget'!$AB$3:$AB$362,'2025 actual v budget'!$B$3:$B$362,$A33)</f>
        <v>3670558.9699999997</v>
      </c>
      <c r="C33" s="80">
        <f>SUMIFS('Forecast 26-Base'!$P$3:$P$362,'Forecast 26-Base'!$B$3:$B$362,$A33)</f>
        <v>4088272.0597205451</v>
      </c>
      <c r="D33" s="80">
        <f>SUMIFS('Forecast 26-Best'!$P$3:$P$362,'Forecast 26-Best'!$B$3:$B$362,$A33)</f>
        <v>5391327.3743838379</v>
      </c>
      <c r="E33" s="80">
        <f>SUMIFS('Forecast 26-Worst'!$P$3:$P$362,'Forecast 26-Worst'!$B$3:$B$362,$A33)</f>
        <v>3153306.3843456348</v>
      </c>
      <c r="F33" s="81">
        <f t="shared" si="6"/>
        <v>0.11380094779421168</v>
      </c>
      <c r="G33" s="81">
        <f t="shared" si="7"/>
        <v>0.46880282225348324</v>
      </c>
      <c r="H33" s="81">
        <f t="shared" si="8"/>
        <v>-0.14091929591158836</v>
      </c>
    </row>
    <row r="34" spans="1:8" ht="21" customHeight="1" x14ac:dyDescent="0.35">
      <c r="A34" s="120" t="s">
        <v>99</v>
      </c>
      <c r="B34" s="121">
        <f>SUM(B28:B33)</f>
        <v>11798279.220000001</v>
      </c>
      <c r="C34" s="121">
        <f>SUM(C28:C33)</f>
        <v>14297396.900711928</v>
      </c>
      <c r="D34" s="121">
        <f>SUM(D28:D33)</f>
        <v>19103166.133943122</v>
      </c>
      <c r="E34" s="121">
        <f>SUM(E28:E33)</f>
        <v>10986505.345756857</v>
      </c>
      <c r="F34" s="122">
        <f t="shared" si="6"/>
        <v>0.2118205234942665</v>
      </c>
      <c r="G34" s="122">
        <f t="shared" si="7"/>
        <v>0.61914850273759847</v>
      </c>
      <c r="H34" s="122">
        <f t="shared" si="8"/>
        <v>-6.8804429790664368E-2</v>
      </c>
    </row>
    <row r="37" spans="1:8" ht="24" customHeight="1" x14ac:dyDescent="0.35">
      <c r="A37" s="116" t="s">
        <v>165</v>
      </c>
      <c r="B37" s="116"/>
      <c r="C37" s="116"/>
      <c r="D37" s="116"/>
      <c r="E37" s="116"/>
      <c r="F37" s="116"/>
      <c r="G37" s="116"/>
      <c r="H37" s="116"/>
    </row>
    <row r="38" spans="1:8" ht="25" customHeight="1" x14ac:dyDescent="0.35">
      <c r="A38" s="139" t="s">
        <v>166</v>
      </c>
      <c r="B38" s="140"/>
      <c r="C38" s="140"/>
      <c r="D38" s="140"/>
      <c r="E38" s="140"/>
      <c r="F38" s="140"/>
      <c r="G38" s="140"/>
      <c r="H38" s="140"/>
    </row>
    <row r="39" spans="1:8" ht="40" customHeight="1" x14ac:dyDescent="0.35">
      <c r="A39" s="139" t="s">
        <v>176</v>
      </c>
      <c r="B39" s="140"/>
      <c r="C39" s="140"/>
      <c r="D39" s="140"/>
      <c r="E39" s="140"/>
      <c r="F39" s="140"/>
      <c r="G39" s="140"/>
      <c r="H39" s="140"/>
    </row>
    <row r="40" spans="1:8" ht="25" customHeight="1" x14ac:dyDescent="0.35">
      <c r="A40" s="139" t="s">
        <v>177</v>
      </c>
      <c r="B40" s="140"/>
      <c r="C40" s="140"/>
      <c r="D40" s="140"/>
      <c r="E40" s="140"/>
      <c r="F40" s="140"/>
      <c r="G40" s="140"/>
      <c r="H40" s="140"/>
    </row>
    <row r="41" spans="1:8" ht="40" customHeight="1" x14ac:dyDescent="0.35">
      <c r="A41" s="139" t="s">
        <v>178</v>
      </c>
      <c r="B41" s="140"/>
      <c r="C41" s="140"/>
      <c r="D41" s="140"/>
      <c r="E41" s="140"/>
      <c r="F41" s="140"/>
      <c r="G41" s="140"/>
      <c r="H41" s="140"/>
    </row>
    <row r="42" spans="1:8" ht="40" customHeight="1" x14ac:dyDescent="0.35">
      <c r="A42" s="139" t="s">
        <v>179</v>
      </c>
      <c r="B42" s="140"/>
      <c r="C42" s="140"/>
      <c r="D42" s="140"/>
      <c r="E42" s="140"/>
      <c r="F42" s="140"/>
      <c r="G42" s="140"/>
      <c r="H42" s="140"/>
    </row>
    <row r="44" spans="1:8" ht="24" customHeight="1" x14ac:dyDescent="0.35">
      <c r="A44" s="123" t="s">
        <v>170</v>
      </c>
      <c r="B44" s="123"/>
      <c r="C44" s="123"/>
      <c r="D44" s="123"/>
      <c r="E44" s="123"/>
      <c r="F44" s="123"/>
      <c r="G44" s="123"/>
      <c r="H44" s="123"/>
    </row>
    <row r="45" spans="1:8" ht="40" customHeight="1" x14ac:dyDescent="0.35">
      <c r="A45" s="141" t="s">
        <v>180</v>
      </c>
      <c r="B45" s="128"/>
      <c r="C45" s="128"/>
      <c r="D45" s="128"/>
      <c r="E45" s="128"/>
      <c r="F45" s="128"/>
      <c r="G45" s="128"/>
      <c r="H45" s="128"/>
    </row>
    <row r="46" spans="1:8" ht="25" customHeight="1" x14ac:dyDescent="0.35">
      <c r="A46" s="141" t="s">
        <v>181</v>
      </c>
      <c r="B46" s="128"/>
      <c r="C46" s="128"/>
      <c r="D46" s="128"/>
      <c r="E46" s="128"/>
      <c r="F46" s="128"/>
      <c r="G46" s="128"/>
      <c r="H46" s="128"/>
    </row>
    <row r="47" spans="1:8" ht="40" customHeight="1" x14ac:dyDescent="0.35">
      <c r="A47" s="141" t="s">
        <v>182</v>
      </c>
      <c r="B47" s="128"/>
      <c r="C47" s="128"/>
      <c r="D47" s="128"/>
      <c r="E47" s="128"/>
      <c r="F47" s="128"/>
      <c r="G47" s="128"/>
      <c r="H47" s="128"/>
    </row>
  </sheetData>
  <mergeCells count="10">
    <mergeCell ref="A47:H47"/>
    <mergeCell ref="A1:H1"/>
    <mergeCell ref="A46:H46"/>
    <mergeCell ref="A40:H40"/>
    <mergeCell ref="A45:H45"/>
    <mergeCell ref="A39:H39"/>
    <mergeCell ref="A38:H38"/>
    <mergeCell ref="A2:H2"/>
    <mergeCell ref="A42:H42"/>
    <mergeCell ref="A41:H41"/>
  </mergeCells>
  <conditionalFormatting sqref="F6:H11">
    <cfRule type="cellIs" dxfId="5" priority="1" operator="greaterThan">
      <formula>0</formula>
    </cfRule>
    <cfRule type="cellIs" dxfId="4" priority="2" operator="lessThan">
      <formula>0</formula>
    </cfRule>
  </conditionalFormatting>
  <conditionalFormatting sqref="F17:H22">
    <cfRule type="cellIs" dxfId="3" priority="3" operator="greaterThan">
      <formula>0</formula>
    </cfRule>
    <cfRule type="cellIs" dxfId="2" priority="4" operator="lessThan">
      <formula>0</formula>
    </cfRule>
  </conditionalFormatting>
  <conditionalFormatting sqref="F28:H33">
    <cfRule type="cellIs" dxfId="1" priority="5" operator="greaterThan">
      <formula>0</formula>
    </cfRule>
    <cfRule type="cellIs" dxfId="0" priority="6" operator="lessThan">
      <formula>0</formula>
    </cfRule>
  </conditionalFormatting>
  <pageMargins left="0.7" right="0.7" top="0.75" bottom="0.75" header="0.3" footer="0.3"/>
  <pageSetup fitToHeight="0"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4A3B8"/>
    <pageSetUpPr fitToPage="1"/>
  </sheetPr>
  <dimension ref="A1:B20"/>
  <sheetViews>
    <sheetView showGridLines="0" zoomScale="70" zoomScaleNormal="70" workbookViewId="0">
      <selection activeCell="A4" sqref="A4"/>
    </sheetView>
  </sheetViews>
  <sheetFormatPr defaultRowHeight="14.5" x14ac:dyDescent="0.35"/>
  <cols>
    <col min="1" max="1" width="30" customWidth="1"/>
    <col min="2" max="2" width="140" customWidth="1"/>
  </cols>
  <sheetData>
    <row r="1" spans="1:2" ht="30" customHeight="1" x14ac:dyDescent="0.35">
      <c r="A1" s="7" t="s">
        <v>183</v>
      </c>
      <c r="B1" s="7"/>
    </row>
    <row r="3" spans="1:2" ht="26" customHeight="1" x14ac:dyDescent="0.35">
      <c r="A3" s="124" t="s">
        <v>184</v>
      </c>
      <c r="B3" s="124" t="s">
        <v>185</v>
      </c>
    </row>
    <row r="4" spans="1:2" ht="38" customHeight="1" x14ac:dyDescent="0.35">
      <c r="A4" s="125" t="s">
        <v>186</v>
      </c>
      <c r="B4" s="87" t="s">
        <v>187</v>
      </c>
    </row>
    <row r="5" spans="1:2" ht="53" customHeight="1" x14ac:dyDescent="0.35">
      <c r="A5" s="125" t="s">
        <v>188</v>
      </c>
      <c r="B5" s="126" t="s">
        <v>189</v>
      </c>
    </row>
    <row r="6" spans="1:2" ht="38" customHeight="1" x14ac:dyDescent="0.35">
      <c r="A6" s="125" t="s">
        <v>190</v>
      </c>
      <c r="B6" s="87" t="s">
        <v>191</v>
      </c>
    </row>
    <row r="7" spans="1:2" ht="38" customHeight="1" x14ac:dyDescent="0.35">
      <c r="A7" s="125" t="s">
        <v>192</v>
      </c>
      <c r="B7" s="126" t="s">
        <v>193</v>
      </c>
    </row>
    <row r="8" spans="1:2" ht="38" customHeight="1" x14ac:dyDescent="0.35">
      <c r="A8" s="125" t="s">
        <v>194</v>
      </c>
      <c r="B8" s="87" t="s">
        <v>195</v>
      </c>
    </row>
    <row r="9" spans="1:2" ht="98" customHeight="1" x14ac:dyDescent="0.35">
      <c r="A9" s="125" t="s">
        <v>196</v>
      </c>
      <c r="B9" s="126" t="s">
        <v>197</v>
      </c>
    </row>
    <row r="10" spans="1:2" ht="38" customHeight="1" x14ac:dyDescent="0.35">
      <c r="A10" s="125" t="s">
        <v>198</v>
      </c>
      <c r="B10" s="87" t="s">
        <v>199</v>
      </c>
    </row>
    <row r="11" spans="1:2" ht="38" customHeight="1" x14ac:dyDescent="0.35">
      <c r="A11" s="125" t="s">
        <v>200</v>
      </c>
      <c r="B11" s="126" t="s">
        <v>201</v>
      </c>
    </row>
    <row r="12" spans="1:2" ht="53" customHeight="1" x14ac:dyDescent="0.35">
      <c r="A12" s="125" t="s">
        <v>202</v>
      </c>
      <c r="B12" s="87" t="s">
        <v>203</v>
      </c>
    </row>
    <row r="13" spans="1:2" ht="38" customHeight="1" x14ac:dyDescent="0.35">
      <c r="A13" s="125" t="s">
        <v>204</v>
      </c>
      <c r="B13" s="126" t="s">
        <v>205</v>
      </c>
    </row>
    <row r="14" spans="1:2" ht="53" customHeight="1" x14ac:dyDescent="0.35">
      <c r="A14" s="125" t="s">
        <v>206</v>
      </c>
      <c r="B14" s="87" t="s">
        <v>207</v>
      </c>
    </row>
    <row r="15" spans="1:2" ht="173" customHeight="1" x14ac:dyDescent="0.35">
      <c r="A15" s="125" t="s">
        <v>208</v>
      </c>
      <c r="B15" s="126" t="s">
        <v>209</v>
      </c>
    </row>
    <row r="16" spans="1:2" ht="38" customHeight="1" x14ac:dyDescent="0.35">
      <c r="A16" s="125" t="s">
        <v>210</v>
      </c>
      <c r="B16" s="87" t="s">
        <v>211</v>
      </c>
    </row>
    <row r="17" spans="1:2" ht="38" customHeight="1" x14ac:dyDescent="0.35">
      <c r="A17" s="125" t="s">
        <v>212</v>
      </c>
      <c r="B17" s="126" t="s">
        <v>213</v>
      </c>
    </row>
    <row r="18" spans="1:2" ht="98" customHeight="1" x14ac:dyDescent="0.35">
      <c r="A18" s="125" t="s">
        <v>214</v>
      </c>
      <c r="B18" s="87" t="s">
        <v>215</v>
      </c>
    </row>
    <row r="19" spans="1:2" ht="38" customHeight="1" x14ac:dyDescent="0.35">
      <c r="A19" s="125" t="s">
        <v>216</v>
      </c>
      <c r="B19" s="126" t="s">
        <v>217</v>
      </c>
    </row>
    <row r="20" spans="1:2" ht="38" customHeight="1" x14ac:dyDescent="0.35">
      <c r="A20" s="125" t="s">
        <v>218</v>
      </c>
      <c r="B20" s="87" t="s">
        <v>219</v>
      </c>
    </row>
  </sheetData>
  <pageMargins left="0.7" right="0.7" top="0.75" bottom="0.75" header="0.3" footer="0.3"/>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2025 actual v budget</vt:lpstr>
      <vt:lpstr>Assumption-Base</vt:lpstr>
      <vt:lpstr>Assumption-Best</vt:lpstr>
      <vt:lpstr>Assumption-Worst</vt:lpstr>
      <vt:lpstr>Variance</vt:lpstr>
      <vt:lpstr>Forecast 26-Base</vt:lpstr>
      <vt:lpstr>Forecast 26-Best</vt:lpstr>
      <vt:lpstr>Forecast 26-Worst</vt:lpstr>
      <vt:lpstr>Scenario Comparison</vt:lpstr>
      <vt:lpstr>Summary-Product</vt:lpstr>
      <vt:lpstr>Summary-Country</vt:lpstr>
      <vt:lpstr>Documentation</vt:lpstr>
      <vt:lpstr>'2025 actual v budget'!Print_Titles</vt:lpstr>
      <vt:lpstr>'Forecast 26-Base'!Print_Titles</vt:lpstr>
      <vt:lpstr>'Forecast 26-Best'!Print_Titles</vt:lpstr>
      <vt:lpstr>'Forecast 26-Worst'!Print_Titles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Kenny Gómez</cp:lastModifiedBy>
  <dcterms:created xsi:type="dcterms:W3CDTF">2026-06-07T01:16:33Z</dcterms:created>
  <dcterms:modified xsi:type="dcterms:W3CDTF">2026-10-27T07:48:00Z</dcterms:modified>
</cp:coreProperties>
</file>